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dd0f5895f5f5ead/Desktop/"/>
    </mc:Choice>
  </mc:AlternateContent>
  <xr:revisionPtr revIDLastSave="280" documentId="8_{2B84F053-7B77-48A7-AAD5-CD5304159380}" xr6:coauthVersionLast="47" xr6:coauthVersionMax="47" xr10:uidLastSave="{04046A83-7456-4A88-B85D-74012D53E81D}"/>
  <bookViews>
    <workbookView minimized="1" xWindow="3600" yWindow="3636" windowWidth="16968" windowHeight="8220" xr2:uid="{580635BC-0378-4E9B-B44D-41DDA8F3DFB8}"/>
  </bookViews>
  <sheets>
    <sheet name="vol 2" sheetId="1" r:id="rId1"/>
    <sheet name="vol 1" sheetId="3" r:id="rId2"/>
    <sheet name="AHT" sheetId="4" r:id="rId3"/>
    <sheet name="shrinking" sheetId="6" r:id="rId4"/>
    <sheet name="linear calc" sheetId="8" r:id="rId5"/>
    <sheet name="Roster" sheetId="9" r:id="rId6"/>
    <sheet name="erlang" sheetId="10" r:id="rId7"/>
  </sheets>
  <functionGroups builtInGroupCount="19"/>
  <externalReferences>
    <externalReference r:id="rId8"/>
  </externalReferences>
  <definedNames>
    <definedName name="_xleta.SHEE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W111" i="10" l="1"/>
  <c r="DX111" i="10"/>
  <c r="DY111" i="10"/>
  <c r="DZ111" i="10"/>
  <c r="EA111" i="10"/>
  <c r="EB111" i="10"/>
  <c r="DV111" i="10"/>
  <c r="EF111" i="10"/>
  <c r="EG111" i="10"/>
  <c r="EH111" i="10"/>
  <c r="EI111" i="10"/>
  <c r="EJ111" i="10"/>
  <c r="EK111" i="10"/>
  <c r="EE111" i="10"/>
  <c r="EE64" i="10"/>
  <c r="EF64" i="10"/>
  <c r="EG64" i="10"/>
  <c r="EH64" i="10"/>
  <c r="EI64" i="10"/>
  <c r="EJ64" i="10"/>
  <c r="EK64" i="10"/>
  <c r="EE65" i="10"/>
  <c r="EF65" i="10"/>
  <c r="EG65" i="10"/>
  <c r="EH65" i="10"/>
  <c r="EI65" i="10"/>
  <c r="EJ65" i="10"/>
  <c r="EK65" i="10"/>
  <c r="EE66" i="10"/>
  <c r="EF66" i="10"/>
  <c r="EG66" i="10"/>
  <c r="EH66" i="10"/>
  <c r="EI66" i="10"/>
  <c r="EJ66" i="10"/>
  <c r="EK66" i="10"/>
  <c r="EE67" i="10"/>
  <c r="EF67" i="10"/>
  <c r="EG67" i="10"/>
  <c r="EH67" i="10"/>
  <c r="EI67" i="10"/>
  <c r="EJ67" i="10"/>
  <c r="EK67" i="10"/>
  <c r="EE68" i="10"/>
  <c r="EF68" i="10"/>
  <c r="EG68" i="10"/>
  <c r="EH68" i="10"/>
  <c r="EI68" i="10"/>
  <c r="EJ68" i="10"/>
  <c r="EK68" i="10"/>
  <c r="EE69" i="10"/>
  <c r="EF69" i="10"/>
  <c r="EG69" i="10"/>
  <c r="EH69" i="10"/>
  <c r="EI69" i="10"/>
  <c r="EJ69" i="10"/>
  <c r="EK69" i="10"/>
  <c r="EE70" i="10"/>
  <c r="EF70" i="10"/>
  <c r="EG70" i="10"/>
  <c r="EH70" i="10"/>
  <c r="EI70" i="10"/>
  <c r="EJ70" i="10"/>
  <c r="EK70" i="10"/>
  <c r="EE71" i="10"/>
  <c r="EF71" i="10"/>
  <c r="EG71" i="10"/>
  <c r="EH71" i="10"/>
  <c r="EI71" i="10"/>
  <c r="EJ71" i="10"/>
  <c r="EK71" i="10"/>
  <c r="EE72" i="10"/>
  <c r="EF72" i="10"/>
  <c r="EG72" i="10"/>
  <c r="EH72" i="10"/>
  <c r="EI72" i="10"/>
  <c r="EJ72" i="10"/>
  <c r="EK72" i="10"/>
  <c r="EE73" i="10"/>
  <c r="EF73" i="10"/>
  <c r="EG73" i="10"/>
  <c r="EH73" i="10"/>
  <c r="EI73" i="10"/>
  <c r="EJ73" i="10"/>
  <c r="EK73" i="10"/>
  <c r="EE74" i="10"/>
  <c r="EF74" i="10"/>
  <c r="EG74" i="10"/>
  <c r="EH74" i="10"/>
  <c r="EI74" i="10"/>
  <c r="EJ74" i="10"/>
  <c r="EK74" i="10"/>
  <c r="EE75" i="10"/>
  <c r="EF75" i="10"/>
  <c r="EG75" i="10"/>
  <c r="EH75" i="10"/>
  <c r="EI75" i="10"/>
  <c r="EJ75" i="10"/>
  <c r="EK75" i="10"/>
  <c r="EE76" i="10"/>
  <c r="EF76" i="10"/>
  <c r="EG76" i="10"/>
  <c r="EH76" i="10"/>
  <c r="EI76" i="10"/>
  <c r="EJ76" i="10"/>
  <c r="EK76" i="10"/>
  <c r="EE77" i="10"/>
  <c r="EF77" i="10"/>
  <c r="EG77" i="10"/>
  <c r="EH77" i="10"/>
  <c r="EI77" i="10"/>
  <c r="EJ77" i="10"/>
  <c r="EK77" i="10"/>
  <c r="EE78" i="10"/>
  <c r="EF78" i="10"/>
  <c r="EG78" i="10"/>
  <c r="EH78" i="10"/>
  <c r="EI78" i="10"/>
  <c r="EJ78" i="10"/>
  <c r="EK78" i="10"/>
  <c r="EE79" i="10"/>
  <c r="EF79" i="10"/>
  <c r="EG79" i="10"/>
  <c r="EH79" i="10"/>
  <c r="EI79" i="10"/>
  <c r="EJ79" i="10"/>
  <c r="EK79" i="10"/>
  <c r="EE80" i="10"/>
  <c r="EF80" i="10"/>
  <c r="EG80" i="10"/>
  <c r="EH80" i="10"/>
  <c r="EI80" i="10"/>
  <c r="EJ80" i="10"/>
  <c r="EK80" i="10"/>
  <c r="EE81" i="10"/>
  <c r="EF81" i="10"/>
  <c r="EG81" i="10"/>
  <c r="EH81" i="10"/>
  <c r="EI81" i="10"/>
  <c r="EJ81" i="10"/>
  <c r="EK81" i="10"/>
  <c r="EE82" i="10"/>
  <c r="EF82" i="10"/>
  <c r="EG82" i="10"/>
  <c r="EH82" i="10"/>
  <c r="EI82" i="10"/>
  <c r="EJ82" i="10"/>
  <c r="EK82" i="10"/>
  <c r="EE83" i="10"/>
  <c r="EF83" i="10"/>
  <c r="EG83" i="10"/>
  <c r="EH83" i="10"/>
  <c r="EI83" i="10"/>
  <c r="EJ83" i="10"/>
  <c r="EK83" i="10"/>
  <c r="EE84" i="10"/>
  <c r="EF84" i="10"/>
  <c r="EG84" i="10"/>
  <c r="EH84" i="10"/>
  <c r="EI84" i="10"/>
  <c r="EJ84" i="10"/>
  <c r="EK84" i="10"/>
  <c r="EE85" i="10"/>
  <c r="EF85" i="10"/>
  <c r="EG85" i="10"/>
  <c r="EH85" i="10"/>
  <c r="EI85" i="10"/>
  <c r="EJ85" i="10"/>
  <c r="EK85" i="10"/>
  <c r="EE86" i="10"/>
  <c r="EF86" i="10"/>
  <c r="EG86" i="10"/>
  <c r="EH86" i="10"/>
  <c r="EI86" i="10"/>
  <c r="EJ86" i="10"/>
  <c r="EK86" i="10"/>
  <c r="EE87" i="10"/>
  <c r="EF87" i="10"/>
  <c r="EG87" i="10"/>
  <c r="EH87" i="10"/>
  <c r="EI87" i="10"/>
  <c r="EJ87" i="10"/>
  <c r="EK87" i="10"/>
  <c r="EE88" i="10"/>
  <c r="EF88" i="10"/>
  <c r="EG88" i="10"/>
  <c r="EH88" i="10"/>
  <c r="EI88" i="10"/>
  <c r="EJ88" i="10"/>
  <c r="EK88" i="10"/>
  <c r="EE89" i="10"/>
  <c r="EF89" i="10"/>
  <c r="EG89" i="10"/>
  <c r="EH89" i="10"/>
  <c r="EI89" i="10"/>
  <c r="EJ89" i="10"/>
  <c r="EK89" i="10"/>
  <c r="EE90" i="10"/>
  <c r="EF90" i="10"/>
  <c r="EG90" i="10"/>
  <c r="EH90" i="10"/>
  <c r="EI90" i="10"/>
  <c r="EJ90" i="10"/>
  <c r="EK90" i="10"/>
  <c r="EE91" i="10"/>
  <c r="EF91" i="10"/>
  <c r="EG91" i="10"/>
  <c r="EH91" i="10"/>
  <c r="EI91" i="10"/>
  <c r="EJ91" i="10"/>
  <c r="EK91" i="10"/>
  <c r="EE92" i="10"/>
  <c r="EF92" i="10"/>
  <c r="EG92" i="10"/>
  <c r="EH92" i="10"/>
  <c r="EI92" i="10"/>
  <c r="EJ92" i="10"/>
  <c r="EK92" i="10"/>
  <c r="EE93" i="10"/>
  <c r="EF93" i="10"/>
  <c r="EG93" i="10"/>
  <c r="EH93" i="10"/>
  <c r="EI93" i="10"/>
  <c r="EJ93" i="10"/>
  <c r="EK93" i="10"/>
  <c r="EE94" i="10"/>
  <c r="EF94" i="10"/>
  <c r="EG94" i="10"/>
  <c r="EH94" i="10"/>
  <c r="EI94" i="10"/>
  <c r="EJ94" i="10"/>
  <c r="EK94" i="10"/>
  <c r="EE95" i="10"/>
  <c r="EF95" i="10"/>
  <c r="EG95" i="10"/>
  <c r="EH95" i="10"/>
  <c r="EI95" i="10"/>
  <c r="EJ95" i="10"/>
  <c r="EK95" i="10"/>
  <c r="EE96" i="10"/>
  <c r="EF96" i="10"/>
  <c r="EG96" i="10"/>
  <c r="EH96" i="10"/>
  <c r="EI96" i="10"/>
  <c r="EJ96" i="10"/>
  <c r="EK96" i="10"/>
  <c r="EE97" i="10"/>
  <c r="EF97" i="10"/>
  <c r="EG97" i="10"/>
  <c r="EH97" i="10"/>
  <c r="EI97" i="10"/>
  <c r="EJ97" i="10"/>
  <c r="EK97" i="10"/>
  <c r="EE98" i="10"/>
  <c r="EF98" i="10"/>
  <c r="EG98" i="10"/>
  <c r="EH98" i="10"/>
  <c r="EI98" i="10"/>
  <c r="EJ98" i="10"/>
  <c r="EK98" i="10"/>
  <c r="EE99" i="10"/>
  <c r="EF99" i="10"/>
  <c r="EG99" i="10"/>
  <c r="EH99" i="10"/>
  <c r="EI99" i="10"/>
  <c r="EJ99" i="10"/>
  <c r="EK99" i="10"/>
  <c r="EE100" i="10"/>
  <c r="EF100" i="10"/>
  <c r="EG100" i="10"/>
  <c r="EH100" i="10"/>
  <c r="EI100" i="10"/>
  <c r="EJ100" i="10"/>
  <c r="EK100" i="10"/>
  <c r="EE101" i="10"/>
  <c r="EF101" i="10"/>
  <c r="EG101" i="10"/>
  <c r="EH101" i="10"/>
  <c r="EI101" i="10"/>
  <c r="EJ101" i="10"/>
  <c r="EK101" i="10"/>
  <c r="EE102" i="10"/>
  <c r="EF102" i="10"/>
  <c r="EG102" i="10"/>
  <c r="EH102" i="10"/>
  <c r="EI102" i="10"/>
  <c r="EJ102" i="10"/>
  <c r="EK102" i="10"/>
  <c r="EE103" i="10"/>
  <c r="EF103" i="10"/>
  <c r="EG103" i="10"/>
  <c r="EH103" i="10"/>
  <c r="EI103" i="10"/>
  <c r="EJ103" i="10"/>
  <c r="EK103" i="10"/>
  <c r="EE104" i="10"/>
  <c r="EF104" i="10"/>
  <c r="EG104" i="10"/>
  <c r="EH104" i="10"/>
  <c r="EI104" i="10"/>
  <c r="EJ104" i="10"/>
  <c r="EK104" i="10"/>
  <c r="EE105" i="10"/>
  <c r="EF105" i="10"/>
  <c r="EG105" i="10"/>
  <c r="EH105" i="10"/>
  <c r="EI105" i="10"/>
  <c r="EJ105" i="10"/>
  <c r="EK105" i="10"/>
  <c r="EE106" i="10"/>
  <c r="EF106" i="10"/>
  <c r="EG106" i="10"/>
  <c r="EH106" i="10"/>
  <c r="EI106" i="10"/>
  <c r="EJ106" i="10"/>
  <c r="EK106" i="10"/>
  <c r="EE107" i="10"/>
  <c r="EF107" i="10"/>
  <c r="EG107" i="10"/>
  <c r="EH107" i="10"/>
  <c r="EI107" i="10"/>
  <c r="EJ107" i="10"/>
  <c r="EK107" i="10"/>
  <c r="EE108" i="10"/>
  <c r="EF108" i="10"/>
  <c r="EG108" i="10"/>
  <c r="EH108" i="10"/>
  <c r="EI108" i="10"/>
  <c r="EJ108" i="10"/>
  <c r="EK108" i="10"/>
  <c r="EE109" i="10"/>
  <c r="EF109" i="10"/>
  <c r="EG109" i="10"/>
  <c r="EH109" i="10"/>
  <c r="EI109" i="10"/>
  <c r="EJ109" i="10"/>
  <c r="EK109" i="10"/>
  <c r="EE110" i="10"/>
  <c r="EF110" i="10"/>
  <c r="EG110" i="10"/>
  <c r="EH110" i="10"/>
  <c r="EI110" i="10"/>
  <c r="EJ110" i="10"/>
  <c r="EK110" i="10"/>
  <c r="EF63" i="10"/>
  <c r="EG63" i="10"/>
  <c r="EH63" i="10"/>
  <c r="EI63" i="10"/>
  <c r="EJ63" i="10"/>
  <c r="EK63" i="10"/>
  <c r="EE63" i="10"/>
  <c r="DN111" i="10"/>
  <c r="DO111" i="10"/>
  <c r="DP111" i="10"/>
  <c r="DQ111" i="10"/>
  <c r="DR111" i="10"/>
  <c r="DS111" i="10"/>
  <c r="DM111" i="10"/>
  <c r="B13" i="10"/>
  <c r="CR9" i="10"/>
  <c r="CS9" i="10"/>
  <c r="CT9" i="10"/>
  <c r="CU9" i="10"/>
  <c r="CV9" i="10"/>
  <c r="CW9" i="10"/>
  <c r="CX9" i="10"/>
  <c r="CR10" i="10"/>
  <c r="CS10" i="10"/>
  <c r="CT10" i="10"/>
  <c r="CU10" i="10"/>
  <c r="CV10" i="10"/>
  <c r="CW10" i="10"/>
  <c r="CX10" i="10"/>
  <c r="CR11" i="10"/>
  <c r="CS11" i="10"/>
  <c r="CT11" i="10"/>
  <c r="CU11" i="10"/>
  <c r="CV11" i="10"/>
  <c r="CW11" i="10"/>
  <c r="CX11" i="10"/>
  <c r="CR12" i="10"/>
  <c r="CS12" i="10"/>
  <c r="CT12" i="10"/>
  <c r="CU12" i="10"/>
  <c r="CV12" i="10"/>
  <c r="CW12" i="10"/>
  <c r="CX12" i="10"/>
  <c r="CR13" i="10"/>
  <c r="CS13" i="10"/>
  <c r="CT13" i="10"/>
  <c r="CU13" i="10"/>
  <c r="CV13" i="10"/>
  <c r="CW13" i="10"/>
  <c r="CX13" i="10"/>
  <c r="CR14" i="10"/>
  <c r="CS14" i="10"/>
  <c r="CT14" i="10"/>
  <c r="CU14" i="10"/>
  <c r="CV14" i="10"/>
  <c r="CW14" i="10"/>
  <c r="CX14" i="10"/>
  <c r="CR15" i="10"/>
  <c r="CS15" i="10"/>
  <c r="CT15" i="10"/>
  <c r="CU15" i="10"/>
  <c r="CV15" i="10"/>
  <c r="CW15" i="10"/>
  <c r="CX15" i="10"/>
  <c r="CR16" i="10"/>
  <c r="CS16" i="10"/>
  <c r="CT16" i="10"/>
  <c r="CU16" i="10"/>
  <c r="CV16" i="10"/>
  <c r="CW16" i="10"/>
  <c r="CX16" i="10"/>
  <c r="CR17" i="10"/>
  <c r="CS17" i="10"/>
  <c r="CT17" i="10"/>
  <c r="CU17" i="10"/>
  <c r="CV17" i="10"/>
  <c r="CW17" i="10"/>
  <c r="CX17" i="10"/>
  <c r="CR18" i="10"/>
  <c r="CS18" i="10"/>
  <c r="CT18" i="10"/>
  <c r="CU18" i="10"/>
  <c r="CV18" i="10"/>
  <c r="CW18" i="10"/>
  <c r="CX18" i="10"/>
  <c r="CR19" i="10"/>
  <c r="CS19" i="10"/>
  <c r="CT19" i="10"/>
  <c r="CU19" i="10"/>
  <c r="CV19" i="10"/>
  <c r="CW19" i="10"/>
  <c r="CX19" i="10"/>
  <c r="CR20" i="10"/>
  <c r="CS20" i="10"/>
  <c r="CT20" i="10"/>
  <c r="CU20" i="10"/>
  <c r="CV20" i="10"/>
  <c r="CW20" i="10"/>
  <c r="CX20" i="10"/>
  <c r="CR21" i="10"/>
  <c r="CS21" i="10"/>
  <c r="CT21" i="10"/>
  <c r="CU21" i="10"/>
  <c r="CV21" i="10"/>
  <c r="CW21" i="10"/>
  <c r="CX21" i="10"/>
  <c r="CR22" i="10"/>
  <c r="CS22" i="10"/>
  <c r="CT22" i="10"/>
  <c r="CU22" i="10"/>
  <c r="CV22" i="10"/>
  <c r="CW22" i="10"/>
  <c r="CX22" i="10"/>
  <c r="CR23" i="10"/>
  <c r="CS23" i="10"/>
  <c r="CT23" i="10"/>
  <c r="CU23" i="10"/>
  <c r="CV23" i="10"/>
  <c r="CW23" i="10"/>
  <c r="CX23" i="10"/>
  <c r="CR24" i="10"/>
  <c r="CS24" i="10"/>
  <c r="CT24" i="10"/>
  <c r="CU24" i="10"/>
  <c r="CV24" i="10"/>
  <c r="CW24" i="10"/>
  <c r="CX24" i="10"/>
  <c r="CR25" i="10"/>
  <c r="CS25" i="10"/>
  <c r="CT25" i="10"/>
  <c r="CU25" i="10"/>
  <c r="CV25" i="10"/>
  <c r="CW25" i="10"/>
  <c r="CX25" i="10"/>
  <c r="CR26" i="10"/>
  <c r="CS26" i="10"/>
  <c r="CT26" i="10"/>
  <c r="CU26" i="10"/>
  <c r="CV26" i="10"/>
  <c r="CW26" i="10"/>
  <c r="CX26" i="10"/>
  <c r="CR27" i="10"/>
  <c r="CS27" i="10"/>
  <c r="CT27" i="10"/>
  <c r="CU27" i="10"/>
  <c r="CV27" i="10"/>
  <c r="CW27" i="10"/>
  <c r="CX27" i="10"/>
  <c r="CR28" i="10"/>
  <c r="CS28" i="10"/>
  <c r="CT28" i="10"/>
  <c r="CU28" i="10"/>
  <c r="CV28" i="10"/>
  <c r="CW28" i="10"/>
  <c r="CX28" i="10"/>
  <c r="CR29" i="10"/>
  <c r="CS29" i="10"/>
  <c r="CT29" i="10"/>
  <c r="CU29" i="10"/>
  <c r="CV29" i="10"/>
  <c r="CW29" i="10"/>
  <c r="CX29" i="10"/>
  <c r="CR30" i="10"/>
  <c r="CS30" i="10"/>
  <c r="CT30" i="10"/>
  <c r="CU30" i="10"/>
  <c r="CV30" i="10"/>
  <c r="CW30" i="10"/>
  <c r="CX30" i="10"/>
  <c r="CR31" i="10"/>
  <c r="CS31" i="10"/>
  <c r="CT31" i="10"/>
  <c r="CU31" i="10"/>
  <c r="CV31" i="10"/>
  <c r="CW31" i="10"/>
  <c r="CX31" i="10"/>
  <c r="CR32" i="10"/>
  <c r="CS32" i="10"/>
  <c r="CT32" i="10"/>
  <c r="CU32" i="10"/>
  <c r="CV32" i="10"/>
  <c r="CW32" i="10"/>
  <c r="CX32" i="10"/>
  <c r="CR33" i="10"/>
  <c r="CS33" i="10"/>
  <c r="CT33" i="10"/>
  <c r="CU33" i="10"/>
  <c r="CV33" i="10"/>
  <c r="CW33" i="10"/>
  <c r="CX33" i="10"/>
  <c r="CR34" i="10"/>
  <c r="CS34" i="10"/>
  <c r="CT34" i="10"/>
  <c r="CU34" i="10"/>
  <c r="CV34" i="10"/>
  <c r="CW34" i="10"/>
  <c r="CX34" i="10"/>
  <c r="CR35" i="10"/>
  <c r="CS35" i="10"/>
  <c r="CT35" i="10"/>
  <c r="CU35" i="10"/>
  <c r="CV35" i="10"/>
  <c r="CW35" i="10"/>
  <c r="CX35" i="10"/>
  <c r="CR36" i="10"/>
  <c r="CS36" i="10"/>
  <c r="CT36" i="10"/>
  <c r="CU36" i="10"/>
  <c r="CV36" i="10"/>
  <c r="CW36" i="10"/>
  <c r="CX36" i="10"/>
  <c r="CR37" i="10"/>
  <c r="CS37" i="10"/>
  <c r="CT37" i="10"/>
  <c r="CU37" i="10"/>
  <c r="CV37" i="10"/>
  <c r="CW37" i="10"/>
  <c r="CX37" i="10"/>
  <c r="CR38" i="10"/>
  <c r="CS38" i="10"/>
  <c r="CT38" i="10"/>
  <c r="CU38" i="10"/>
  <c r="CV38" i="10"/>
  <c r="CW38" i="10"/>
  <c r="CX38" i="10"/>
  <c r="CR39" i="10"/>
  <c r="CS39" i="10"/>
  <c r="CT39" i="10"/>
  <c r="CU39" i="10"/>
  <c r="CV39" i="10"/>
  <c r="CW39" i="10"/>
  <c r="CX39" i="10"/>
  <c r="CR40" i="10"/>
  <c r="CS40" i="10"/>
  <c r="CT40" i="10"/>
  <c r="CU40" i="10"/>
  <c r="CV40" i="10"/>
  <c r="CW40" i="10"/>
  <c r="CX40" i="10"/>
  <c r="CR41" i="10"/>
  <c r="CS41" i="10"/>
  <c r="CT41" i="10"/>
  <c r="CU41" i="10"/>
  <c r="CV41" i="10"/>
  <c r="CW41" i="10"/>
  <c r="CX41" i="10"/>
  <c r="CR42" i="10"/>
  <c r="CS42" i="10"/>
  <c r="CT42" i="10"/>
  <c r="CU42" i="10"/>
  <c r="CV42" i="10"/>
  <c r="CW42" i="10"/>
  <c r="CX42" i="10"/>
  <c r="CR43" i="10"/>
  <c r="CS43" i="10"/>
  <c r="CT43" i="10"/>
  <c r="CU43" i="10"/>
  <c r="CV43" i="10"/>
  <c r="CW43" i="10"/>
  <c r="CX43" i="10"/>
  <c r="CR44" i="10"/>
  <c r="CS44" i="10"/>
  <c r="CT44" i="10"/>
  <c r="CU44" i="10"/>
  <c r="CV44" i="10"/>
  <c r="CW44" i="10"/>
  <c r="CX44" i="10"/>
  <c r="CR45" i="10"/>
  <c r="CS45" i="10"/>
  <c r="CT45" i="10"/>
  <c r="CU45" i="10"/>
  <c r="CV45" i="10"/>
  <c r="CW45" i="10"/>
  <c r="CX45" i="10"/>
  <c r="CR46" i="10"/>
  <c r="CS46" i="10"/>
  <c r="CT46" i="10"/>
  <c r="CU46" i="10"/>
  <c r="CV46" i="10"/>
  <c r="CW46" i="10"/>
  <c r="CX46" i="10"/>
  <c r="CR47" i="10"/>
  <c r="CS47" i="10"/>
  <c r="CT47" i="10"/>
  <c r="CU47" i="10"/>
  <c r="CV47" i="10"/>
  <c r="CW47" i="10"/>
  <c r="CX47" i="10"/>
  <c r="CR48" i="10"/>
  <c r="CS48" i="10"/>
  <c r="CT48" i="10"/>
  <c r="CU48" i="10"/>
  <c r="CV48" i="10"/>
  <c r="CW48" i="10"/>
  <c r="CX48" i="10"/>
  <c r="CR49" i="10"/>
  <c r="CS49" i="10"/>
  <c r="CT49" i="10"/>
  <c r="CU49" i="10"/>
  <c r="CV49" i="10"/>
  <c r="CW49" i="10"/>
  <c r="CX49" i="10"/>
  <c r="CR50" i="10"/>
  <c r="CS50" i="10"/>
  <c r="CT50" i="10"/>
  <c r="CU50" i="10"/>
  <c r="CV50" i="10"/>
  <c r="CW50" i="10"/>
  <c r="CX50" i="10"/>
  <c r="CR51" i="10"/>
  <c r="CS51" i="10"/>
  <c r="CT51" i="10"/>
  <c r="CU51" i="10"/>
  <c r="CV51" i="10"/>
  <c r="CW51" i="10"/>
  <c r="CX51" i="10"/>
  <c r="CR52" i="10"/>
  <c r="CS52" i="10"/>
  <c r="CT52" i="10"/>
  <c r="CU52" i="10"/>
  <c r="CV52" i="10"/>
  <c r="CW52" i="10"/>
  <c r="CX52" i="10"/>
  <c r="CR53" i="10"/>
  <c r="CS53" i="10"/>
  <c r="CT53" i="10"/>
  <c r="CU53" i="10"/>
  <c r="CV53" i="10"/>
  <c r="CW53" i="10"/>
  <c r="CX53" i="10"/>
  <c r="CR54" i="10"/>
  <c r="CS54" i="10"/>
  <c r="CT54" i="10"/>
  <c r="CU54" i="10"/>
  <c r="CV54" i="10"/>
  <c r="CW54" i="10"/>
  <c r="CX54" i="10"/>
  <c r="CR55" i="10"/>
  <c r="CS55" i="10"/>
  <c r="CT55" i="10"/>
  <c r="CU55" i="10"/>
  <c r="CV55" i="10"/>
  <c r="CW55" i="10"/>
  <c r="CX55" i="10"/>
  <c r="CS8" i="10"/>
  <c r="CT8" i="10"/>
  <c r="CT56" i="10" s="1"/>
  <c r="CU8" i="10"/>
  <c r="CV8" i="10"/>
  <c r="CW8" i="10"/>
  <c r="CX8" i="10"/>
  <c r="CR8" i="10"/>
  <c r="DD64" i="10"/>
  <c r="DE64" i="10"/>
  <c r="DF64" i="10"/>
  <c r="DG64" i="10"/>
  <c r="DH64" i="10"/>
  <c r="DI64" i="10"/>
  <c r="DJ64" i="10"/>
  <c r="DD65" i="10"/>
  <c r="DE65" i="10"/>
  <c r="DF65" i="10"/>
  <c r="DG65" i="10"/>
  <c r="DH65" i="10"/>
  <c r="DI65" i="10"/>
  <c r="DJ65" i="10"/>
  <c r="DD66" i="10"/>
  <c r="DE66" i="10"/>
  <c r="DF66" i="10"/>
  <c r="DG66" i="10"/>
  <c r="DH66" i="10"/>
  <c r="DI66" i="10"/>
  <c r="DJ66" i="10"/>
  <c r="DD67" i="10"/>
  <c r="DE67" i="10"/>
  <c r="DF67" i="10"/>
  <c r="DG67" i="10"/>
  <c r="DH67" i="10"/>
  <c r="DI67" i="10"/>
  <c r="DJ67" i="10"/>
  <c r="DD68" i="10"/>
  <c r="DE68" i="10"/>
  <c r="DF68" i="10"/>
  <c r="DG68" i="10"/>
  <c r="DH68" i="10"/>
  <c r="DI68" i="10"/>
  <c r="DJ68" i="10"/>
  <c r="DD69" i="10"/>
  <c r="DE69" i="10"/>
  <c r="DF69" i="10"/>
  <c r="DG69" i="10"/>
  <c r="DH69" i="10"/>
  <c r="DI69" i="10"/>
  <c r="DJ69" i="10"/>
  <c r="DD70" i="10"/>
  <c r="DE70" i="10"/>
  <c r="DF70" i="10"/>
  <c r="DG70" i="10"/>
  <c r="DH70" i="10"/>
  <c r="DI70" i="10"/>
  <c r="DJ70" i="10"/>
  <c r="DD71" i="10"/>
  <c r="DE71" i="10"/>
  <c r="DF71" i="10"/>
  <c r="DG71" i="10"/>
  <c r="DH71" i="10"/>
  <c r="DI71" i="10"/>
  <c r="DJ71" i="10"/>
  <c r="DD72" i="10"/>
  <c r="DE72" i="10"/>
  <c r="DF72" i="10"/>
  <c r="DG72" i="10"/>
  <c r="DH72" i="10"/>
  <c r="DI72" i="10"/>
  <c r="DJ72" i="10"/>
  <c r="DD73" i="10"/>
  <c r="DE73" i="10"/>
  <c r="DF73" i="10"/>
  <c r="DG73" i="10"/>
  <c r="DH73" i="10"/>
  <c r="DI73" i="10"/>
  <c r="DJ73" i="10"/>
  <c r="DD74" i="10"/>
  <c r="DE74" i="10"/>
  <c r="DF74" i="10"/>
  <c r="DG74" i="10"/>
  <c r="DH74" i="10"/>
  <c r="DI74" i="10"/>
  <c r="DJ74" i="10"/>
  <c r="DD75" i="10"/>
  <c r="DE75" i="10"/>
  <c r="DF75" i="10"/>
  <c r="DG75" i="10"/>
  <c r="DH75" i="10"/>
  <c r="DI75" i="10"/>
  <c r="DJ75" i="10"/>
  <c r="DD76" i="10"/>
  <c r="DE76" i="10"/>
  <c r="DF76" i="10"/>
  <c r="DG76" i="10"/>
  <c r="DH76" i="10"/>
  <c r="DI76" i="10"/>
  <c r="DJ76" i="10"/>
  <c r="DD77" i="10"/>
  <c r="DE77" i="10"/>
  <c r="DF77" i="10"/>
  <c r="DG77" i="10"/>
  <c r="DH77" i="10"/>
  <c r="DI77" i="10"/>
  <c r="DJ77" i="10"/>
  <c r="DD78" i="10"/>
  <c r="DE78" i="10"/>
  <c r="DF78" i="10"/>
  <c r="DG78" i="10"/>
  <c r="DH78" i="10"/>
  <c r="DI78" i="10"/>
  <c r="DJ78" i="10"/>
  <c r="DD79" i="10"/>
  <c r="DE79" i="10"/>
  <c r="DF79" i="10"/>
  <c r="DG79" i="10"/>
  <c r="DH79" i="10"/>
  <c r="DI79" i="10"/>
  <c r="DJ79" i="10"/>
  <c r="DD80" i="10"/>
  <c r="DE80" i="10"/>
  <c r="DF80" i="10"/>
  <c r="DG80" i="10"/>
  <c r="DH80" i="10"/>
  <c r="DI80" i="10"/>
  <c r="DJ80" i="10"/>
  <c r="DD81" i="10"/>
  <c r="DE81" i="10"/>
  <c r="DF81" i="10"/>
  <c r="DG81" i="10"/>
  <c r="DH81" i="10"/>
  <c r="DI81" i="10"/>
  <c r="DJ81" i="10"/>
  <c r="DD82" i="10"/>
  <c r="DE82" i="10"/>
  <c r="DF82" i="10"/>
  <c r="DG82" i="10"/>
  <c r="DH82" i="10"/>
  <c r="DI82" i="10"/>
  <c r="DJ82" i="10"/>
  <c r="DD83" i="10"/>
  <c r="DE83" i="10"/>
  <c r="DF83" i="10"/>
  <c r="DG83" i="10"/>
  <c r="DH83" i="10"/>
  <c r="DI83" i="10"/>
  <c r="DJ83" i="10"/>
  <c r="DD84" i="10"/>
  <c r="DE84" i="10"/>
  <c r="DF84" i="10"/>
  <c r="DG84" i="10"/>
  <c r="DH84" i="10"/>
  <c r="DI84" i="10"/>
  <c r="DJ84" i="10"/>
  <c r="DD85" i="10"/>
  <c r="DE85" i="10"/>
  <c r="DF85" i="10"/>
  <c r="DG85" i="10"/>
  <c r="DH85" i="10"/>
  <c r="DI85" i="10"/>
  <c r="DJ85" i="10"/>
  <c r="DD86" i="10"/>
  <c r="DE86" i="10"/>
  <c r="DF86" i="10"/>
  <c r="DG86" i="10"/>
  <c r="DH86" i="10"/>
  <c r="DI86" i="10"/>
  <c r="DJ86" i="10"/>
  <c r="DD87" i="10"/>
  <c r="DE87" i="10"/>
  <c r="DF87" i="10"/>
  <c r="DG87" i="10"/>
  <c r="DH87" i="10"/>
  <c r="DI87" i="10"/>
  <c r="DJ87" i="10"/>
  <c r="DD88" i="10"/>
  <c r="DE88" i="10"/>
  <c r="DF88" i="10"/>
  <c r="DG88" i="10"/>
  <c r="DH88" i="10"/>
  <c r="DI88" i="10"/>
  <c r="DJ88" i="10"/>
  <c r="DD89" i="10"/>
  <c r="DE89" i="10"/>
  <c r="DF89" i="10"/>
  <c r="DG89" i="10"/>
  <c r="DH89" i="10"/>
  <c r="DI89" i="10"/>
  <c r="DJ89" i="10"/>
  <c r="DD90" i="10"/>
  <c r="DE90" i="10"/>
  <c r="DF90" i="10"/>
  <c r="DG90" i="10"/>
  <c r="DH90" i="10"/>
  <c r="DI90" i="10"/>
  <c r="DJ90" i="10"/>
  <c r="DD91" i="10"/>
  <c r="DE91" i="10"/>
  <c r="DF91" i="10"/>
  <c r="DG91" i="10"/>
  <c r="DH91" i="10"/>
  <c r="DI91" i="10"/>
  <c r="DJ91" i="10"/>
  <c r="DD92" i="10"/>
  <c r="DE92" i="10"/>
  <c r="DF92" i="10"/>
  <c r="DG92" i="10"/>
  <c r="DH92" i="10"/>
  <c r="DI92" i="10"/>
  <c r="DJ92" i="10"/>
  <c r="DD93" i="10"/>
  <c r="DE93" i="10"/>
  <c r="DF93" i="10"/>
  <c r="DG93" i="10"/>
  <c r="DH93" i="10"/>
  <c r="DI93" i="10"/>
  <c r="DJ93" i="10"/>
  <c r="DD94" i="10"/>
  <c r="DE94" i="10"/>
  <c r="DF94" i="10"/>
  <c r="DG94" i="10"/>
  <c r="DH94" i="10"/>
  <c r="DI94" i="10"/>
  <c r="DJ94" i="10"/>
  <c r="DD95" i="10"/>
  <c r="DE95" i="10"/>
  <c r="DF95" i="10"/>
  <c r="DG95" i="10"/>
  <c r="DH95" i="10"/>
  <c r="DI95" i="10"/>
  <c r="DJ95" i="10"/>
  <c r="DD96" i="10"/>
  <c r="DE96" i="10"/>
  <c r="DF96" i="10"/>
  <c r="DG96" i="10"/>
  <c r="DH96" i="10"/>
  <c r="DI96" i="10"/>
  <c r="DJ96" i="10"/>
  <c r="DD97" i="10"/>
  <c r="DE97" i="10"/>
  <c r="DF97" i="10"/>
  <c r="DG97" i="10"/>
  <c r="DH97" i="10"/>
  <c r="DI97" i="10"/>
  <c r="DJ97" i="10"/>
  <c r="DD98" i="10"/>
  <c r="DE98" i="10"/>
  <c r="DF98" i="10"/>
  <c r="DG98" i="10"/>
  <c r="DH98" i="10"/>
  <c r="DI98" i="10"/>
  <c r="DJ98" i="10"/>
  <c r="DD99" i="10"/>
  <c r="DE99" i="10"/>
  <c r="DF99" i="10"/>
  <c r="DG99" i="10"/>
  <c r="DH99" i="10"/>
  <c r="DI99" i="10"/>
  <c r="DJ99" i="10"/>
  <c r="DD100" i="10"/>
  <c r="DE100" i="10"/>
  <c r="DF100" i="10"/>
  <c r="DG100" i="10"/>
  <c r="DH100" i="10"/>
  <c r="DI100" i="10"/>
  <c r="DJ100" i="10"/>
  <c r="DD101" i="10"/>
  <c r="DE101" i="10"/>
  <c r="DF101" i="10"/>
  <c r="DG101" i="10"/>
  <c r="DH101" i="10"/>
  <c r="DI101" i="10"/>
  <c r="DJ101" i="10"/>
  <c r="DD102" i="10"/>
  <c r="DE102" i="10"/>
  <c r="DF102" i="10"/>
  <c r="DG102" i="10"/>
  <c r="DH102" i="10"/>
  <c r="DI102" i="10"/>
  <c r="DJ102" i="10"/>
  <c r="DD103" i="10"/>
  <c r="DE103" i="10"/>
  <c r="DF103" i="10"/>
  <c r="DG103" i="10"/>
  <c r="DH103" i="10"/>
  <c r="DI103" i="10"/>
  <c r="DJ103" i="10"/>
  <c r="DD104" i="10"/>
  <c r="DE104" i="10"/>
  <c r="DF104" i="10"/>
  <c r="DG104" i="10"/>
  <c r="DH104" i="10"/>
  <c r="DI104" i="10"/>
  <c r="DJ104" i="10"/>
  <c r="DD105" i="10"/>
  <c r="DE105" i="10"/>
  <c r="DF105" i="10"/>
  <c r="DG105" i="10"/>
  <c r="DH105" i="10"/>
  <c r="DI105" i="10"/>
  <c r="DJ105" i="10"/>
  <c r="DD106" i="10"/>
  <c r="DE106" i="10"/>
  <c r="DF106" i="10"/>
  <c r="DG106" i="10"/>
  <c r="DH106" i="10"/>
  <c r="DI106" i="10"/>
  <c r="DJ106" i="10"/>
  <c r="DD107" i="10"/>
  <c r="DE107" i="10"/>
  <c r="DF107" i="10"/>
  <c r="DG107" i="10"/>
  <c r="DH107" i="10"/>
  <c r="DI107" i="10"/>
  <c r="DJ107" i="10"/>
  <c r="DD108" i="10"/>
  <c r="DE108" i="10"/>
  <c r="DF108" i="10"/>
  <c r="DG108" i="10"/>
  <c r="DH108" i="10"/>
  <c r="DI108" i="10"/>
  <c r="DJ108" i="10"/>
  <c r="DD109" i="10"/>
  <c r="DE109" i="10"/>
  <c r="DF109" i="10"/>
  <c r="DG109" i="10"/>
  <c r="DH109" i="10"/>
  <c r="DI109" i="10"/>
  <c r="DJ109" i="10"/>
  <c r="DD110" i="10"/>
  <c r="DE110" i="10"/>
  <c r="DF110" i="10"/>
  <c r="DG110" i="10"/>
  <c r="DH110" i="10"/>
  <c r="DI110" i="10"/>
  <c r="DJ110" i="10"/>
  <c r="DE63" i="10"/>
  <c r="DF63" i="10"/>
  <c r="DG63" i="10"/>
  <c r="DH63" i="10"/>
  <c r="DI63" i="10"/>
  <c r="DI111" i="10" s="1"/>
  <c r="DJ63" i="10"/>
  <c r="DD63" i="10"/>
  <c r="BF5" i="8"/>
  <c r="CG54" i="10"/>
  <c r="CA8" i="10"/>
  <c r="CB8" i="10"/>
  <c r="CB55" i="10" s="1"/>
  <c r="CC8" i="10"/>
  <c r="CD8" i="10"/>
  <c r="CE8" i="10"/>
  <c r="CF8" i="10"/>
  <c r="CF55" i="10" s="1"/>
  <c r="CG8" i="10"/>
  <c r="CA9" i="10"/>
  <c r="CB9" i="10"/>
  <c r="CC9" i="10"/>
  <c r="CD9" i="10"/>
  <c r="CE9" i="10"/>
  <c r="CF9" i="10"/>
  <c r="CG9" i="10"/>
  <c r="CA10" i="10"/>
  <c r="CB10" i="10"/>
  <c r="CC10" i="10"/>
  <c r="CD10" i="10"/>
  <c r="CE10" i="10"/>
  <c r="CF10" i="10"/>
  <c r="CG10" i="10"/>
  <c r="CA11" i="10"/>
  <c r="CB11" i="10"/>
  <c r="CC11" i="10"/>
  <c r="CD11" i="10"/>
  <c r="CE11" i="10"/>
  <c r="CF11" i="10"/>
  <c r="CG11" i="10"/>
  <c r="CA12" i="10"/>
  <c r="CB12" i="10"/>
  <c r="CC12" i="10"/>
  <c r="CD12" i="10"/>
  <c r="CE12" i="10"/>
  <c r="CF12" i="10"/>
  <c r="CG12" i="10"/>
  <c r="CA13" i="10"/>
  <c r="CB13" i="10"/>
  <c r="CC13" i="10"/>
  <c r="CD13" i="10"/>
  <c r="CE13" i="10"/>
  <c r="CF13" i="10"/>
  <c r="CG13" i="10"/>
  <c r="CA14" i="10"/>
  <c r="CB14" i="10"/>
  <c r="CC14" i="10"/>
  <c r="CD14" i="10"/>
  <c r="CE14" i="10"/>
  <c r="CF14" i="10"/>
  <c r="CG14" i="10"/>
  <c r="CA15" i="10"/>
  <c r="CB15" i="10"/>
  <c r="CC15" i="10"/>
  <c r="CD15" i="10"/>
  <c r="CE15" i="10"/>
  <c r="CF15" i="10"/>
  <c r="CG15" i="10"/>
  <c r="CA16" i="10"/>
  <c r="CB16" i="10"/>
  <c r="CC16" i="10"/>
  <c r="CD16" i="10"/>
  <c r="CE16" i="10"/>
  <c r="CF16" i="10"/>
  <c r="CG16" i="10"/>
  <c r="CA17" i="10"/>
  <c r="CB17" i="10"/>
  <c r="CC17" i="10"/>
  <c r="CD17" i="10"/>
  <c r="CE17" i="10"/>
  <c r="CF17" i="10"/>
  <c r="CG17" i="10"/>
  <c r="CA18" i="10"/>
  <c r="CB18" i="10"/>
  <c r="CC18" i="10"/>
  <c r="CD18" i="10"/>
  <c r="CE18" i="10"/>
  <c r="CF18" i="10"/>
  <c r="CG18" i="10"/>
  <c r="CA19" i="10"/>
  <c r="CB19" i="10"/>
  <c r="CC19" i="10"/>
  <c r="CD19" i="10"/>
  <c r="CE19" i="10"/>
  <c r="CF19" i="10"/>
  <c r="CG19" i="10"/>
  <c r="CA20" i="10"/>
  <c r="CB20" i="10"/>
  <c r="CC20" i="10"/>
  <c r="CD20" i="10"/>
  <c r="CE20" i="10"/>
  <c r="CF20" i="10"/>
  <c r="CG20" i="10"/>
  <c r="CA21" i="10"/>
  <c r="CB21" i="10"/>
  <c r="CC21" i="10"/>
  <c r="CD21" i="10"/>
  <c r="CE21" i="10"/>
  <c r="CF21" i="10"/>
  <c r="CG21" i="10"/>
  <c r="CA22" i="10"/>
  <c r="CB22" i="10"/>
  <c r="CC22" i="10"/>
  <c r="CD22" i="10"/>
  <c r="CE22" i="10"/>
  <c r="CF22" i="10"/>
  <c r="CG22" i="10"/>
  <c r="CA23" i="10"/>
  <c r="CB23" i="10"/>
  <c r="CC23" i="10"/>
  <c r="CD23" i="10"/>
  <c r="CE23" i="10"/>
  <c r="CF23" i="10"/>
  <c r="CG23" i="10"/>
  <c r="CA24" i="10"/>
  <c r="CB24" i="10"/>
  <c r="CC24" i="10"/>
  <c r="CD24" i="10"/>
  <c r="CE24" i="10"/>
  <c r="CF24" i="10"/>
  <c r="CG24" i="10"/>
  <c r="CA25" i="10"/>
  <c r="CB25" i="10"/>
  <c r="CC25" i="10"/>
  <c r="CD25" i="10"/>
  <c r="CE25" i="10"/>
  <c r="CF25" i="10"/>
  <c r="CG25" i="10"/>
  <c r="CA26" i="10"/>
  <c r="CB26" i="10"/>
  <c r="CC26" i="10"/>
  <c r="CD26" i="10"/>
  <c r="CE26" i="10"/>
  <c r="CF26" i="10"/>
  <c r="CG26" i="10"/>
  <c r="CA27" i="10"/>
  <c r="CB27" i="10"/>
  <c r="CC27" i="10"/>
  <c r="CD27" i="10"/>
  <c r="CE27" i="10"/>
  <c r="CF27" i="10"/>
  <c r="CG27" i="10"/>
  <c r="CA28" i="10"/>
  <c r="CB28" i="10"/>
  <c r="CC28" i="10"/>
  <c r="CD28" i="10"/>
  <c r="CE28" i="10"/>
  <c r="CF28" i="10"/>
  <c r="CG28" i="10"/>
  <c r="CA29" i="10"/>
  <c r="CB29" i="10"/>
  <c r="CC29" i="10"/>
  <c r="CD29" i="10"/>
  <c r="CE29" i="10"/>
  <c r="CF29" i="10"/>
  <c r="CG29" i="10"/>
  <c r="CA30" i="10"/>
  <c r="CB30" i="10"/>
  <c r="CC30" i="10"/>
  <c r="CD30" i="10"/>
  <c r="CE30" i="10"/>
  <c r="CF30" i="10"/>
  <c r="CG30" i="10"/>
  <c r="CA31" i="10"/>
  <c r="CB31" i="10"/>
  <c r="CC31" i="10"/>
  <c r="CD31" i="10"/>
  <c r="CE31" i="10"/>
  <c r="CF31" i="10"/>
  <c r="CG31" i="10"/>
  <c r="CA32" i="10"/>
  <c r="CB32" i="10"/>
  <c r="CC32" i="10"/>
  <c r="CD32" i="10"/>
  <c r="CE32" i="10"/>
  <c r="CF32" i="10"/>
  <c r="CG32" i="10"/>
  <c r="CA33" i="10"/>
  <c r="CB33" i="10"/>
  <c r="CC33" i="10"/>
  <c r="CD33" i="10"/>
  <c r="CE33" i="10"/>
  <c r="CF33" i="10"/>
  <c r="CG33" i="10"/>
  <c r="CA34" i="10"/>
  <c r="CB34" i="10"/>
  <c r="CC34" i="10"/>
  <c r="CD34" i="10"/>
  <c r="CE34" i="10"/>
  <c r="CF34" i="10"/>
  <c r="CG34" i="10"/>
  <c r="CA35" i="10"/>
  <c r="CB35" i="10"/>
  <c r="CC35" i="10"/>
  <c r="CD35" i="10"/>
  <c r="CE35" i="10"/>
  <c r="CF35" i="10"/>
  <c r="CG35" i="10"/>
  <c r="CA36" i="10"/>
  <c r="CB36" i="10"/>
  <c r="CC36" i="10"/>
  <c r="CD36" i="10"/>
  <c r="CE36" i="10"/>
  <c r="CF36" i="10"/>
  <c r="CG36" i="10"/>
  <c r="CA37" i="10"/>
  <c r="CB37" i="10"/>
  <c r="CC37" i="10"/>
  <c r="CD37" i="10"/>
  <c r="CE37" i="10"/>
  <c r="CF37" i="10"/>
  <c r="CG37" i="10"/>
  <c r="CA38" i="10"/>
  <c r="CB38" i="10"/>
  <c r="CC38" i="10"/>
  <c r="CD38" i="10"/>
  <c r="CE38" i="10"/>
  <c r="CF38" i="10"/>
  <c r="CG38" i="10"/>
  <c r="CA39" i="10"/>
  <c r="CB39" i="10"/>
  <c r="CC39" i="10"/>
  <c r="CD39" i="10"/>
  <c r="CE39" i="10"/>
  <c r="CF39" i="10"/>
  <c r="CG39" i="10"/>
  <c r="CA40" i="10"/>
  <c r="CB40" i="10"/>
  <c r="CC40" i="10"/>
  <c r="CD40" i="10"/>
  <c r="CE40" i="10"/>
  <c r="CF40" i="10"/>
  <c r="CG40" i="10"/>
  <c r="CA41" i="10"/>
  <c r="CB41" i="10"/>
  <c r="CC41" i="10"/>
  <c r="CD41" i="10"/>
  <c r="CE41" i="10"/>
  <c r="CF41" i="10"/>
  <c r="CG41" i="10"/>
  <c r="CA42" i="10"/>
  <c r="CB42" i="10"/>
  <c r="CC42" i="10"/>
  <c r="CD42" i="10"/>
  <c r="CE42" i="10"/>
  <c r="CF42" i="10"/>
  <c r="CG42" i="10"/>
  <c r="CA43" i="10"/>
  <c r="CB43" i="10"/>
  <c r="CC43" i="10"/>
  <c r="CD43" i="10"/>
  <c r="CE43" i="10"/>
  <c r="CF43" i="10"/>
  <c r="CG43" i="10"/>
  <c r="CA44" i="10"/>
  <c r="CB44" i="10"/>
  <c r="CC44" i="10"/>
  <c r="CD44" i="10"/>
  <c r="CE44" i="10"/>
  <c r="CF44" i="10"/>
  <c r="CG44" i="10"/>
  <c r="CA45" i="10"/>
  <c r="CB45" i="10"/>
  <c r="CC45" i="10"/>
  <c r="CD45" i="10"/>
  <c r="CE45" i="10"/>
  <c r="CF45" i="10"/>
  <c r="CG45" i="10"/>
  <c r="CA46" i="10"/>
  <c r="CB46" i="10"/>
  <c r="CC46" i="10"/>
  <c r="CD46" i="10"/>
  <c r="CE46" i="10"/>
  <c r="CF46" i="10"/>
  <c r="CG46" i="10"/>
  <c r="CA47" i="10"/>
  <c r="CB47" i="10"/>
  <c r="CC47" i="10"/>
  <c r="CD47" i="10"/>
  <c r="CE47" i="10"/>
  <c r="CF47" i="10"/>
  <c r="CG47" i="10"/>
  <c r="CA48" i="10"/>
  <c r="CB48" i="10"/>
  <c r="CC48" i="10"/>
  <c r="CD48" i="10"/>
  <c r="CE48" i="10"/>
  <c r="CF48" i="10"/>
  <c r="CG48" i="10"/>
  <c r="CA49" i="10"/>
  <c r="CB49" i="10"/>
  <c r="CC49" i="10"/>
  <c r="CD49" i="10"/>
  <c r="CE49" i="10"/>
  <c r="CF49" i="10"/>
  <c r="CG49" i="10"/>
  <c r="CA50" i="10"/>
  <c r="CB50" i="10"/>
  <c r="CC50" i="10"/>
  <c r="CD50" i="10"/>
  <c r="CE50" i="10"/>
  <c r="CF50" i="10"/>
  <c r="CG50" i="10"/>
  <c r="CA51" i="10"/>
  <c r="CB51" i="10"/>
  <c r="CC51" i="10"/>
  <c r="CD51" i="10"/>
  <c r="CE51" i="10"/>
  <c r="CF51" i="10"/>
  <c r="CG51" i="10"/>
  <c r="CA52" i="10"/>
  <c r="CB52" i="10"/>
  <c r="CC52" i="10"/>
  <c r="CD52" i="10"/>
  <c r="CE52" i="10"/>
  <c r="CF52" i="10"/>
  <c r="CG52" i="10"/>
  <c r="CA53" i="10"/>
  <c r="CB53" i="10"/>
  <c r="CC53" i="10"/>
  <c r="CD53" i="10"/>
  <c r="CE53" i="10"/>
  <c r="CF53" i="10"/>
  <c r="CG53" i="10"/>
  <c r="CA54" i="10"/>
  <c r="CB54" i="10"/>
  <c r="CC54" i="10"/>
  <c r="CD54" i="10"/>
  <c r="CE54" i="10"/>
  <c r="CF54" i="10"/>
  <c r="CB7" i="10"/>
  <c r="CC7" i="10"/>
  <c r="CC55" i="10" s="1"/>
  <c r="CD7" i="10"/>
  <c r="CD55" i="10" s="1"/>
  <c r="CE7" i="10"/>
  <c r="CE55" i="10" s="1"/>
  <c r="CF7" i="10"/>
  <c r="CG7" i="10"/>
  <c r="CG55" i="10" s="1"/>
  <c r="CA7" i="10"/>
  <c r="CA55" i="10" s="1"/>
  <c r="CC3" i="10"/>
  <c r="BQ55" i="10"/>
  <c r="BR55" i="10"/>
  <c r="BS55" i="10"/>
  <c r="BT55" i="10"/>
  <c r="BU55" i="10"/>
  <c r="BV55" i="10"/>
  <c r="BW55" i="10"/>
  <c r="DV64" i="10" a="1"/>
  <c r="DX64" i="10" a="1"/>
  <c r="DZ64" i="10" a="1"/>
  <c r="EB64" i="10" a="1"/>
  <c r="DW65" i="10" a="1"/>
  <c r="DY65" i="10" a="1"/>
  <c r="EA65" i="10" a="1"/>
  <c r="DV66" i="10" a="1"/>
  <c r="DX66" i="10" a="1"/>
  <c r="DZ66" i="10" a="1"/>
  <c r="DW64" i="10" a="1"/>
  <c r="DY64" i="10" a="1"/>
  <c r="EA64" i="10" a="1"/>
  <c r="DV65" i="10" a="1"/>
  <c r="DX65" i="10" a="1"/>
  <c r="DZ65" i="10" a="1"/>
  <c r="EB65" i="10" a="1"/>
  <c r="DW66" i="10" a="1"/>
  <c r="DY66" i="10" a="1"/>
  <c r="EA66" i="10" a="1"/>
  <c r="DY67" i="10" a="1"/>
  <c r="EB67" i="10" a="1"/>
  <c r="DZ68" i="10" a="1"/>
  <c r="DV69" i="10" a="1"/>
  <c r="EA69" i="10" a="1"/>
  <c r="DW70" i="10" a="1"/>
  <c r="EB70" i="10" a="1"/>
  <c r="DX71" i="10" a="1"/>
  <c r="DV72" i="10" a="1"/>
  <c r="DY72" i="10" a="1"/>
  <c r="DW73" i="10" a="1"/>
  <c r="DZ73" i="10" a="1"/>
  <c r="DX74" i="10" a="1"/>
  <c r="EA74" i="10" a="1"/>
  <c r="DY75" i="10" a="1"/>
  <c r="EB75" i="10" a="1"/>
  <c r="DZ76" i="10" a="1"/>
  <c r="DV77" i="10" a="1"/>
  <c r="EA77" i="10" a="1"/>
  <c r="DW78" i="10" a="1"/>
  <c r="EB78" i="10" a="1"/>
  <c r="DX79" i="10" a="1"/>
  <c r="DV80" i="10" a="1"/>
  <c r="DY80" i="10" a="1"/>
  <c r="DW81" i="10" a="1"/>
  <c r="DZ81" i="10" a="1"/>
  <c r="DX82" i="10" a="1"/>
  <c r="EA82" i="10" a="1"/>
  <c r="DY83" i="10" a="1"/>
  <c r="EB83" i="10" a="1"/>
  <c r="DZ84" i="10" a="1"/>
  <c r="DV85" i="10" a="1"/>
  <c r="EA85" i="10" a="1"/>
  <c r="DW86" i="10" a="1"/>
  <c r="EB86" i="10" a="1"/>
  <c r="DX87" i="10" a="1"/>
  <c r="DV88" i="10" a="1"/>
  <c r="DW67" i="10" a="1"/>
  <c r="DZ67" i="10" a="1"/>
  <c r="DX68" i="10" a="1"/>
  <c r="EA68" i="10" a="1"/>
  <c r="DY69" i="10" a="1"/>
  <c r="EB69" i="10" a="1"/>
  <c r="DZ70" i="10" a="1"/>
  <c r="DV71" i="10" a="1"/>
  <c r="EA71" i="10" a="1"/>
  <c r="DW72" i="10" a="1"/>
  <c r="EB72" i="10" a="1"/>
  <c r="DX73" i="10" a="1"/>
  <c r="DV74" i="10" a="1"/>
  <c r="DY74" i="10" a="1"/>
  <c r="DW75" i="10" a="1"/>
  <c r="DZ75" i="10" a="1"/>
  <c r="DX76" i="10" a="1"/>
  <c r="EA76" i="10" a="1"/>
  <c r="DY77" i="10" a="1"/>
  <c r="EB77" i="10" a="1"/>
  <c r="DZ78" i="10" a="1"/>
  <c r="DV79" i="10" a="1"/>
  <c r="EA79" i="10" a="1"/>
  <c r="DW80" i="10" a="1"/>
  <c r="EB80" i="10" a="1"/>
  <c r="DX81" i="10" a="1"/>
  <c r="DV82" i="10" a="1"/>
  <c r="DY82" i="10" a="1"/>
  <c r="DW83" i="10" a="1"/>
  <c r="DZ83" i="10" a="1"/>
  <c r="DX84" i="10" a="1"/>
  <c r="EA84" i="10" a="1"/>
  <c r="DY85" i="10" a="1"/>
  <c r="EB85" i="10" a="1"/>
  <c r="DZ86" i="10" a="1"/>
  <c r="EB66" i="10" a="1"/>
  <c r="DX67" i="10" a="1"/>
  <c r="DV68" i="10" a="1"/>
  <c r="DY68" i="10" a="1"/>
  <c r="DW69" i="10" a="1"/>
  <c r="DZ69" i="10" a="1"/>
  <c r="DX70" i="10" a="1"/>
  <c r="EA70" i="10" a="1"/>
  <c r="DY71" i="10" a="1"/>
  <c r="EB71" i="10" a="1"/>
  <c r="DZ72" i="10" a="1"/>
  <c r="DV73" i="10" a="1"/>
  <c r="EA73" i="10" a="1"/>
  <c r="DW74" i="10" a="1"/>
  <c r="EB74" i="10" a="1"/>
  <c r="DX75" i="10" a="1"/>
  <c r="DV76" i="10" a="1"/>
  <c r="DY76" i="10" a="1"/>
  <c r="DW77" i="10" a="1"/>
  <c r="DZ77" i="10" a="1"/>
  <c r="DX78" i="10" a="1"/>
  <c r="EA78" i="10" a="1"/>
  <c r="DY79" i="10" a="1"/>
  <c r="EB79" i="10" a="1"/>
  <c r="DZ80" i="10" a="1"/>
  <c r="DV81" i="10" a="1"/>
  <c r="EA81" i="10" a="1"/>
  <c r="DW82" i="10" a="1"/>
  <c r="EB82" i="10" a="1"/>
  <c r="DX83" i="10" a="1"/>
  <c r="DV84" i="10" a="1"/>
  <c r="DY84" i="10" a="1"/>
  <c r="DW85" i="10" a="1"/>
  <c r="DZ85" i="10" a="1"/>
  <c r="DX86" i="10" a="1"/>
  <c r="EA86" i="10" a="1"/>
  <c r="DY87" i="10" a="1"/>
  <c r="EB87" i="10" a="1"/>
  <c r="EA67" i="10" a="1"/>
  <c r="DX69" i="10" a="1"/>
  <c r="DX72" i="10" a="1"/>
  <c r="EB73" i="10" a="1"/>
  <c r="EB76" i="10" a="1"/>
  <c r="DY78" i="10" a="1"/>
  <c r="DY81" i="10" a="1"/>
  <c r="DV83" i="10" a="1"/>
  <c r="DV86" i="10" a="1"/>
  <c r="DW87" i="10" a="1"/>
  <c r="DZ88" i="10" a="1"/>
  <c r="DW89" i="10" a="1"/>
  <c r="EA89" i="10" a="1"/>
  <c r="DX90" i="10" a="1"/>
  <c r="EB90" i="10" a="1"/>
  <c r="DY91" i="10" a="1"/>
  <c r="DV92" i="10" a="1"/>
  <c r="DZ92" i="10" a="1"/>
  <c r="DW93" i="10" a="1"/>
  <c r="EA93" i="10" a="1"/>
  <c r="DX94" i="10" a="1"/>
  <c r="EB94" i="10" a="1"/>
  <c r="DY95" i="10" a="1"/>
  <c r="DV96" i="10" a="1"/>
  <c r="DZ96" i="10" a="1"/>
  <c r="DW97" i="10" a="1"/>
  <c r="EA97" i="10" a="1"/>
  <c r="DX98" i="10" a="1"/>
  <c r="EB98" i="10" a="1"/>
  <c r="DZ107" i="10" a="1"/>
  <c r="DZ109" i="10" a="1"/>
  <c r="DY110" i="10" a="1"/>
  <c r="DW90" i="10" a="1"/>
  <c r="DW68" i="10" a="1"/>
  <c r="DW71" i="10" a="1"/>
  <c r="EA72" i="10" a="1"/>
  <c r="EA75" i="10" a="1"/>
  <c r="DX77" i="10" a="1"/>
  <c r="DX80" i="10" a="1"/>
  <c r="EB81" i="10" a="1"/>
  <c r="EB84" i="10" a="1"/>
  <c r="DY86" i="10" a="1"/>
  <c r="DW88" i="10" a="1"/>
  <c r="EA88" i="10" a="1"/>
  <c r="DX89" i="10" a="1"/>
  <c r="EB89" i="10" a="1"/>
  <c r="DY90" i="10" a="1"/>
  <c r="DV91" i="10" a="1"/>
  <c r="DZ91" i="10" a="1"/>
  <c r="DW92" i="10" a="1"/>
  <c r="EA92" i="10" a="1"/>
  <c r="DX93" i="10" a="1"/>
  <c r="EB93" i="10" a="1"/>
  <c r="DY94" i="10" a="1"/>
  <c r="DV95" i="10" a="1"/>
  <c r="DZ95" i="10" a="1"/>
  <c r="DW96" i="10" a="1"/>
  <c r="EA96" i="10" a="1"/>
  <c r="DX97" i="10" a="1"/>
  <c r="EB97" i="10" a="1"/>
  <c r="DY98" i="10" a="1"/>
  <c r="DV99" i="10" a="1"/>
  <c r="DX99" i="10" a="1"/>
  <c r="DZ99" i="10" a="1"/>
  <c r="EB99" i="10" a="1"/>
  <c r="DW100" i="10" a="1"/>
  <c r="DY100" i="10" a="1"/>
  <c r="EA100" i="10" a="1"/>
  <c r="DV101" i="10" a="1"/>
  <c r="DX101" i="10" a="1"/>
  <c r="DZ101" i="10" a="1"/>
  <c r="EB101" i="10" a="1"/>
  <c r="DW102" i="10" a="1"/>
  <c r="DY102" i="10" a="1"/>
  <c r="EA102" i="10" a="1"/>
  <c r="DV103" i="10" a="1"/>
  <c r="DX103" i="10" a="1"/>
  <c r="DZ103" i="10" a="1"/>
  <c r="EB103" i="10" a="1"/>
  <c r="DW104" i="10" a="1"/>
  <c r="DY104" i="10" a="1"/>
  <c r="EA104" i="10" a="1"/>
  <c r="DV105" i="10" a="1"/>
  <c r="DX105" i="10" a="1"/>
  <c r="DZ105" i="10" a="1"/>
  <c r="EB105" i="10" a="1"/>
  <c r="DW106" i="10" a="1"/>
  <c r="DY106" i="10" a="1"/>
  <c r="EA106" i="10" a="1"/>
  <c r="DV107" i="10" a="1"/>
  <c r="DX107" i="10" a="1"/>
  <c r="EB107" i="10" a="1"/>
  <c r="DW108" i="10" a="1"/>
  <c r="DY108" i="10" a="1"/>
  <c r="EA108" i="10" a="1"/>
  <c r="DV109" i="10" a="1"/>
  <c r="DX109" i="10" a="1"/>
  <c r="EB109" i="10" a="1"/>
  <c r="DW110" i="10" a="1"/>
  <c r="EA110" i="10" a="1"/>
  <c r="EA90" i="10" a="1"/>
  <c r="DW94" i="10" a="1"/>
  <c r="DX95" i="10" a="1"/>
  <c r="DV67" i="10" a="1"/>
  <c r="DV70" i="10" a="1"/>
  <c r="DZ71" i="10" a="1"/>
  <c r="DZ74" i="10" a="1"/>
  <c r="DW76" i="10" a="1"/>
  <c r="DW79" i="10" a="1"/>
  <c r="EA80" i="10" a="1"/>
  <c r="EA83" i="10" a="1"/>
  <c r="DX85" i="10" a="1"/>
  <c r="DZ87" i="10" a="1"/>
  <c r="DX88" i="10" a="1"/>
  <c r="EB88" i="10" a="1"/>
  <c r="DY89" i="10" a="1"/>
  <c r="DV90" i="10" a="1"/>
  <c r="DZ90" i="10" a="1"/>
  <c r="DW91" i="10" a="1"/>
  <c r="EA91" i="10" a="1"/>
  <c r="DX92" i="10" a="1"/>
  <c r="EB92" i="10" a="1"/>
  <c r="DY93" i="10" a="1"/>
  <c r="DV94" i="10" a="1"/>
  <c r="DZ94" i="10" a="1"/>
  <c r="DW95" i="10" a="1"/>
  <c r="EA95" i="10" a="1"/>
  <c r="DX96" i="10" a="1"/>
  <c r="EB96" i="10" a="1"/>
  <c r="DY97" i="10" a="1"/>
  <c r="DV98" i="10" a="1"/>
  <c r="DZ98" i="10" a="1"/>
  <c r="EB68" i="10" a="1"/>
  <c r="DY70" i="10" a="1"/>
  <c r="DY73" i="10" a="1"/>
  <c r="DV75" i="10" a="1"/>
  <c r="DV78" i="10" a="1"/>
  <c r="DZ79" i="10" a="1"/>
  <c r="DZ82" i="10" a="1"/>
  <c r="DW84" i="10" a="1"/>
  <c r="DV87" i="10" a="1"/>
  <c r="EA87" i="10" a="1"/>
  <c r="DY88" i="10" a="1"/>
  <c r="DV89" i="10" a="1"/>
  <c r="DZ89" i="10" a="1"/>
  <c r="DX91" i="10" a="1"/>
  <c r="EB91" i="10" a="1"/>
  <c r="DY92" i="10" a="1"/>
  <c r="DV93" i="10" a="1"/>
  <c r="DZ93" i="10" a="1"/>
  <c r="EA94" i="10" a="1"/>
  <c r="EB95" i="10" a="1"/>
  <c r="DY96" i="10" a="1"/>
  <c r="EA98" i="10" a="1"/>
  <c r="DV100" i="10" a="1"/>
  <c r="DW101" i="10" a="1"/>
  <c r="DX102" i="10" a="1"/>
  <c r="DY103" i="10" a="1"/>
  <c r="DZ104" i="10" a="1"/>
  <c r="EA105" i="10" a="1"/>
  <c r="EB106" i="10" a="1"/>
  <c r="DV108" i="10" a="1"/>
  <c r="DW109" i="10" a="1"/>
  <c r="DX110" i="10" a="1"/>
  <c r="EB100" i="10" a="1"/>
  <c r="DV97" i="10" a="1"/>
  <c r="DW99" i="10" a="1"/>
  <c r="DX100" i="10" a="1"/>
  <c r="DY101" i="10" a="1"/>
  <c r="DZ102" i="10" a="1"/>
  <c r="EA103" i="10" a="1"/>
  <c r="EB104" i="10" a="1"/>
  <c r="DV106" i="10" a="1"/>
  <c r="DW107" i="10" a="1"/>
  <c r="DX108" i="10" a="1"/>
  <c r="DY109" i="10" a="1"/>
  <c r="DZ110" i="10" a="1"/>
  <c r="DW98" i="10" a="1"/>
  <c r="DW103" i="10" a="1"/>
  <c r="DY105" i="10" a="1"/>
  <c r="EA107" i="10" a="1"/>
  <c r="DV110" i="10" a="1"/>
  <c r="DZ97" i="10" a="1"/>
  <c r="DY99" i="10" a="1"/>
  <c r="DZ100" i="10" a="1"/>
  <c r="EA101" i="10" a="1"/>
  <c r="EB102" i="10" a="1"/>
  <c r="DV104" i="10" a="1"/>
  <c r="DW105" i="10" a="1"/>
  <c r="DX106" i="10" a="1"/>
  <c r="DY107" i="10" a="1"/>
  <c r="DZ108" i="10" a="1"/>
  <c r="EA109" i="10" a="1"/>
  <c r="EB110" i="10" a="1"/>
  <c r="EA99" i="10" a="1"/>
  <c r="DV102" i="10" a="1"/>
  <c r="DX104" i="10" a="1"/>
  <c r="DZ106" i="10" a="1"/>
  <c r="EB108" i="10" a="1"/>
  <c r="DW63" i="10" a="1"/>
  <c r="DY63" i="10" a="1"/>
  <c r="EA63" i="10" a="1"/>
  <c r="DX63" i="10" a="1"/>
  <c r="DZ63" i="10" a="1"/>
  <c r="EB63" i="10" a="1"/>
  <c r="DV63" i="10" a="1"/>
  <c r="DM64" i="10" a="1"/>
  <c r="DO64" i="10" a="1"/>
  <c r="DQ64" i="10" a="1"/>
  <c r="DS64" i="10" a="1"/>
  <c r="DN65" i="10" a="1"/>
  <c r="DP65" i="10" a="1"/>
  <c r="DR65" i="10" a="1"/>
  <c r="DM66" i="10" a="1"/>
  <c r="DO66" i="10" a="1"/>
  <c r="DQ66" i="10" a="1"/>
  <c r="DS66" i="10" a="1"/>
  <c r="DN64" i="10" a="1"/>
  <c r="DP64" i="10" a="1"/>
  <c r="DR64" i="10" a="1"/>
  <c r="DM65" i="10" a="1"/>
  <c r="DO65" i="10" a="1"/>
  <c r="DQ65" i="10" a="1"/>
  <c r="DS65" i="10" a="1"/>
  <c r="DN66" i="10" a="1"/>
  <c r="DP66" i="10" a="1"/>
  <c r="DR66" i="10" a="1"/>
  <c r="DM67" i="10" a="1"/>
  <c r="DO67" i="10" a="1"/>
  <c r="DM68" i="10" a="1"/>
  <c r="DP68" i="10" a="1"/>
  <c r="DN69" i="10" a="1"/>
  <c r="DQ69" i="10" a="1"/>
  <c r="DO70" i="10" a="1"/>
  <c r="DR70" i="10" a="1"/>
  <c r="DP71" i="10" a="1"/>
  <c r="DS71" i="10" a="1"/>
  <c r="DQ72" i="10" a="1"/>
  <c r="DM73" i="10" a="1"/>
  <c r="DR73" i="10" a="1"/>
  <c r="DN74" i="10" a="1"/>
  <c r="DS74" i="10" a="1"/>
  <c r="DO75" i="10" a="1"/>
  <c r="DM76" i="10" a="1"/>
  <c r="DP76" i="10" a="1"/>
  <c r="DN77" i="10" a="1"/>
  <c r="DQ77" i="10" a="1"/>
  <c r="DO78" i="10" a="1"/>
  <c r="DR78" i="10" a="1"/>
  <c r="DP79" i="10" a="1"/>
  <c r="DS79" i="10" a="1"/>
  <c r="DQ80" i="10" a="1"/>
  <c r="DM81" i="10" a="1"/>
  <c r="DR81" i="10" a="1"/>
  <c r="DN82" i="10" a="1"/>
  <c r="DS82" i="10" a="1"/>
  <c r="DO83" i="10" a="1"/>
  <c r="DM84" i="10" a="1"/>
  <c r="DP84" i="10" a="1"/>
  <c r="DN85" i="10" a="1"/>
  <c r="DQ85" i="10" a="1"/>
  <c r="DO86" i="10" a="1"/>
  <c r="DR86" i="10" a="1"/>
  <c r="DP87" i="10" a="1"/>
  <c r="DS87" i="10" a="1"/>
  <c r="DR67" i="10" a="1"/>
  <c r="DN68" i="10" a="1"/>
  <c r="DS68" i="10" a="1"/>
  <c r="DO69" i="10" a="1"/>
  <c r="DM70" i="10" a="1"/>
  <c r="DP70" i="10" a="1"/>
  <c r="DN71" i="10" a="1"/>
  <c r="DQ71" i="10" a="1"/>
  <c r="DO72" i="10" a="1"/>
  <c r="DR72" i="10" a="1"/>
  <c r="DP73" i="10" a="1"/>
  <c r="DS73" i="10" a="1"/>
  <c r="DQ74" i="10" a="1"/>
  <c r="DM75" i="10" a="1"/>
  <c r="DR75" i="10" a="1"/>
  <c r="DN76" i="10" a="1"/>
  <c r="DS76" i="10" a="1"/>
  <c r="DO77" i="10" a="1"/>
  <c r="DM78" i="10" a="1"/>
  <c r="DP78" i="10" a="1"/>
  <c r="DN79" i="10" a="1"/>
  <c r="DQ79" i="10" a="1"/>
  <c r="DO80" i="10" a="1"/>
  <c r="DR80" i="10" a="1"/>
  <c r="DP81" i="10" a="1"/>
  <c r="DS81" i="10" a="1"/>
  <c r="DQ82" i="10" a="1"/>
  <c r="DM83" i="10" a="1"/>
  <c r="DR83" i="10" a="1"/>
  <c r="DN84" i="10" a="1"/>
  <c r="DS84" i="10" a="1"/>
  <c r="DO85" i="10" a="1"/>
  <c r="DM86" i="10" a="1"/>
  <c r="DP86" i="10" a="1"/>
  <c r="DN87" i="10" a="1"/>
  <c r="DQ87" i="10" a="1"/>
  <c r="DO88" i="10" a="1"/>
  <c r="DQ88" i="10" a="1"/>
  <c r="DS88" i="10" a="1"/>
  <c r="DN89" i="10" a="1"/>
  <c r="DP89" i="10" a="1"/>
  <c r="DR89" i="10" a="1"/>
  <c r="DM90" i="10" a="1"/>
  <c r="DP67" i="10" a="1"/>
  <c r="DS67" i="10" a="1"/>
  <c r="DQ68" i="10" a="1"/>
  <c r="DM69" i="10" a="1"/>
  <c r="DR69" i="10" a="1"/>
  <c r="DN70" i="10" a="1"/>
  <c r="DS70" i="10" a="1"/>
  <c r="DO71" i="10" a="1"/>
  <c r="DM72" i="10" a="1"/>
  <c r="DP72" i="10" a="1"/>
  <c r="DN73" i="10" a="1"/>
  <c r="DQ73" i="10" a="1"/>
  <c r="DO74" i="10" a="1"/>
  <c r="DR74" i="10" a="1"/>
  <c r="DP75" i="10" a="1"/>
  <c r="DS75" i="10" a="1"/>
  <c r="DQ76" i="10" a="1"/>
  <c r="DM77" i="10" a="1"/>
  <c r="DR77" i="10" a="1"/>
  <c r="DN78" i="10" a="1"/>
  <c r="DS78" i="10" a="1"/>
  <c r="DO79" i="10" a="1"/>
  <c r="DM80" i="10" a="1"/>
  <c r="DP80" i="10" a="1"/>
  <c r="DN81" i="10" a="1"/>
  <c r="DQ81" i="10" a="1"/>
  <c r="DO82" i="10" a="1"/>
  <c r="DR82" i="10" a="1"/>
  <c r="DP83" i="10" a="1"/>
  <c r="DS83" i="10" a="1"/>
  <c r="DQ84" i="10" a="1"/>
  <c r="DM85" i="10" a="1"/>
  <c r="DR85" i="10" a="1"/>
  <c r="DN86" i="10" a="1"/>
  <c r="DS86" i="10" a="1"/>
  <c r="DO87" i="10" a="1"/>
  <c r="DM88" i="10" a="1"/>
  <c r="DP69" i="10" a="1"/>
  <c r="DM71" i="10" a="1"/>
  <c r="DM74" i="10" a="1"/>
  <c r="DQ75" i="10" a="1"/>
  <c r="DQ78" i="10" a="1"/>
  <c r="DN80" i="10" a="1"/>
  <c r="DN83" i="10" a="1"/>
  <c r="DR84" i="10" a="1"/>
  <c r="DR87" i="10" a="1"/>
  <c r="DM89" i="10" a="1"/>
  <c r="DN90" i="10" a="1"/>
  <c r="DR90" i="10" a="1"/>
  <c r="DO91" i="10" a="1"/>
  <c r="DS91" i="10" a="1"/>
  <c r="DP92" i="10" a="1"/>
  <c r="DM93" i="10" a="1"/>
  <c r="DQ93" i="10" a="1"/>
  <c r="DN94" i="10" a="1"/>
  <c r="DM95" i="10" a="1"/>
  <c r="DP95" i="10" a="1"/>
  <c r="DN96" i="10" a="1"/>
  <c r="DQ96" i="10" a="1"/>
  <c r="DO97" i="10" a="1"/>
  <c r="DR97" i="10" a="1"/>
  <c r="DP98" i="10" a="1"/>
  <c r="DS98" i="10" a="1"/>
  <c r="DP102" i="10" a="1"/>
  <c r="DS103" i="10" a="1"/>
  <c r="DP104" i="10" a="1"/>
  <c r="DM105" i="10" a="1"/>
  <c r="DQ105" i="10" a="1"/>
  <c r="DS105" i="10" a="1"/>
  <c r="DP106" i="10" a="1"/>
  <c r="DM107" i="10" a="1"/>
  <c r="DQ107" i="10" a="1"/>
  <c r="DS107" i="10" a="1"/>
  <c r="DP108" i="10" a="1"/>
  <c r="DM109" i="10" a="1"/>
  <c r="DQ109" i="10" a="1"/>
  <c r="DS109" i="10" a="1"/>
  <c r="DP110" i="10" a="1"/>
  <c r="DR110" i="10" a="1"/>
  <c r="DO68" i="10" a="1"/>
  <c r="DS69" i="10" a="1"/>
  <c r="DS72" i="10" a="1"/>
  <c r="DP74" i="10" a="1"/>
  <c r="DP77" i="10" a="1"/>
  <c r="DM79" i="10" a="1"/>
  <c r="DM82" i="10" a="1"/>
  <c r="DQ83" i="10" a="1"/>
  <c r="DQ86" i="10" a="1"/>
  <c r="DN88" i="10" a="1"/>
  <c r="DO89" i="10" a="1"/>
  <c r="DO90" i="10" a="1"/>
  <c r="DS90" i="10" a="1"/>
  <c r="DP91" i="10" a="1"/>
  <c r="DM92" i="10" a="1"/>
  <c r="DQ92" i="10" a="1"/>
  <c r="DN93" i="10" a="1"/>
  <c r="DR93" i="10" a="1"/>
  <c r="DO94" i="10" a="1"/>
  <c r="DR94" i="10" a="1"/>
  <c r="DN95" i="10" a="1"/>
  <c r="DS95" i="10" a="1"/>
  <c r="DO96" i="10" a="1"/>
  <c r="DM97" i="10" a="1"/>
  <c r="DP97" i="10" a="1"/>
  <c r="DN98" i="10" a="1"/>
  <c r="DQ98" i="10" a="1"/>
  <c r="DO99" i="10" a="1"/>
  <c r="DQ99" i="10" a="1"/>
  <c r="DS99" i="10" a="1"/>
  <c r="DN100" i="10" a="1"/>
  <c r="DP100" i="10" a="1"/>
  <c r="DR100" i="10" a="1"/>
  <c r="DM101" i="10" a="1"/>
  <c r="DO101" i="10" a="1"/>
  <c r="DQ101" i="10" a="1"/>
  <c r="DS101" i="10" a="1"/>
  <c r="DN102" i="10" a="1"/>
  <c r="DR102" i="10" a="1"/>
  <c r="DM103" i="10" a="1"/>
  <c r="DO103" i="10" a="1"/>
  <c r="DQ103" i="10" a="1"/>
  <c r="DN104" i="10" a="1"/>
  <c r="DR104" i="10" a="1"/>
  <c r="DO105" i="10" a="1"/>
  <c r="DN106" i="10" a="1"/>
  <c r="DR106" i="10" a="1"/>
  <c r="DO107" i="10" a="1"/>
  <c r="DN108" i="10" a="1"/>
  <c r="DR108" i="10" a="1"/>
  <c r="DO109" i="10" a="1"/>
  <c r="DN110" i="10" a="1"/>
  <c r="DN67" i="10" a="1"/>
  <c r="DR68" i="10" a="1"/>
  <c r="DR71" i="10" a="1"/>
  <c r="DO73" i="10" a="1"/>
  <c r="DO76" i="10" a="1"/>
  <c r="DS77" i="10" a="1"/>
  <c r="DS80" i="10" a="1"/>
  <c r="DP82" i="10" a="1"/>
  <c r="DP85" i="10" a="1"/>
  <c r="DM87" i="10" a="1"/>
  <c r="DP88" i="10" a="1"/>
  <c r="DQ89" i="10" a="1"/>
  <c r="DP90" i="10" a="1"/>
  <c r="DM91" i="10" a="1"/>
  <c r="DQ91" i="10" a="1"/>
  <c r="DN92" i="10" a="1"/>
  <c r="DR92" i="10" a="1"/>
  <c r="DO93" i="10" a="1"/>
  <c r="DS93" i="10" a="1"/>
  <c r="DP94" i="10" a="1"/>
  <c r="DS94" i="10" a="1"/>
  <c r="DQ95" i="10" a="1"/>
  <c r="DM96" i="10" a="1"/>
  <c r="DR96" i="10" a="1"/>
  <c r="DN97" i="10" a="1"/>
  <c r="DS97" i="10" a="1"/>
  <c r="DO98" i="10" a="1"/>
  <c r="DM99" i="10" a="1"/>
  <c r="DQ67" i="10" a="1"/>
  <c r="DQ70" i="10" a="1"/>
  <c r="DN72" i="10" a="1"/>
  <c r="DN75" i="10" a="1"/>
  <c r="DR76" i="10" a="1"/>
  <c r="DR79" i="10" a="1"/>
  <c r="DO81" i="10" a="1"/>
  <c r="DO84" i="10" a="1"/>
  <c r="DS85" i="10" a="1"/>
  <c r="DR88" i="10" a="1"/>
  <c r="DS89" i="10" a="1"/>
  <c r="DQ90" i="10" a="1"/>
  <c r="DN91" i="10" a="1"/>
  <c r="DR91" i="10" a="1"/>
  <c r="DO92" i="10" a="1"/>
  <c r="DS92" i="10" a="1"/>
  <c r="DP93" i="10" a="1"/>
  <c r="DM94" i="10" a="1"/>
  <c r="DQ94" i="10" a="1"/>
  <c r="DQ97" i="10" a="1"/>
  <c r="DN99" i="10" a="1"/>
  <c r="DO100" i="10" a="1"/>
  <c r="DP101" i="10" a="1"/>
  <c r="DQ102" i="10" a="1"/>
  <c r="DR103" i="10" a="1"/>
  <c r="DS104" i="10" a="1"/>
  <c r="DM106" i="10" a="1"/>
  <c r="DN107" i="10" a="1"/>
  <c r="DO108" i="10" a="1"/>
  <c r="DP109" i="10" a="1"/>
  <c r="DQ110" i="10" a="1"/>
  <c r="DO102" i="10" a="1"/>
  <c r="DP96" i="10" a="1"/>
  <c r="DM98" i="10" a="1"/>
  <c r="DP99" i="10" a="1"/>
  <c r="DQ100" i="10" a="1"/>
  <c r="DR101" i="10" a="1"/>
  <c r="DS102" i="10" a="1"/>
  <c r="DM104" i="10" a="1"/>
  <c r="DN105" i="10" a="1"/>
  <c r="DO106" i="10" a="1"/>
  <c r="DP107" i="10" a="1"/>
  <c r="DQ108" i="10" a="1"/>
  <c r="DR109" i="10" a="1"/>
  <c r="DS110" i="10" a="1"/>
  <c r="DR98" i="10" a="1"/>
  <c r="DM100" i="10" a="1"/>
  <c r="DP103" i="10" a="1"/>
  <c r="DR105" i="10" a="1"/>
  <c r="DM108" i="10" a="1"/>
  <c r="DO110" i="10" a="1"/>
  <c r="DO95" i="10" a="1"/>
  <c r="DS96" i="10" a="1"/>
  <c r="DR99" i="10" a="1"/>
  <c r="DS100" i="10" a="1"/>
  <c r="DM102" i="10" a="1"/>
  <c r="DN103" i="10" a="1"/>
  <c r="DO104" i="10" a="1"/>
  <c r="DP105" i="10" a="1"/>
  <c r="DQ106" i="10" a="1"/>
  <c r="DR107" i="10" a="1"/>
  <c r="DS108" i="10" a="1"/>
  <c r="DM110" i="10" a="1"/>
  <c r="DR95" i="10" a="1"/>
  <c r="DN101" i="10" a="1"/>
  <c r="DQ104" i="10" a="1"/>
  <c r="DS106" i="10" a="1"/>
  <c r="DN109" i="10" a="1"/>
  <c r="DN63" i="10" a="1"/>
  <c r="DP63" i="10" a="1"/>
  <c r="DR63" i="10" a="1"/>
  <c r="DO63" i="10" a="1"/>
  <c r="DQ63" i="10" a="1"/>
  <c r="DS63" i="10" a="1"/>
  <c r="DM63" i="10" a="1"/>
  <c r="BO64" i="10" a="1"/>
  <c r="BP65" i="10" a="1"/>
  <c r="BQ66" i="10" a="1"/>
  <c r="BP64" i="10" a="1"/>
  <c r="BQ65" i="10" a="1"/>
  <c r="BK67" i="10" a="1"/>
  <c r="BM69" i="10" a="1"/>
  <c r="BO71" i="10" a="1"/>
  <c r="BQ73" i="10" a="1"/>
  <c r="BL76" i="10" a="1"/>
  <c r="BN78" i="10" a="1"/>
  <c r="BP80" i="10" a="1"/>
  <c r="BK83" i="10" a="1"/>
  <c r="BM85" i="10" a="1"/>
  <c r="BO87" i="10" a="1"/>
  <c r="BL89" i="10" a="1"/>
  <c r="BM90" i="10" a="1"/>
  <c r="BN91" i="10" a="1"/>
  <c r="BO92" i="10" a="1"/>
  <c r="BP93" i="10" a="1"/>
  <c r="BQ94" i="10" a="1"/>
  <c r="BK96" i="10" a="1"/>
  <c r="BL97" i="10" a="1"/>
  <c r="BM98" i="10" a="1"/>
  <c r="BN99" i="10" a="1"/>
  <c r="BO100" i="10" a="1"/>
  <c r="BP101" i="10" a="1"/>
  <c r="BQ102" i="10" a="1"/>
  <c r="BK104" i="10" a="1"/>
  <c r="BQ67" i="10" a="1"/>
  <c r="BL70" i="10" a="1"/>
  <c r="BN72" i="10" a="1"/>
  <c r="BP74" i="10" a="1"/>
  <c r="BK77" i="10" a="1"/>
  <c r="BM79" i="10" a="1"/>
  <c r="BO81" i="10" a="1"/>
  <c r="BQ83" i="10" a="1"/>
  <c r="BL86" i="10" a="1"/>
  <c r="BQ97" i="10" a="1"/>
  <c r="BK101" i="10" a="1"/>
  <c r="BQ103" i="10" a="1"/>
  <c r="BN106" i="10" a="1"/>
  <c r="BP108" i="10" a="1"/>
  <c r="BN69" i="10" a="1"/>
  <c r="BP71" i="10" a="1"/>
  <c r="BK74" i="10" a="1"/>
  <c r="BM76" i="10" a="1"/>
  <c r="BO78" i="10" a="1"/>
  <c r="BQ80" i="10" a="1"/>
  <c r="BL83" i="10" a="1"/>
  <c r="BN85" i="10" a="1"/>
  <c r="BP87" i="10" a="1"/>
  <c r="BK89" i="10" a="1"/>
  <c r="BL90" i="10" a="1"/>
  <c r="BM91" i="10" a="1"/>
  <c r="BN92" i="10" a="1"/>
  <c r="BO93" i="10" a="1"/>
  <c r="BP94" i="10" a="1"/>
  <c r="BQ95" i="10" a="1"/>
  <c r="BK97" i="10" a="1"/>
  <c r="BN98" i="10" a="1"/>
  <c r="BL100" i="10" a="1"/>
  <c r="BN102" i="10" a="1"/>
  <c r="BL104" i="10" a="1"/>
  <c r="BL106" i="10" a="1"/>
  <c r="BN108" i="10" a="1"/>
  <c r="BO72" i="10" a="1"/>
  <c r="BP81" i="10" a="1"/>
  <c r="BQ104" i="10" a="1"/>
  <c r="BL107" i="10" a="1"/>
  <c r="BP109" i="10" a="1"/>
  <c r="BM75" i="10" a="1"/>
  <c r="BN68" i="10" a="1"/>
  <c r="BO77" i="10" a="1"/>
  <c r="BP86" i="10" a="1"/>
  <c r="BP73" i="10" a="1"/>
  <c r="BM70" i="10" a="1"/>
  <c r="BN79" i="10" a="1"/>
  <c r="BL105" i="10" a="1"/>
  <c r="BN107" i="10" a="1"/>
  <c r="BO109" i="10" a="1"/>
  <c r="BM78" i="10" a="1"/>
  <c r="BN63" i="10" a="1"/>
  <c r="BQ63" i="10" a="1"/>
  <c r="BQ64" i="10" a="1"/>
  <c r="BK66" i="10" a="1"/>
  <c r="BL67" i="10" a="1"/>
  <c r="BK65" i="10" a="1"/>
  <c r="BL66" i="10" a="1"/>
  <c r="BP67" i="10" a="1"/>
  <c r="BK70" i="10" a="1"/>
  <c r="BM72" i="10" a="1"/>
  <c r="BO74" i="10" a="1"/>
  <c r="BQ76" i="10" a="1"/>
  <c r="BL79" i="10" a="1"/>
  <c r="BN81" i="10" a="1"/>
  <c r="BP83" i="10" a="1"/>
  <c r="BK86" i="10" a="1"/>
  <c r="BM88" i="10" a="1"/>
  <c r="BN89" i="10" a="1"/>
  <c r="BO90" i="10" a="1"/>
  <c r="BP91" i="10" a="1"/>
  <c r="BQ92" i="10" a="1"/>
  <c r="BK94" i="10" a="1"/>
  <c r="BL95" i="10" a="1"/>
  <c r="BM96" i="10" a="1"/>
  <c r="BN97" i="10" a="1"/>
  <c r="BO98" i="10" a="1"/>
  <c r="BP99" i="10" a="1"/>
  <c r="BQ100" i="10" a="1"/>
  <c r="BK102" i="10" a="1"/>
  <c r="BL103" i="10" a="1"/>
  <c r="BM104" i="10" a="1"/>
  <c r="BO68" i="10" a="1"/>
  <c r="BQ70" i="10" a="1"/>
  <c r="BL73" i="10" a="1"/>
  <c r="BN75" i="10" a="1"/>
  <c r="BP77" i="10" a="1"/>
  <c r="BK80" i="10" a="1"/>
  <c r="BM82" i="10" a="1"/>
  <c r="BO84" i="10" a="1"/>
  <c r="BQ86" i="10" a="1"/>
  <c r="BK99" i="10" a="1"/>
  <c r="BO101" i="10" a="1"/>
  <c r="BN104" i="10" a="1"/>
  <c r="BK107" i="10" a="1"/>
  <c r="BO67" i="10" a="1"/>
  <c r="BQ69" i="10" a="1"/>
  <c r="BL72" i="10" a="1"/>
  <c r="BN74" i="10" a="1"/>
  <c r="BP76" i="10" a="1"/>
  <c r="BK79" i="10" a="1"/>
  <c r="BM81" i="10" a="1"/>
  <c r="BO83" i="10" a="1"/>
  <c r="BQ85" i="10" a="1"/>
  <c r="BL88" i="10" a="1"/>
  <c r="BM89" i="10" a="1"/>
  <c r="BN90" i="10" a="1"/>
  <c r="BO91" i="10" a="1"/>
  <c r="BP92" i="10" a="1"/>
  <c r="BQ93" i="10" a="1"/>
  <c r="BK95" i="10" a="1"/>
  <c r="BL96" i="10" a="1"/>
  <c r="BM97" i="10" a="1"/>
  <c r="BP98" i="10" a="1"/>
  <c r="BP100" i="10" a="1"/>
  <c r="BK103" i="10" a="1"/>
  <c r="BP104" i="10" a="1"/>
  <c r="BP106" i="10" a="1"/>
  <c r="BK109" i="10" a="1"/>
  <c r="BL74" i="10" a="1"/>
  <c r="BM83" i="10" a="1"/>
  <c r="BN105" i="10" a="1"/>
  <c r="BP107" i="10" a="1"/>
  <c r="BL110" i="10" a="1"/>
  <c r="BQ79" i="10" a="1"/>
  <c r="BN71" i="10" a="1"/>
  <c r="BO80" i="10" a="1"/>
  <c r="BN109" i="10" a="1"/>
  <c r="BN84" i="10" a="1"/>
  <c r="BQ71" i="10" a="1"/>
  <c r="BK81" i="10" a="1"/>
  <c r="BP105" i="10" a="1"/>
  <c r="BK108" i="10" a="1"/>
  <c r="BM110" i="10" a="1"/>
  <c r="BQ82" i="10" a="1"/>
  <c r="BP63" i="10" a="1"/>
  <c r="BK63" i="10" a="1"/>
  <c r="BN65" i="10" a="1"/>
  <c r="BN64" i="10" a="1"/>
  <c r="BP66" i="10" a="1"/>
  <c r="BL71" i="10" a="1"/>
  <c r="BP75" i="10" a="1"/>
  <c r="BM80" i="10" a="1"/>
  <c r="BQ84" i="10" a="1"/>
  <c r="BQ88" i="10" a="1"/>
  <c r="BL91" i="10" a="1"/>
  <c r="BN93" i="10" a="1"/>
  <c r="BP95" i="10" a="1"/>
  <c r="BK98" i="10" a="1"/>
  <c r="BM100" i="10" a="1"/>
  <c r="BO102" i="10" a="1"/>
  <c r="BN67" i="10" a="1"/>
  <c r="BK72" i="10" a="1"/>
  <c r="BO76" i="10" a="1"/>
  <c r="BL81" i="10" a="1"/>
  <c r="BP85" i="10" a="1"/>
  <c r="BN100" i="10" a="1"/>
  <c r="BO105" i="10" a="1"/>
  <c r="BP68" i="10" a="1"/>
  <c r="BM73" i="10" a="1"/>
  <c r="BQ77" i="10" a="1"/>
  <c r="BN82" i="10" a="1"/>
  <c r="BK87" i="10" a="1"/>
  <c r="BQ89" i="10" a="1"/>
  <c r="BL92" i="10" a="1"/>
  <c r="BN94" i="10" a="1"/>
  <c r="BP96" i="10" a="1"/>
  <c r="BO99" i="10" a="1"/>
  <c r="BO103" i="10" a="1"/>
  <c r="BL108" i="10" a="1"/>
  <c r="BP78" i="10" a="1"/>
  <c r="BO106" i="10" a="1"/>
  <c r="BP70" i="10" a="1"/>
  <c r="BK76" i="10" a="1"/>
  <c r="BO110" i="10" a="1"/>
  <c r="BN76" i="10" a="1"/>
  <c r="BQ106" i="10" a="1"/>
  <c r="BL69" i="10" a="1"/>
  <c r="BO63" i="10" a="1"/>
  <c r="BO66" i="10" a="1"/>
  <c r="BQ68" i="10" a="1"/>
  <c r="BK78" i="10" a="1"/>
  <c r="BL87" i="10" a="1"/>
  <c r="BM92" i="10" a="1"/>
  <c r="BQ96" i="10" a="1"/>
  <c r="BN101" i="10" a="1"/>
  <c r="BP69" i="10" a="1"/>
  <c r="BQ78" i="10" a="1"/>
  <c r="BK88" i="10" a="1"/>
  <c r="BQ107" i="10" a="1"/>
  <c r="BO75" i="10" a="1"/>
  <c r="BP84" i="10" a="1"/>
  <c r="BK91" i="10" a="1"/>
  <c r="BO95" i="10" a="1"/>
  <c r="BQ101" i="10" a="1"/>
  <c r="BO69" i="10" a="1"/>
  <c r="BQ108" i="10" a="1"/>
  <c r="BN110" i="10" a="1"/>
  <c r="BM67" i="10" a="1"/>
  <c r="BL109" i="10" a="1"/>
  <c r="BL65" i="10" a="1"/>
  <c r="BN66" i="10" a="1"/>
  <c r="BK75" i="10" a="1"/>
  <c r="BL84" i="10" a="1"/>
  <c r="BQ90" i="10" a="1"/>
  <c r="BN95" i="10" a="1"/>
  <c r="BK100" i="10" a="1"/>
  <c r="BO104" i="10" a="1"/>
  <c r="BQ75" i="10" a="1"/>
  <c r="BK85" i="10" a="1"/>
  <c r="BK105" i="10" a="1"/>
  <c r="BQ72" i="10" a="1"/>
  <c r="BK82" i="10" a="1"/>
  <c r="BO89" i="10" a="1"/>
  <c r="BL94" i="10" a="1"/>
  <c r="BM99" i="10" a="1"/>
  <c r="BM107" i="10" a="1"/>
  <c r="BK106" i="10" a="1"/>
  <c r="BK73" i="10" a="1"/>
  <c r="BQ74" i="10" a="1"/>
  <c r="BP110" i="10" a="1"/>
  <c r="BK64" i="10" a="1"/>
  <c r="BM66" i="10" a="1"/>
  <c r="BM65" i="10" a="1"/>
  <c r="BL68" i="10" a="1"/>
  <c r="BP72" i="10" a="1"/>
  <c r="BM77" i="10" a="1"/>
  <c r="BQ81" i="10" a="1"/>
  <c r="BN86" i="10" a="1"/>
  <c r="BP89" i="10" a="1"/>
  <c r="BK92" i="10" a="1"/>
  <c r="BM94" i="10" a="1"/>
  <c r="BO96" i="10" a="1"/>
  <c r="BQ98" i="10" a="1"/>
  <c r="BL101" i="10" a="1"/>
  <c r="BN103" i="10" a="1"/>
  <c r="BK69" i="10" a="1"/>
  <c r="BO73" i="10" a="1"/>
  <c r="BL78" i="10" a="1"/>
  <c r="BP82" i="10" a="1"/>
  <c r="BM87" i="10" a="1"/>
  <c r="BL102" i="10" a="1"/>
  <c r="BO107" i="10" a="1"/>
  <c r="BO70" i="10" a="1"/>
  <c r="BL75" i="10" a="1"/>
  <c r="BP79" i="10" a="1"/>
  <c r="BM84" i="10" a="1"/>
  <c r="BN88" i="10" a="1"/>
  <c r="BP90" i="10" a="1"/>
  <c r="BK93" i="10" a="1"/>
  <c r="BM95" i="10" a="1"/>
  <c r="BO97" i="10" a="1"/>
  <c r="BM101" i="10" a="1"/>
  <c r="BM105" i="10" a="1"/>
  <c r="BK68" i="10" a="1"/>
  <c r="BM86" i="10" a="1"/>
  <c r="BM108" i="10" a="1"/>
  <c r="BN87" i="10" a="1"/>
  <c r="BL82" i="10" a="1"/>
  <c r="BK110" i="10" a="1"/>
  <c r="BK84" i="10" a="1"/>
  <c r="BO108" i="10" a="1"/>
  <c r="BM109" i="10" a="1"/>
  <c r="BM64" i="10" a="1"/>
  <c r="BO65" i="10" a="1"/>
  <c r="BN73" i="10" a="1"/>
  <c r="BO82" i="10" a="1"/>
  <c r="BK90" i="10" a="1"/>
  <c r="BO94" i="10" a="1"/>
  <c r="BL99" i="10" a="1"/>
  <c r="BP103" i="10" a="1"/>
  <c r="BM74" i="10" a="1"/>
  <c r="BN83" i="10" a="1"/>
  <c r="BP102" i="10" a="1"/>
  <c r="BK71" i="10" a="1"/>
  <c r="BL80" i="10" a="1"/>
  <c r="BP88" i="10" a="1"/>
  <c r="BM93" i="10" a="1"/>
  <c r="BL98" i="10" a="1"/>
  <c r="BQ105" i="10" a="1"/>
  <c r="BQ87" i="10" a="1"/>
  <c r="BL85" i="10" a="1"/>
  <c r="BO85" i="10" a="1"/>
  <c r="BL63" i="10" a="1"/>
  <c r="BL64" i="10" a="1"/>
  <c r="BN70" i="10" a="1"/>
  <c r="BO79" i="10" a="1"/>
  <c r="BO88" i="10" a="1"/>
  <c r="BL93" i="10" a="1"/>
  <c r="BP97" i="10" a="1"/>
  <c r="BM102" i="10" a="1"/>
  <c r="BM71" i="10" a="1"/>
  <c r="BN80" i="10" a="1"/>
  <c r="BQ99" i="10" a="1"/>
  <c r="BM68" i="10" a="1"/>
  <c r="BN77" i="10" a="1"/>
  <c r="BO86" i="10" a="1"/>
  <c r="BQ91" i="10" a="1"/>
  <c r="BN96" i="10" a="1"/>
  <c r="BM103" i="10" a="1"/>
  <c r="BL77" i="10" a="1"/>
  <c r="BQ110" i="10" a="1"/>
  <c r="BQ109" i="10" a="1"/>
  <c r="BM106" i="10" a="1"/>
  <c r="BM63" i="10" a="1"/>
  <c r="EB108" i="10" l="1"/>
  <c r="DZ106" i="10"/>
  <c r="DX104" i="10"/>
  <c r="DV102" i="10"/>
  <c r="EA99" i="10"/>
  <c r="EB110" i="10"/>
  <c r="EA109" i="10"/>
  <c r="DZ108" i="10"/>
  <c r="DY107" i="10"/>
  <c r="DX106" i="10"/>
  <c r="DW105" i="10"/>
  <c r="DV104" i="10"/>
  <c r="EB102" i="10"/>
  <c r="EA101" i="10"/>
  <c r="DZ100" i="10"/>
  <c r="DY99" i="10"/>
  <c r="DZ97" i="10"/>
  <c r="DV110" i="10"/>
  <c r="EA107" i="10"/>
  <c r="DY105" i="10"/>
  <c r="DW103" i="10"/>
  <c r="DW98" i="10"/>
  <c r="DZ110" i="10"/>
  <c r="DY109" i="10"/>
  <c r="DX108" i="10"/>
  <c r="DW107" i="10"/>
  <c r="DV106" i="10"/>
  <c r="EB104" i="10"/>
  <c r="EA103" i="10"/>
  <c r="DZ102" i="10"/>
  <c r="DY101" i="10"/>
  <c r="DX100" i="10"/>
  <c r="DW99" i="10"/>
  <c r="DV97" i="10"/>
  <c r="EB100" i="10"/>
  <c r="DX110" i="10"/>
  <c r="DW109" i="10"/>
  <c r="DV108" i="10"/>
  <c r="EB106" i="10"/>
  <c r="EA105" i="10"/>
  <c r="DZ104" i="10"/>
  <c r="DY103" i="10"/>
  <c r="DX102" i="10"/>
  <c r="DW101" i="10"/>
  <c r="DV100" i="10"/>
  <c r="EA98" i="10"/>
  <c r="DY96" i="10"/>
  <c r="EB95" i="10"/>
  <c r="EA94" i="10"/>
  <c r="DZ93" i="10"/>
  <c r="DV93" i="10"/>
  <c r="DY92" i="10"/>
  <c r="EB91" i="10"/>
  <c r="DX91" i="10"/>
  <c r="DZ89" i="10"/>
  <c r="DV89" i="10"/>
  <c r="DY88" i="10"/>
  <c r="EA87" i="10"/>
  <c r="DV87" i="10"/>
  <c r="DW84" i="10"/>
  <c r="DZ82" i="10"/>
  <c r="DZ79" i="10"/>
  <c r="DV78" i="10"/>
  <c r="DV75" i="10"/>
  <c r="DY73" i="10"/>
  <c r="DY70" i="10"/>
  <c r="EB68" i="10"/>
  <c r="DZ98" i="10"/>
  <c r="DV98" i="10"/>
  <c r="DY97" i="10"/>
  <c r="EB96" i="10"/>
  <c r="DX96" i="10"/>
  <c r="EA95" i="10"/>
  <c r="DW95" i="10"/>
  <c r="DZ94" i="10"/>
  <c r="DV94" i="10"/>
  <c r="DY93" i="10"/>
  <c r="EB92" i="10"/>
  <c r="DX92" i="10"/>
  <c r="EA91" i="10"/>
  <c r="DW91" i="10"/>
  <c r="DZ90" i="10"/>
  <c r="DV90" i="10"/>
  <c r="DY89" i="10"/>
  <c r="EB88" i="10"/>
  <c r="DX88" i="10"/>
  <c r="DZ87" i="10"/>
  <c r="DX85" i="10"/>
  <c r="EA83" i="10"/>
  <c r="EA80" i="10"/>
  <c r="DW79" i="10"/>
  <c r="DW76" i="10"/>
  <c r="DZ74" i="10"/>
  <c r="DZ71" i="10"/>
  <c r="DV70" i="10"/>
  <c r="DV67" i="10"/>
  <c r="DX95" i="10"/>
  <c r="DW94" i="10"/>
  <c r="EA90" i="10"/>
  <c r="EA110" i="10"/>
  <c r="DW110" i="10"/>
  <c r="EB109" i="10"/>
  <c r="DX109" i="10"/>
  <c r="DV109" i="10"/>
  <c r="EA108" i="10"/>
  <c r="DY108" i="10"/>
  <c r="DW108" i="10"/>
  <c r="EB107" i="10"/>
  <c r="DX107" i="10"/>
  <c r="DV107" i="10"/>
  <c r="EA106" i="10"/>
  <c r="DY106" i="10"/>
  <c r="DW106" i="10"/>
  <c r="EB105" i="10"/>
  <c r="DZ105" i="10"/>
  <c r="DX105" i="10"/>
  <c r="DV105" i="10"/>
  <c r="EA104" i="10"/>
  <c r="DY104" i="10"/>
  <c r="DW104" i="10"/>
  <c r="EB103" i="10"/>
  <c r="DZ103" i="10"/>
  <c r="DX103" i="10"/>
  <c r="DV103" i="10"/>
  <c r="EA102" i="10"/>
  <c r="DY102" i="10"/>
  <c r="DW102" i="10"/>
  <c r="EB101" i="10"/>
  <c r="DZ101" i="10"/>
  <c r="DX101" i="10"/>
  <c r="DV101" i="10"/>
  <c r="EA100" i="10"/>
  <c r="DY100" i="10"/>
  <c r="DW100" i="10"/>
  <c r="EB99" i="10"/>
  <c r="DZ99" i="10"/>
  <c r="DX99" i="10"/>
  <c r="DV99" i="10"/>
  <c r="DY98" i="10"/>
  <c r="EB97" i="10"/>
  <c r="DX97" i="10"/>
  <c r="EA96" i="10"/>
  <c r="DW96" i="10"/>
  <c r="DZ95" i="10"/>
  <c r="DV95" i="10"/>
  <c r="DY94" i="10"/>
  <c r="EB93" i="10"/>
  <c r="DX93" i="10"/>
  <c r="EA92" i="10"/>
  <c r="DW92" i="10"/>
  <c r="DZ91" i="10"/>
  <c r="DV91" i="10"/>
  <c r="DY90" i="10"/>
  <c r="EB89" i="10"/>
  <c r="DX89" i="10"/>
  <c r="EA88" i="10"/>
  <c r="DW88" i="10"/>
  <c r="DY86" i="10"/>
  <c r="EB84" i="10"/>
  <c r="EB81" i="10"/>
  <c r="DX80" i="10"/>
  <c r="DX77" i="10"/>
  <c r="EA75" i="10"/>
  <c r="EA72" i="10"/>
  <c r="DW71" i="10"/>
  <c r="DW68" i="10"/>
  <c r="DW90" i="10"/>
  <c r="DY110" i="10"/>
  <c r="DZ109" i="10"/>
  <c r="DZ107" i="10"/>
  <c r="EB98" i="10"/>
  <c r="DX98" i="10"/>
  <c r="EA97" i="10"/>
  <c r="DW97" i="10"/>
  <c r="DZ96" i="10"/>
  <c r="DV96" i="10"/>
  <c r="DY95" i="10"/>
  <c r="EB94" i="10"/>
  <c r="DX94" i="10"/>
  <c r="EA93" i="10"/>
  <c r="DW93" i="10"/>
  <c r="DZ92" i="10"/>
  <c r="DV92" i="10"/>
  <c r="DY91" i="10"/>
  <c r="EB90" i="10"/>
  <c r="DX90" i="10"/>
  <c r="EA89" i="10"/>
  <c r="DW89" i="10"/>
  <c r="DZ88" i="10"/>
  <c r="DW87" i="10"/>
  <c r="DV86" i="10"/>
  <c r="DV83" i="10"/>
  <c r="DY81" i="10"/>
  <c r="DY78" i="10"/>
  <c r="EB76" i="10"/>
  <c r="EB73" i="10"/>
  <c r="DX72" i="10"/>
  <c r="DX69" i="10"/>
  <c r="EA67" i="10"/>
  <c r="EB87" i="10"/>
  <c r="DY87" i="10"/>
  <c r="EA86" i="10"/>
  <c r="DX86" i="10"/>
  <c r="DZ85" i="10"/>
  <c r="DW85" i="10"/>
  <c r="DY84" i="10"/>
  <c r="DV84" i="10"/>
  <c r="DX83" i="10"/>
  <c r="EB82" i="10"/>
  <c r="DW82" i="10"/>
  <c r="EA81" i="10"/>
  <c r="DV81" i="10"/>
  <c r="DZ80" i="10"/>
  <c r="EB79" i="10"/>
  <c r="DY79" i="10"/>
  <c r="EA78" i="10"/>
  <c r="DX78" i="10"/>
  <c r="DZ77" i="10"/>
  <c r="DW77" i="10"/>
  <c r="DY76" i="10"/>
  <c r="DV76" i="10"/>
  <c r="DX75" i="10"/>
  <c r="EB74" i="10"/>
  <c r="DW74" i="10"/>
  <c r="EA73" i="10"/>
  <c r="DV73" i="10"/>
  <c r="DZ72" i="10"/>
  <c r="EB71" i="10"/>
  <c r="DY71" i="10"/>
  <c r="EA70" i="10"/>
  <c r="DX70" i="10"/>
  <c r="DZ69" i="10"/>
  <c r="DW69" i="10"/>
  <c r="DY68" i="10"/>
  <c r="DV68" i="10"/>
  <c r="DX67" i="10"/>
  <c r="EB66" i="10"/>
  <c r="DZ86" i="10"/>
  <c r="EB85" i="10"/>
  <c r="DY85" i="10"/>
  <c r="EA84" i="10"/>
  <c r="DX84" i="10"/>
  <c r="DZ83" i="10"/>
  <c r="DW83" i="10"/>
  <c r="DY82" i="10"/>
  <c r="DV82" i="10"/>
  <c r="DX81" i="10"/>
  <c r="EB80" i="10"/>
  <c r="DW80" i="10"/>
  <c r="EA79" i="10"/>
  <c r="DV79" i="10"/>
  <c r="DZ78" i="10"/>
  <c r="EB77" i="10"/>
  <c r="DY77" i="10"/>
  <c r="EA76" i="10"/>
  <c r="DX76" i="10"/>
  <c r="DZ75" i="10"/>
  <c r="DW75" i="10"/>
  <c r="DY74" i="10"/>
  <c r="DV74" i="10"/>
  <c r="DX73" i="10"/>
  <c r="EB72" i="10"/>
  <c r="DW72" i="10"/>
  <c r="EA71" i="10"/>
  <c r="DV71" i="10"/>
  <c r="DZ70" i="10"/>
  <c r="EB69" i="10"/>
  <c r="DY69" i="10"/>
  <c r="EA68" i="10"/>
  <c r="DX68" i="10"/>
  <c r="DZ67" i="10"/>
  <c r="DW67" i="10"/>
  <c r="DV88" i="10"/>
  <c r="DX87" i="10"/>
  <c r="EB86" i="10"/>
  <c r="DW86" i="10"/>
  <c r="EA85" i="10"/>
  <c r="DV85" i="10"/>
  <c r="DZ84" i="10"/>
  <c r="EB83" i="10"/>
  <c r="DY83" i="10"/>
  <c r="EA82" i="10"/>
  <c r="DX82" i="10"/>
  <c r="DZ81" i="10"/>
  <c r="DW81" i="10"/>
  <c r="DY80" i="10"/>
  <c r="DV80" i="10"/>
  <c r="DX79" i="10"/>
  <c r="EB78" i="10"/>
  <c r="DW78" i="10"/>
  <c r="EA77" i="10"/>
  <c r="DV77" i="10"/>
  <c r="DZ76" i="10"/>
  <c r="EB75" i="10"/>
  <c r="DY75" i="10"/>
  <c r="EA74" i="10"/>
  <c r="DX74" i="10"/>
  <c r="DZ73" i="10"/>
  <c r="DW73" i="10"/>
  <c r="DY72" i="10"/>
  <c r="DV72" i="10"/>
  <c r="DX71" i="10"/>
  <c r="EB70" i="10"/>
  <c r="DW70" i="10"/>
  <c r="EA69" i="10"/>
  <c r="DV69" i="10"/>
  <c r="DZ68" i="10"/>
  <c r="EB67" i="10"/>
  <c r="DY67" i="10"/>
  <c r="EA66" i="10"/>
  <c r="DY66" i="10"/>
  <c r="DW66" i="10"/>
  <c r="EB65" i="10"/>
  <c r="DZ65" i="10"/>
  <c r="DX65" i="10"/>
  <c r="DV65" i="10"/>
  <c r="EA64" i="10"/>
  <c r="DY64" i="10"/>
  <c r="DW64" i="10"/>
  <c r="DZ66" i="10"/>
  <c r="DX66" i="10"/>
  <c r="DV66" i="10"/>
  <c r="EA65" i="10"/>
  <c r="DY65" i="10"/>
  <c r="DW65" i="10"/>
  <c r="EB64" i="10"/>
  <c r="DZ64" i="10"/>
  <c r="DX64" i="10"/>
  <c r="DX112" i="10" s="1"/>
  <c r="DV64" i="10"/>
  <c r="EB63" i="10"/>
  <c r="DZ63" i="10"/>
  <c r="DX63" i="10"/>
  <c r="EA63" i="10"/>
  <c r="DY63" i="10"/>
  <c r="DW63" i="10"/>
  <c r="DV63" i="10"/>
  <c r="DN109" i="10"/>
  <c r="DS106" i="10"/>
  <c r="DQ104" i="10"/>
  <c r="DN101" i="10"/>
  <c r="DR95" i="10"/>
  <c r="DM110" i="10"/>
  <c r="DS108" i="10"/>
  <c r="DR107" i="10"/>
  <c r="DQ106" i="10"/>
  <c r="DP105" i="10"/>
  <c r="DO104" i="10"/>
  <c r="DN103" i="10"/>
  <c r="DM102" i="10"/>
  <c r="DS100" i="10"/>
  <c r="DR99" i="10"/>
  <c r="DS96" i="10"/>
  <c r="DO95" i="10"/>
  <c r="DO110" i="10"/>
  <c r="DM108" i="10"/>
  <c r="DR105" i="10"/>
  <c r="DP103" i="10"/>
  <c r="DM100" i="10"/>
  <c r="DR98" i="10"/>
  <c r="DS110" i="10"/>
  <c r="DR109" i="10"/>
  <c r="DQ108" i="10"/>
  <c r="DP107" i="10"/>
  <c r="DO106" i="10"/>
  <c r="DN105" i="10"/>
  <c r="DM104" i="10"/>
  <c r="DS102" i="10"/>
  <c r="DR101" i="10"/>
  <c r="DQ100" i="10"/>
  <c r="DP99" i="10"/>
  <c r="DM98" i="10"/>
  <c r="DP96" i="10"/>
  <c r="DO102" i="10"/>
  <c r="DQ110" i="10"/>
  <c r="DP109" i="10"/>
  <c r="DO108" i="10"/>
  <c r="DN107" i="10"/>
  <c r="DM106" i="10"/>
  <c r="DS104" i="10"/>
  <c r="DR103" i="10"/>
  <c r="DQ102" i="10"/>
  <c r="DP101" i="10"/>
  <c r="DO100" i="10"/>
  <c r="DN99" i="10"/>
  <c r="DQ97" i="10"/>
  <c r="DQ94" i="10"/>
  <c r="DM94" i="10"/>
  <c r="DP93" i="10"/>
  <c r="DS92" i="10"/>
  <c r="DO92" i="10"/>
  <c r="DR91" i="10"/>
  <c r="DN91" i="10"/>
  <c r="DQ90" i="10"/>
  <c r="DS89" i="10"/>
  <c r="DR88" i="10"/>
  <c r="DS85" i="10"/>
  <c r="DO84" i="10"/>
  <c r="DO81" i="10"/>
  <c r="DR79" i="10"/>
  <c r="DR76" i="10"/>
  <c r="DN75" i="10"/>
  <c r="DN72" i="10"/>
  <c r="DQ70" i="10"/>
  <c r="DQ67" i="10"/>
  <c r="DM99" i="10"/>
  <c r="DO98" i="10"/>
  <c r="DS97" i="10"/>
  <c r="DN97" i="10"/>
  <c r="DR96" i="10"/>
  <c r="DM96" i="10"/>
  <c r="DQ95" i="10"/>
  <c r="DS94" i="10"/>
  <c r="DP94" i="10"/>
  <c r="DS93" i="10"/>
  <c r="DO93" i="10"/>
  <c r="DR92" i="10"/>
  <c r="DN92" i="10"/>
  <c r="DQ91" i="10"/>
  <c r="DM91" i="10"/>
  <c r="DP90" i="10"/>
  <c r="DQ89" i="10"/>
  <c r="DP88" i="10"/>
  <c r="DM87" i="10"/>
  <c r="DP85" i="10"/>
  <c r="DP82" i="10"/>
  <c r="DS80" i="10"/>
  <c r="DS77" i="10"/>
  <c r="DO76" i="10"/>
  <c r="DO73" i="10"/>
  <c r="DR71" i="10"/>
  <c r="DR68" i="10"/>
  <c r="DN67" i="10"/>
  <c r="DN110" i="10"/>
  <c r="DO109" i="10"/>
  <c r="DR108" i="10"/>
  <c r="DN108" i="10"/>
  <c r="DO107" i="10"/>
  <c r="DR106" i="10"/>
  <c r="DN106" i="10"/>
  <c r="DO105" i="10"/>
  <c r="DR104" i="10"/>
  <c r="DN104" i="10"/>
  <c r="DQ103" i="10"/>
  <c r="DO103" i="10"/>
  <c r="DM103" i="10"/>
  <c r="DR102" i="10"/>
  <c r="DN102" i="10"/>
  <c r="DS101" i="10"/>
  <c r="DQ101" i="10"/>
  <c r="DO101" i="10"/>
  <c r="DM101" i="10"/>
  <c r="DR100" i="10"/>
  <c r="DP100" i="10"/>
  <c r="DN100" i="10"/>
  <c r="DS99" i="10"/>
  <c r="DQ99" i="10"/>
  <c r="DO99" i="10"/>
  <c r="DQ98" i="10"/>
  <c r="DN98" i="10"/>
  <c r="DP97" i="10"/>
  <c r="DM97" i="10"/>
  <c r="DO96" i="10"/>
  <c r="DS95" i="10"/>
  <c r="DN95" i="10"/>
  <c r="DR94" i="10"/>
  <c r="DO94" i="10"/>
  <c r="DR93" i="10"/>
  <c r="DN93" i="10"/>
  <c r="DQ92" i="10"/>
  <c r="DM92" i="10"/>
  <c r="DP91" i="10"/>
  <c r="DS90" i="10"/>
  <c r="DO90" i="10"/>
  <c r="DO89" i="10"/>
  <c r="DN88" i="10"/>
  <c r="DQ86" i="10"/>
  <c r="DQ83" i="10"/>
  <c r="DM82" i="10"/>
  <c r="DM79" i="10"/>
  <c r="DP77" i="10"/>
  <c r="DP74" i="10"/>
  <c r="DS72" i="10"/>
  <c r="DS69" i="10"/>
  <c r="DO68" i="10"/>
  <c r="DR110" i="10"/>
  <c r="DP110" i="10"/>
  <c r="DS109" i="10"/>
  <c r="DQ109" i="10"/>
  <c r="DM109" i="10"/>
  <c r="DP108" i="10"/>
  <c r="DS107" i="10"/>
  <c r="DQ107" i="10"/>
  <c r="DM107" i="10"/>
  <c r="DP106" i="10"/>
  <c r="DS105" i="10"/>
  <c r="DQ105" i="10"/>
  <c r="DM105" i="10"/>
  <c r="DP104" i="10"/>
  <c r="DS103" i="10"/>
  <c r="DP102" i="10"/>
  <c r="DS98" i="10"/>
  <c r="DP98" i="10"/>
  <c r="DR97" i="10"/>
  <c r="DO97" i="10"/>
  <c r="DQ96" i="10"/>
  <c r="DN96" i="10"/>
  <c r="DP95" i="10"/>
  <c r="DM95" i="10"/>
  <c r="DN94" i="10"/>
  <c r="DQ93" i="10"/>
  <c r="DM93" i="10"/>
  <c r="DP92" i="10"/>
  <c r="DS91" i="10"/>
  <c r="DO91" i="10"/>
  <c r="DR90" i="10"/>
  <c r="DN90" i="10"/>
  <c r="DM89" i="10"/>
  <c r="DR87" i="10"/>
  <c r="DR84" i="10"/>
  <c r="DN83" i="10"/>
  <c r="DN80" i="10"/>
  <c r="DQ78" i="10"/>
  <c r="DQ75" i="10"/>
  <c r="DM74" i="10"/>
  <c r="DM71" i="10"/>
  <c r="DP69" i="10"/>
  <c r="DM88" i="10"/>
  <c r="DO87" i="10"/>
  <c r="DS86" i="10"/>
  <c r="DN86" i="10"/>
  <c r="DR85" i="10"/>
  <c r="DM85" i="10"/>
  <c r="DQ84" i="10"/>
  <c r="DS83" i="10"/>
  <c r="DP83" i="10"/>
  <c r="DR82" i="10"/>
  <c r="DO82" i="10"/>
  <c r="DQ81" i="10"/>
  <c r="DN81" i="10"/>
  <c r="DP80" i="10"/>
  <c r="DM80" i="10"/>
  <c r="DO79" i="10"/>
  <c r="DS78" i="10"/>
  <c r="DN78" i="10"/>
  <c r="DR77" i="10"/>
  <c r="DM77" i="10"/>
  <c r="DQ76" i="10"/>
  <c r="DS75" i="10"/>
  <c r="DP75" i="10"/>
  <c r="DR74" i="10"/>
  <c r="DO74" i="10"/>
  <c r="DQ73" i="10"/>
  <c r="DN73" i="10"/>
  <c r="DP72" i="10"/>
  <c r="DM72" i="10"/>
  <c r="DO71" i="10"/>
  <c r="DS70" i="10"/>
  <c r="DN70" i="10"/>
  <c r="DR69" i="10"/>
  <c r="DM69" i="10"/>
  <c r="DQ68" i="10"/>
  <c r="DS67" i="10"/>
  <c r="DP67" i="10"/>
  <c r="DM90" i="10"/>
  <c r="DR89" i="10"/>
  <c r="DP89" i="10"/>
  <c r="DN89" i="10"/>
  <c r="DS88" i="10"/>
  <c r="DQ88" i="10"/>
  <c r="DO88" i="10"/>
  <c r="DQ87" i="10"/>
  <c r="DN87" i="10"/>
  <c r="DP86" i="10"/>
  <c r="DM86" i="10"/>
  <c r="DO85" i="10"/>
  <c r="DS84" i="10"/>
  <c r="DN84" i="10"/>
  <c r="DR83" i="10"/>
  <c r="DM83" i="10"/>
  <c r="DQ82" i="10"/>
  <c r="DS81" i="10"/>
  <c r="DP81" i="10"/>
  <c r="DR80" i="10"/>
  <c r="DO80" i="10"/>
  <c r="DQ79" i="10"/>
  <c r="DN79" i="10"/>
  <c r="DP78" i="10"/>
  <c r="DM78" i="10"/>
  <c r="DO77" i="10"/>
  <c r="DS76" i="10"/>
  <c r="DN76" i="10"/>
  <c r="DR75" i="10"/>
  <c r="DM75" i="10"/>
  <c r="DQ74" i="10"/>
  <c r="DS73" i="10"/>
  <c r="DP73" i="10"/>
  <c r="DR72" i="10"/>
  <c r="DO72" i="10"/>
  <c r="DQ71" i="10"/>
  <c r="DN71" i="10"/>
  <c r="DP70" i="10"/>
  <c r="DM70" i="10"/>
  <c r="DO69" i="10"/>
  <c r="DS68" i="10"/>
  <c r="DN68" i="10"/>
  <c r="DR67" i="10"/>
  <c r="DS87" i="10"/>
  <c r="DP87" i="10"/>
  <c r="DR86" i="10"/>
  <c r="DO86" i="10"/>
  <c r="DQ85" i="10"/>
  <c r="DN85" i="10"/>
  <c r="DP84" i="10"/>
  <c r="DM84" i="10"/>
  <c r="DO83" i="10"/>
  <c r="DS82" i="10"/>
  <c r="DN82" i="10"/>
  <c r="DR81" i="10"/>
  <c r="DM81" i="10"/>
  <c r="DQ80" i="10"/>
  <c r="DS79" i="10"/>
  <c r="DP79" i="10"/>
  <c r="DR78" i="10"/>
  <c r="DO78" i="10"/>
  <c r="DQ77" i="10"/>
  <c r="DN77" i="10"/>
  <c r="DP76" i="10"/>
  <c r="DM76" i="10"/>
  <c r="DO75" i="10"/>
  <c r="DS74" i="10"/>
  <c r="DN74" i="10"/>
  <c r="DR73" i="10"/>
  <c r="DM73" i="10"/>
  <c r="DQ72" i="10"/>
  <c r="DS71" i="10"/>
  <c r="DP71" i="10"/>
  <c r="DR70" i="10"/>
  <c r="DO70" i="10"/>
  <c r="DQ69" i="10"/>
  <c r="DN69" i="10"/>
  <c r="DP68" i="10"/>
  <c r="DM68" i="10"/>
  <c r="DO67" i="10"/>
  <c r="DM67" i="10"/>
  <c r="DR66" i="10"/>
  <c r="DP66" i="10"/>
  <c r="DN66" i="10"/>
  <c r="DS65" i="10"/>
  <c r="DQ65" i="10"/>
  <c r="DO65" i="10"/>
  <c r="DM65" i="10"/>
  <c r="DR64" i="10"/>
  <c r="DP64" i="10"/>
  <c r="DN64" i="10"/>
  <c r="DS66" i="10"/>
  <c r="DQ66" i="10"/>
  <c r="DO66" i="10"/>
  <c r="DM66" i="10"/>
  <c r="DR65" i="10"/>
  <c r="DP65" i="10"/>
  <c r="DN65" i="10"/>
  <c r="DS64" i="10"/>
  <c r="DQ64" i="10"/>
  <c r="DO64" i="10"/>
  <c r="DM64" i="10"/>
  <c r="DS63" i="10"/>
  <c r="DQ63" i="10"/>
  <c r="DO63" i="10"/>
  <c r="DR63" i="10"/>
  <c r="DP63" i="10"/>
  <c r="DN63" i="10"/>
  <c r="DM63" i="10"/>
  <c r="CW56" i="10"/>
  <c r="CS56" i="10"/>
  <c r="CR56" i="10"/>
  <c r="DD111" i="10"/>
  <c r="DJ111" i="10"/>
  <c r="DF111" i="10"/>
  <c r="DE111" i="10"/>
  <c r="DG111" i="10"/>
  <c r="CX56" i="10"/>
  <c r="CU56" i="10"/>
  <c r="CV56" i="10"/>
  <c r="DH111" i="10"/>
  <c r="BM109" i="10"/>
  <c r="BQ82" i="10"/>
  <c r="BM78" i="10"/>
  <c r="BL69" i="10"/>
  <c r="BP110" i="10"/>
  <c r="BM110" i="10"/>
  <c r="BO109" i="10"/>
  <c r="BL109" i="10"/>
  <c r="BO108" i="10"/>
  <c r="BK108" i="10"/>
  <c r="BN107" i="10"/>
  <c r="BQ106" i="10"/>
  <c r="BM106" i="10"/>
  <c r="BP105" i="10"/>
  <c r="BL105" i="10"/>
  <c r="BO85" i="10"/>
  <c r="BK84" i="10"/>
  <c r="BK81" i="10"/>
  <c r="BN79" i="10"/>
  <c r="BN76" i="10"/>
  <c r="BQ74" i="10"/>
  <c r="BQ71" i="10"/>
  <c r="BM70" i="10"/>
  <c r="BM67" i="10"/>
  <c r="BK110" i="10"/>
  <c r="BN84" i="10"/>
  <c r="BP73" i="10"/>
  <c r="BO110" i="10"/>
  <c r="BQ109" i="10"/>
  <c r="BN109" i="10"/>
  <c r="BP86" i="10"/>
  <c r="BL85" i="10"/>
  <c r="BL82" i="10"/>
  <c r="BO80" i="10"/>
  <c r="BO77" i="10"/>
  <c r="BK76" i="10"/>
  <c r="BK73" i="10"/>
  <c r="BN71" i="10"/>
  <c r="BN68" i="10"/>
  <c r="BN110" i="10"/>
  <c r="BN87" i="10"/>
  <c r="BQ79" i="10"/>
  <c r="BM75" i="10"/>
  <c r="BP70" i="10"/>
  <c r="BQ110" i="10"/>
  <c r="BL110" i="10"/>
  <c r="BP109" i="10"/>
  <c r="BQ108" i="10"/>
  <c r="BM108" i="10"/>
  <c r="BP107" i="10"/>
  <c r="BL107" i="10"/>
  <c r="BO106" i="10"/>
  <c r="BK106" i="10"/>
  <c r="BN105" i="10"/>
  <c r="BQ104" i="10"/>
  <c r="BQ87" i="10"/>
  <c r="BM86" i="10"/>
  <c r="BM83" i="10"/>
  <c r="BP81" i="10"/>
  <c r="BP78" i="10"/>
  <c r="BL77" i="10"/>
  <c r="BL74" i="10"/>
  <c r="BO72" i="10"/>
  <c r="BO69" i="10"/>
  <c r="BK68" i="10"/>
  <c r="BK109" i="10"/>
  <c r="BN108" i="10"/>
  <c r="BL108" i="10"/>
  <c r="BM107" i="10"/>
  <c r="BP106" i="10"/>
  <c r="BL106" i="10"/>
  <c r="BQ105" i="10"/>
  <c r="BM105" i="10"/>
  <c r="BP104" i="10"/>
  <c r="BL104" i="10"/>
  <c r="BO103" i="10"/>
  <c r="BM103" i="10"/>
  <c r="BK103" i="10"/>
  <c r="BN102" i="10"/>
  <c r="BQ101" i="10"/>
  <c r="BM101" i="10"/>
  <c r="BP100" i="10"/>
  <c r="BL100" i="10"/>
  <c r="BO99" i="10"/>
  <c r="BM99" i="10"/>
  <c r="BP98" i="10"/>
  <c r="BN98" i="10"/>
  <c r="BL98" i="10"/>
  <c r="BO97" i="10"/>
  <c r="BM97" i="10"/>
  <c r="BK97" i="10"/>
  <c r="BP96" i="10"/>
  <c r="BN96" i="10"/>
  <c r="BL96" i="10"/>
  <c r="BQ95" i="10"/>
  <c r="BO95" i="10"/>
  <c r="BM95" i="10"/>
  <c r="BK95" i="10"/>
  <c r="BP94" i="10"/>
  <c r="BN94" i="10"/>
  <c r="BL94" i="10"/>
  <c r="BQ93" i="10"/>
  <c r="BO93" i="10"/>
  <c r="BM93" i="10"/>
  <c r="BK93" i="10"/>
  <c r="BP92" i="10"/>
  <c r="BN92" i="10"/>
  <c r="BL92" i="10"/>
  <c r="BQ91" i="10"/>
  <c r="BO91" i="10"/>
  <c r="BM91" i="10"/>
  <c r="BK91" i="10"/>
  <c r="BP90" i="10"/>
  <c r="BN90" i="10"/>
  <c r="BL90" i="10"/>
  <c r="BQ89" i="10"/>
  <c r="BO89" i="10"/>
  <c r="BM89" i="10"/>
  <c r="BK89" i="10"/>
  <c r="BP88" i="10"/>
  <c r="BN88" i="10"/>
  <c r="BL88" i="10"/>
  <c r="BP87" i="10"/>
  <c r="BK87" i="10"/>
  <c r="BO86" i="10"/>
  <c r="BQ85" i="10"/>
  <c r="BN85" i="10"/>
  <c r="BP84" i="10"/>
  <c r="BM84" i="10"/>
  <c r="BO83" i="10"/>
  <c r="BL83" i="10"/>
  <c r="BN82" i="10"/>
  <c r="BK82" i="10"/>
  <c r="BM81" i="10"/>
  <c r="BQ80" i="10"/>
  <c r="BL80" i="10"/>
  <c r="BP79" i="10"/>
  <c r="BK79" i="10"/>
  <c r="BO78" i="10"/>
  <c r="BQ77" i="10"/>
  <c r="BN77" i="10"/>
  <c r="BP76" i="10"/>
  <c r="BM76" i="10"/>
  <c r="BO75" i="10"/>
  <c r="BL75" i="10"/>
  <c r="BN74" i="10"/>
  <c r="BK74" i="10"/>
  <c r="BM73" i="10"/>
  <c r="BQ72" i="10"/>
  <c r="BL72" i="10"/>
  <c r="BP71" i="10"/>
  <c r="BK71" i="10"/>
  <c r="BO70" i="10"/>
  <c r="BQ69" i="10"/>
  <c r="BN69" i="10"/>
  <c r="BP68" i="10"/>
  <c r="BM68" i="10"/>
  <c r="BO67" i="10"/>
  <c r="BP108" i="10"/>
  <c r="BQ107" i="10"/>
  <c r="BO107" i="10"/>
  <c r="BK107" i="10"/>
  <c r="BN106" i="10"/>
  <c r="BO105" i="10"/>
  <c r="BK105" i="10"/>
  <c r="BN104" i="10"/>
  <c r="BQ103" i="10"/>
  <c r="BP102" i="10"/>
  <c r="BL102" i="10"/>
  <c r="BO101" i="10"/>
  <c r="BK101" i="10"/>
  <c r="BN100" i="10"/>
  <c r="BQ99" i="10"/>
  <c r="BK99" i="10"/>
  <c r="BQ97" i="10"/>
  <c r="BK88" i="10"/>
  <c r="BM87" i="10"/>
  <c r="BQ86" i="10"/>
  <c r="BL86" i="10"/>
  <c r="BP85" i="10"/>
  <c r="BK85" i="10"/>
  <c r="BO84" i="10"/>
  <c r="BQ83" i="10"/>
  <c r="BN83" i="10"/>
  <c r="BP82" i="10"/>
  <c r="BM82" i="10"/>
  <c r="BO81" i="10"/>
  <c r="BL81" i="10"/>
  <c r="BN80" i="10"/>
  <c r="BK80" i="10"/>
  <c r="BM79" i="10"/>
  <c r="BQ78" i="10"/>
  <c r="BL78" i="10"/>
  <c r="BP77" i="10"/>
  <c r="BK77" i="10"/>
  <c r="BO76" i="10"/>
  <c r="BQ75" i="10"/>
  <c r="BN75" i="10"/>
  <c r="BP74" i="10"/>
  <c r="BM74" i="10"/>
  <c r="BO73" i="10"/>
  <c r="BL73" i="10"/>
  <c r="BN72" i="10"/>
  <c r="BK72" i="10"/>
  <c r="BM71" i="10"/>
  <c r="BQ70" i="10"/>
  <c r="BL70" i="10"/>
  <c r="BP69" i="10"/>
  <c r="BK69" i="10"/>
  <c r="BO68" i="10"/>
  <c r="BQ67" i="10"/>
  <c r="BN67" i="10"/>
  <c r="BO104" i="10"/>
  <c r="BM104" i="10"/>
  <c r="BK104" i="10"/>
  <c r="BP103" i="10"/>
  <c r="BN103" i="10"/>
  <c r="BL103" i="10"/>
  <c r="BQ102" i="10"/>
  <c r="BO102" i="10"/>
  <c r="BM102" i="10"/>
  <c r="BK102" i="10"/>
  <c r="BP101" i="10"/>
  <c r="BN101" i="10"/>
  <c r="BL101" i="10"/>
  <c r="BQ100" i="10"/>
  <c r="BO100" i="10"/>
  <c r="BM100" i="10"/>
  <c r="BK100" i="10"/>
  <c r="BP99" i="10"/>
  <c r="BN99" i="10"/>
  <c r="BL99" i="10"/>
  <c r="BQ98" i="10"/>
  <c r="BO98" i="10"/>
  <c r="BM98" i="10"/>
  <c r="BK98" i="10"/>
  <c r="BP97" i="10"/>
  <c r="BN97" i="10"/>
  <c r="BL97" i="10"/>
  <c r="BQ96" i="10"/>
  <c r="BO96" i="10"/>
  <c r="BM96" i="10"/>
  <c r="BK96" i="10"/>
  <c r="BP95" i="10"/>
  <c r="BN95" i="10"/>
  <c r="BL95" i="10"/>
  <c r="BQ94" i="10"/>
  <c r="BO94" i="10"/>
  <c r="BM94" i="10"/>
  <c r="BK94" i="10"/>
  <c r="BP93" i="10"/>
  <c r="BN93" i="10"/>
  <c r="BL93" i="10"/>
  <c r="BQ92" i="10"/>
  <c r="BO92" i="10"/>
  <c r="BM92" i="10"/>
  <c r="BK92" i="10"/>
  <c r="BP91" i="10"/>
  <c r="BN91" i="10"/>
  <c r="BL91" i="10"/>
  <c r="BQ90" i="10"/>
  <c r="BO90" i="10"/>
  <c r="BM90" i="10"/>
  <c r="BK90" i="10"/>
  <c r="BP89" i="10"/>
  <c r="BN89" i="10"/>
  <c r="BL89" i="10"/>
  <c r="BQ88" i="10"/>
  <c r="BO88" i="10"/>
  <c r="BM88" i="10"/>
  <c r="BO87" i="10"/>
  <c r="BL87" i="10"/>
  <c r="BN86" i="10"/>
  <c r="BK86" i="10"/>
  <c r="BM85" i="10"/>
  <c r="BQ84" i="10"/>
  <c r="BL84" i="10"/>
  <c r="BP83" i="10"/>
  <c r="BK83" i="10"/>
  <c r="BO82" i="10"/>
  <c r="BQ81" i="10"/>
  <c r="BN81" i="10"/>
  <c r="BP80" i="10"/>
  <c r="BM80" i="10"/>
  <c r="BO79" i="10"/>
  <c r="BL79" i="10"/>
  <c r="BN78" i="10"/>
  <c r="BK78" i="10"/>
  <c r="BM77" i="10"/>
  <c r="BQ76" i="10"/>
  <c r="BL76" i="10"/>
  <c r="BP75" i="10"/>
  <c r="BK75" i="10"/>
  <c r="BO74" i="10"/>
  <c r="BQ73" i="10"/>
  <c r="BN73" i="10"/>
  <c r="BP72" i="10"/>
  <c r="BM72" i="10"/>
  <c r="BO71" i="10"/>
  <c r="BL71" i="10"/>
  <c r="BN70" i="10"/>
  <c r="BK70" i="10"/>
  <c r="BM69" i="10"/>
  <c r="BQ68" i="10"/>
  <c r="BL68" i="10"/>
  <c r="BP67" i="10"/>
  <c r="BK67" i="10"/>
  <c r="BP66" i="10"/>
  <c r="BN66" i="10"/>
  <c r="BL66" i="10"/>
  <c r="BQ65" i="10"/>
  <c r="BO65" i="10"/>
  <c r="BM65" i="10"/>
  <c r="BK65" i="10"/>
  <c r="BP64" i="10"/>
  <c r="BN64" i="10"/>
  <c r="BL64" i="10"/>
  <c r="BL67" i="10"/>
  <c r="BQ66" i="10"/>
  <c r="BO66" i="10"/>
  <c r="BM66" i="10"/>
  <c r="BK66" i="10"/>
  <c r="BP65" i="10"/>
  <c r="BN65" i="10"/>
  <c r="BL65" i="10"/>
  <c r="BQ64" i="10"/>
  <c r="BO64" i="10"/>
  <c r="BM64" i="10"/>
  <c r="BK64" i="10"/>
  <c r="BQ63" i="10"/>
  <c r="BO63" i="10"/>
  <c r="BM63" i="10"/>
  <c r="BP63" i="10"/>
  <c r="BN63" i="10"/>
  <c r="BL63" i="10"/>
  <c r="BK63" i="10"/>
  <c r="AV55" i="10"/>
  <c r="AF72" i="10"/>
  <c r="AG72" i="10"/>
  <c r="AH72" i="10"/>
  <c r="AI72" i="10"/>
  <c r="AJ72" i="10"/>
  <c r="AK72" i="10"/>
  <c r="AL72" i="10"/>
  <c r="AF73" i="10"/>
  <c r="AG73" i="10"/>
  <c r="AH73" i="10"/>
  <c r="AI73" i="10"/>
  <c r="AJ73" i="10"/>
  <c r="AK73" i="10"/>
  <c r="AL73" i="10"/>
  <c r="AF74" i="10"/>
  <c r="AG74" i="10"/>
  <c r="AH74" i="10"/>
  <c r="AI74" i="10"/>
  <c r="AJ74" i="10"/>
  <c r="AK74" i="10"/>
  <c r="AL74" i="10"/>
  <c r="AF75" i="10"/>
  <c r="AG75" i="10"/>
  <c r="AH75" i="10"/>
  <c r="AI75" i="10"/>
  <c r="AJ75" i="10"/>
  <c r="AK75" i="10"/>
  <c r="AL75" i="10"/>
  <c r="AF76" i="10"/>
  <c r="AG76" i="10"/>
  <c r="AH76" i="10"/>
  <c r="AI76" i="10"/>
  <c r="AJ76" i="10"/>
  <c r="AK76" i="10"/>
  <c r="AL76" i="10"/>
  <c r="AF77" i="10"/>
  <c r="AG77" i="10"/>
  <c r="AH77" i="10"/>
  <c r="AI77" i="10"/>
  <c r="AJ77" i="10"/>
  <c r="AK77" i="10"/>
  <c r="AL77" i="10"/>
  <c r="AF78" i="10"/>
  <c r="AG78" i="10"/>
  <c r="AH78" i="10"/>
  <c r="AI78" i="10"/>
  <c r="AJ78" i="10"/>
  <c r="AK78" i="10"/>
  <c r="AL78" i="10"/>
  <c r="AF79" i="10"/>
  <c r="AG79" i="10"/>
  <c r="AH79" i="10"/>
  <c r="AI79" i="10"/>
  <c r="AJ79" i="10"/>
  <c r="AK79" i="10"/>
  <c r="AL79" i="10"/>
  <c r="AF80" i="10"/>
  <c r="AG80" i="10"/>
  <c r="AH80" i="10"/>
  <c r="AI80" i="10"/>
  <c r="AJ80" i="10"/>
  <c r="AK80" i="10"/>
  <c r="AL80" i="10"/>
  <c r="AF81" i="10"/>
  <c r="AG81" i="10"/>
  <c r="AH81" i="10"/>
  <c r="AI81" i="10"/>
  <c r="AJ81" i="10"/>
  <c r="AK81" i="10"/>
  <c r="AL81" i="10"/>
  <c r="AF82" i="10"/>
  <c r="AG82" i="10"/>
  <c r="AH82" i="10"/>
  <c r="AI82" i="10"/>
  <c r="AJ82" i="10"/>
  <c r="AK82" i="10"/>
  <c r="AL82" i="10"/>
  <c r="AF83" i="10"/>
  <c r="AG83" i="10"/>
  <c r="AH83" i="10"/>
  <c r="AI83" i="10"/>
  <c r="AJ83" i="10"/>
  <c r="AK83" i="10"/>
  <c r="AL83" i="10"/>
  <c r="AF84" i="10"/>
  <c r="AG84" i="10"/>
  <c r="AH84" i="10"/>
  <c r="AI84" i="10"/>
  <c r="AJ84" i="10"/>
  <c r="AK84" i="10"/>
  <c r="AL84" i="10"/>
  <c r="AF85" i="10"/>
  <c r="AG85" i="10"/>
  <c r="AH85" i="10"/>
  <c r="AI85" i="10"/>
  <c r="AJ85" i="10"/>
  <c r="AK85" i="10"/>
  <c r="AL85" i="10"/>
  <c r="AF86" i="10"/>
  <c r="AG86" i="10"/>
  <c r="AH86" i="10"/>
  <c r="AI86" i="10"/>
  <c r="AJ86" i="10"/>
  <c r="AK86" i="10"/>
  <c r="AL86" i="10"/>
  <c r="AF87" i="10"/>
  <c r="AG87" i="10"/>
  <c r="AH87" i="10"/>
  <c r="AI87" i="10"/>
  <c r="AJ87" i="10"/>
  <c r="AK87" i="10"/>
  <c r="AL87" i="10"/>
  <c r="AF88" i="10"/>
  <c r="AG88" i="10"/>
  <c r="AH88" i="10"/>
  <c r="AI88" i="10"/>
  <c r="AJ88" i="10"/>
  <c r="AK88" i="10"/>
  <c r="AL88" i="10"/>
  <c r="AF89" i="10"/>
  <c r="AG89" i="10"/>
  <c r="AH89" i="10"/>
  <c r="AI89" i="10"/>
  <c r="AJ89" i="10"/>
  <c r="AK89" i="10"/>
  <c r="AL89" i="10"/>
  <c r="AF90" i="10"/>
  <c r="AG90" i="10"/>
  <c r="AH90" i="10"/>
  <c r="AI90" i="10"/>
  <c r="AJ90" i="10"/>
  <c r="AK90" i="10"/>
  <c r="AL90" i="10"/>
  <c r="AF91" i="10"/>
  <c r="AG91" i="10"/>
  <c r="AH91" i="10"/>
  <c r="AI91" i="10"/>
  <c r="AJ91" i="10"/>
  <c r="AK91" i="10"/>
  <c r="AL91" i="10"/>
  <c r="AF92" i="10"/>
  <c r="AG92" i="10"/>
  <c r="AH92" i="10"/>
  <c r="AI92" i="10"/>
  <c r="AJ92" i="10"/>
  <c r="AK92" i="10"/>
  <c r="AL92" i="10"/>
  <c r="AF93" i="10"/>
  <c r="AG93" i="10"/>
  <c r="AH93" i="10"/>
  <c r="AI93" i="10"/>
  <c r="AJ93" i="10"/>
  <c r="AK93" i="10"/>
  <c r="AL93" i="10"/>
  <c r="AF94" i="10"/>
  <c r="AG94" i="10"/>
  <c r="AH94" i="10"/>
  <c r="AI94" i="10"/>
  <c r="AJ94" i="10"/>
  <c r="AK94" i="10"/>
  <c r="AL94" i="10"/>
  <c r="AF95" i="10"/>
  <c r="AG95" i="10"/>
  <c r="AH95" i="10"/>
  <c r="AI95" i="10"/>
  <c r="AJ95" i="10"/>
  <c r="AK95" i="10"/>
  <c r="AL95" i="10"/>
  <c r="AF96" i="10"/>
  <c r="AG96" i="10"/>
  <c r="AH96" i="10"/>
  <c r="AI96" i="10"/>
  <c r="AJ96" i="10"/>
  <c r="AK96" i="10"/>
  <c r="AL96" i="10"/>
  <c r="AF97" i="10"/>
  <c r="AG97" i="10"/>
  <c r="AH97" i="10"/>
  <c r="AI97" i="10"/>
  <c r="AJ97" i="10"/>
  <c r="AK97" i="10"/>
  <c r="AL97" i="10"/>
  <c r="AF98" i="10"/>
  <c r="AG98" i="10"/>
  <c r="AH98" i="10"/>
  <c r="AI98" i="10"/>
  <c r="AJ98" i="10"/>
  <c r="AK98" i="10"/>
  <c r="AL98" i="10"/>
  <c r="AF99" i="10"/>
  <c r="AG99" i="10"/>
  <c r="AH99" i="10"/>
  <c r="AI99" i="10"/>
  <c r="AJ99" i="10"/>
  <c r="AK99" i="10"/>
  <c r="AL99" i="10"/>
  <c r="AF100" i="10"/>
  <c r="AG100" i="10"/>
  <c r="AH100" i="10"/>
  <c r="AI100" i="10"/>
  <c r="AJ100" i="10"/>
  <c r="AK100" i="10"/>
  <c r="AL100" i="10"/>
  <c r="AF101" i="10"/>
  <c r="AG101" i="10"/>
  <c r="AH101" i="10"/>
  <c r="AI101" i="10"/>
  <c r="AJ101" i="10"/>
  <c r="AK101" i="10"/>
  <c r="AL101" i="10"/>
  <c r="AF102" i="10"/>
  <c r="AG102" i="10"/>
  <c r="AH102" i="10"/>
  <c r="AI102" i="10"/>
  <c r="AJ102" i="10"/>
  <c r="AK102" i="10"/>
  <c r="AL102" i="10"/>
  <c r="AF103" i="10"/>
  <c r="AG103" i="10"/>
  <c r="AH103" i="10"/>
  <c r="AI103" i="10"/>
  <c r="AJ103" i="10"/>
  <c r="AK103" i="10"/>
  <c r="AL103" i="10"/>
  <c r="AF104" i="10"/>
  <c r="AG104" i="10"/>
  <c r="AH104" i="10"/>
  <c r="AI104" i="10"/>
  <c r="AJ104" i="10"/>
  <c r="AK104" i="10"/>
  <c r="AL104" i="10"/>
  <c r="AF105" i="10"/>
  <c r="AG105" i="10"/>
  <c r="AH105" i="10"/>
  <c r="AI105" i="10"/>
  <c r="AJ105" i="10"/>
  <c r="AK105" i="10"/>
  <c r="AL105" i="10"/>
  <c r="AF106" i="10"/>
  <c r="AG106" i="10"/>
  <c r="AH106" i="10"/>
  <c r="AI106" i="10"/>
  <c r="AJ106" i="10"/>
  <c r="AK106" i="10"/>
  <c r="AL106" i="10"/>
  <c r="AF107" i="10"/>
  <c r="AG107" i="10"/>
  <c r="AH107" i="10"/>
  <c r="AI107" i="10"/>
  <c r="AJ107" i="10"/>
  <c r="AK107" i="10"/>
  <c r="AL107" i="10"/>
  <c r="AF108" i="10"/>
  <c r="AG108" i="10"/>
  <c r="AH108" i="10"/>
  <c r="AI108" i="10"/>
  <c r="AJ108" i="10"/>
  <c r="AK108" i="10"/>
  <c r="AL108" i="10"/>
  <c r="AF109" i="10"/>
  <c r="AG109" i="10"/>
  <c r="AH109" i="10"/>
  <c r="AI109" i="10"/>
  <c r="AJ109" i="10"/>
  <c r="AK109" i="10"/>
  <c r="AL109" i="10"/>
  <c r="AF110" i="10"/>
  <c r="AG110" i="10"/>
  <c r="AH110" i="10"/>
  <c r="AI110" i="10"/>
  <c r="AJ110" i="10"/>
  <c r="AK110" i="10"/>
  <c r="AL110" i="10"/>
  <c r="AF111" i="10"/>
  <c r="AG111" i="10"/>
  <c r="AH111" i="10"/>
  <c r="AI111" i="10"/>
  <c r="AJ111" i="10"/>
  <c r="AK111" i="10"/>
  <c r="AL111" i="10"/>
  <c r="AF112" i="10"/>
  <c r="AG112" i="10"/>
  <c r="AH112" i="10"/>
  <c r="AI112" i="10"/>
  <c r="AJ112" i="10"/>
  <c r="AK112" i="10"/>
  <c r="AL112" i="10"/>
  <c r="AF113" i="10"/>
  <c r="AG113" i="10"/>
  <c r="AH113" i="10"/>
  <c r="AI113" i="10"/>
  <c r="AJ113" i="10"/>
  <c r="AK113" i="10"/>
  <c r="AL113" i="10"/>
  <c r="AF114" i="10"/>
  <c r="AG114" i="10"/>
  <c r="AH114" i="10"/>
  <c r="AI114" i="10"/>
  <c r="AJ114" i="10"/>
  <c r="AK114" i="10"/>
  <c r="AL114" i="10"/>
  <c r="AF115" i="10"/>
  <c r="AG115" i="10"/>
  <c r="AH115" i="10"/>
  <c r="AI115" i="10"/>
  <c r="AJ115" i="10"/>
  <c r="AK115" i="10"/>
  <c r="AL115" i="10"/>
  <c r="AF116" i="10"/>
  <c r="AG116" i="10"/>
  <c r="AH116" i="10"/>
  <c r="AI116" i="10"/>
  <c r="AJ116" i="10"/>
  <c r="AK116" i="10"/>
  <c r="AL116" i="10"/>
  <c r="AF117" i="10"/>
  <c r="AG117" i="10"/>
  <c r="AH117" i="10"/>
  <c r="AI117" i="10"/>
  <c r="AJ117" i="10"/>
  <c r="AK117" i="10"/>
  <c r="AL117" i="10"/>
  <c r="AF118" i="10"/>
  <c r="AG118" i="10"/>
  <c r="AH118" i="10"/>
  <c r="AI118" i="10"/>
  <c r="AJ118" i="10"/>
  <c r="AK118" i="10"/>
  <c r="AL118" i="10"/>
  <c r="AG71" i="10"/>
  <c r="AH71" i="10"/>
  <c r="AI71" i="10"/>
  <c r="AJ71" i="10"/>
  <c r="AK71" i="10"/>
  <c r="AL71" i="10"/>
  <c r="AF71" i="10"/>
  <c r="AF8" i="10"/>
  <c r="AG8" i="10"/>
  <c r="AH8" i="10"/>
  <c r="AI8" i="10"/>
  <c r="AJ8" i="10"/>
  <c r="AK8" i="10"/>
  <c r="AL8" i="10"/>
  <c r="AF9" i="10"/>
  <c r="AG9" i="10"/>
  <c r="AH9" i="10"/>
  <c r="AI9" i="10"/>
  <c r="AJ9" i="10"/>
  <c r="AK9" i="10"/>
  <c r="AL9" i="10"/>
  <c r="AF10" i="10"/>
  <c r="BG10" i="10" s="1"/>
  <c r="AG10" i="10"/>
  <c r="AY10" i="10" s="1"/>
  <c r="AH10" i="10"/>
  <c r="AI10" i="10"/>
  <c r="AJ10" i="10"/>
  <c r="AK10" i="10"/>
  <c r="AL10" i="10"/>
  <c r="AF11" i="10"/>
  <c r="AG11" i="10"/>
  <c r="AH11" i="10"/>
  <c r="AI11" i="10"/>
  <c r="AJ11" i="10"/>
  <c r="AK11" i="10"/>
  <c r="AL11" i="10"/>
  <c r="AF12" i="10"/>
  <c r="AG12" i="10"/>
  <c r="AH12" i="10"/>
  <c r="BI12" i="10" s="1"/>
  <c r="AI12" i="10"/>
  <c r="BA12" i="10" s="1"/>
  <c r="AJ12" i="10"/>
  <c r="AK12" i="10"/>
  <c r="AL12" i="10"/>
  <c r="AF13" i="10"/>
  <c r="AG13" i="10"/>
  <c r="AH13" i="10"/>
  <c r="AI13" i="10"/>
  <c r="AJ13" i="10"/>
  <c r="AK13" i="10"/>
  <c r="AL13" i="10"/>
  <c r="AF14" i="10"/>
  <c r="AG14" i="10"/>
  <c r="AY14" i="10" s="1"/>
  <c r="AH14" i="10"/>
  <c r="AI14" i="10"/>
  <c r="AJ14" i="10"/>
  <c r="BK14" i="10" s="1"/>
  <c r="AK14" i="10"/>
  <c r="AL14" i="10"/>
  <c r="AF15" i="10"/>
  <c r="AG15" i="10"/>
  <c r="AH15" i="10"/>
  <c r="AZ15" i="10" s="1"/>
  <c r="AI15" i="10"/>
  <c r="AJ15" i="10"/>
  <c r="AK15" i="10"/>
  <c r="AL15" i="10"/>
  <c r="AF16" i="10"/>
  <c r="AG16" i="10"/>
  <c r="AH16" i="10"/>
  <c r="AI16" i="10"/>
  <c r="AJ16" i="10"/>
  <c r="AK16" i="10"/>
  <c r="AL16" i="10"/>
  <c r="BM16" i="10" s="1"/>
  <c r="AF17" i="10"/>
  <c r="AX17" i="10" s="1"/>
  <c r="AG17" i="10"/>
  <c r="AH17" i="10"/>
  <c r="AI17" i="10"/>
  <c r="AJ17" i="10"/>
  <c r="AK17" i="10"/>
  <c r="AL17" i="10"/>
  <c r="AF18" i="10"/>
  <c r="AG18" i="10"/>
  <c r="AH18" i="10"/>
  <c r="AI18" i="10"/>
  <c r="AJ18" i="10"/>
  <c r="AK18" i="10"/>
  <c r="AL18" i="10"/>
  <c r="AF19" i="10"/>
  <c r="AG19" i="10"/>
  <c r="BH19" i="10" s="1"/>
  <c r="AH19" i="10"/>
  <c r="AZ19" i="10" s="1"/>
  <c r="AI19" i="10"/>
  <c r="AJ19" i="10"/>
  <c r="AK19" i="10"/>
  <c r="AL19" i="10"/>
  <c r="AF20" i="10"/>
  <c r="AG20" i="10"/>
  <c r="AH20" i="10"/>
  <c r="AI20" i="10"/>
  <c r="AJ20" i="10"/>
  <c r="AK20" i="10"/>
  <c r="AL20" i="10"/>
  <c r="AF21" i="10"/>
  <c r="AG21" i="10"/>
  <c r="AH21" i="10"/>
  <c r="AI21" i="10"/>
  <c r="BJ21" i="10" s="1"/>
  <c r="AJ21" i="10"/>
  <c r="AK21" i="10"/>
  <c r="AL21" i="10"/>
  <c r="AF22" i="10"/>
  <c r="AG22" i="10"/>
  <c r="AH22" i="10"/>
  <c r="AI22" i="10"/>
  <c r="AJ22" i="10"/>
  <c r="AK22" i="10"/>
  <c r="AL22" i="10"/>
  <c r="AF23" i="10"/>
  <c r="AG23" i="10"/>
  <c r="AH23" i="10"/>
  <c r="AI23" i="10"/>
  <c r="AJ23" i="10"/>
  <c r="AK23" i="10"/>
  <c r="BL23" i="10" s="1"/>
  <c r="AL23" i="10"/>
  <c r="BD23" i="10" s="1"/>
  <c r="AF24" i="10"/>
  <c r="AG24" i="10"/>
  <c r="AH24" i="10"/>
  <c r="AI24" i="10"/>
  <c r="AJ24" i="10"/>
  <c r="AK24" i="10"/>
  <c r="AL24" i="10"/>
  <c r="AF25" i="10"/>
  <c r="AG25" i="10"/>
  <c r="AH25" i="10"/>
  <c r="AI25" i="10"/>
  <c r="AJ25" i="10"/>
  <c r="BB25" i="10" s="1"/>
  <c r="AK25" i="10"/>
  <c r="AL25" i="10"/>
  <c r="AF26" i="10"/>
  <c r="BG26" i="10" s="1"/>
  <c r="AG26" i="10"/>
  <c r="AH26" i="10"/>
  <c r="AI26" i="10"/>
  <c r="AJ26" i="10"/>
  <c r="AK26" i="10"/>
  <c r="AL26" i="10"/>
  <c r="AF27" i="10"/>
  <c r="AG27" i="10"/>
  <c r="AH27" i="10"/>
  <c r="AI27" i="10"/>
  <c r="AJ27" i="10"/>
  <c r="AK27" i="10"/>
  <c r="AL27" i="10"/>
  <c r="AF28" i="10"/>
  <c r="AG28" i="10"/>
  <c r="AH28" i="10"/>
  <c r="BI28" i="10" s="1"/>
  <c r="AI28" i="10"/>
  <c r="BA28" i="10" s="1"/>
  <c r="AJ28" i="10"/>
  <c r="AK28" i="10"/>
  <c r="AL28" i="10"/>
  <c r="AF29" i="10"/>
  <c r="AG29" i="10"/>
  <c r="AH29" i="10"/>
  <c r="AI29" i="10"/>
  <c r="AJ29" i="10"/>
  <c r="AK29" i="10"/>
  <c r="AL29" i="10"/>
  <c r="AF30" i="10"/>
  <c r="AG30" i="10"/>
  <c r="AH30" i="10"/>
  <c r="AI30" i="10"/>
  <c r="AJ30" i="10"/>
  <c r="BK30" i="10" s="1"/>
  <c r="AK30" i="10"/>
  <c r="AL30" i="10"/>
  <c r="AF31" i="10"/>
  <c r="AG31" i="10"/>
  <c r="AH31" i="10"/>
  <c r="AI31" i="10"/>
  <c r="AJ31" i="10"/>
  <c r="AK31" i="10"/>
  <c r="AL31" i="10"/>
  <c r="AF32" i="10"/>
  <c r="AG32" i="10"/>
  <c r="AH32" i="10"/>
  <c r="AI32" i="10"/>
  <c r="AJ32" i="10"/>
  <c r="AK32" i="10"/>
  <c r="AL32" i="10"/>
  <c r="BM32" i="10" s="1"/>
  <c r="AF33" i="10"/>
  <c r="AX33" i="10" s="1"/>
  <c r="AG33" i="10"/>
  <c r="AH33" i="10"/>
  <c r="AI33" i="10"/>
  <c r="AJ33" i="10"/>
  <c r="AK33" i="10"/>
  <c r="AL33" i="10"/>
  <c r="AF34" i="10"/>
  <c r="AG34" i="10"/>
  <c r="AH34" i="10"/>
  <c r="AI34" i="10"/>
  <c r="AJ34" i="10"/>
  <c r="AK34" i="10"/>
  <c r="BC34" i="10" s="1"/>
  <c r="AL34" i="10"/>
  <c r="AF35" i="10"/>
  <c r="AG35" i="10"/>
  <c r="BH35" i="10" s="1"/>
  <c r="AH35" i="10"/>
  <c r="AZ35" i="10" s="1"/>
  <c r="AI35" i="10"/>
  <c r="AJ35" i="10"/>
  <c r="AK35" i="10"/>
  <c r="AL35" i="10"/>
  <c r="AF36" i="10"/>
  <c r="AG36" i="10"/>
  <c r="AH36" i="10"/>
  <c r="AI36" i="10"/>
  <c r="AJ36" i="10"/>
  <c r="AK36" i="10"/>
  <c r="AL36" i="10"/>
  <c r="AF37" i="10"/>
  <c r="AX37" i="10" s="1"/>
  <c r="AG37" i="10"/>
  <c r="AH37" i="10"/>
  <c r="AI37" i="10"/>
  <c r="BJ37" i="10" s="1"/>
  <c r="AJ37" i="10"/>
  <c r="AK37" i="10"/>
  <c r="AL37" i="10"/>
  <c r="AF38" i="10"/>
  <c r="AG38" i="10"/>
  <c r="AY38" i="10" s="1"/>
  <c r="AH38" i="10"/>
  <c r="AI38" i="10"/>
  <c r="AJ38" i="10"/>
  <c r="AK38" i="10"/>
  <c r="AL38" i="10"/>
  <c r="AF39" i="10"/>
  <c r="AG39" i="10"/>
  <c r="AH39" i="10"/>
  <c r="AI39" i="10"/>
  <c r="AJ39" i="10"/>
  <c r="AK39" i="10"/>
  <c r="BL39" i="10" s="1"/>
  <c r="AL39" i="10"/>
  <c r="BD39" i="10" s="1"/>
  <c r="AF40" i="10"/>
  <c r="AG40" i="10"/>
  <c r="AH40" i="10"/>
  <c r="AI40" i="10"/>
  <c r="AJ40" i="10"/>
  <c r="AK40" i="10"/>
  <c r="AL40" i="10"/>
  <c r="AF41" i="10"/>
  <c r="AG41" i="10"/>
  <c r="AH41" i="10"/>
  <c r="AI41" i="10"/>
  <c r="AJ41" i="10"/>
  <c r="AK41" i="10"/>
  <c r="AL41" i="10"/>
  <c r="AF42" i="10"/>
  <c r="BG42" i="10" s="1"/>
  <c r="AG42" i="10"/>
  <c r="AH42" i="10"/>
  <c r="AI42" i="10"/>
  <c r="AJ42" i="10"/>
  <c r="AK42" i="10"/>
  <c r="AL42" i="10"/>
  <c r="AF43" i="10"/>
  <c r="AG43" i="10"/>
  <c r="AH43" i="10"/>
  <c r="AI43" i="10"/>
  <c r="AJ43" i="10"/>
  <c r="BB43" i="10" s="1"/>
  <c r="AK43" i="10"/>
  <c r="AL43" i="10"/>
  <c r="AF44" i="10"/>
  <c r="AG44" i="10"/>
  <c r="AH44" i="10"/>
  <c r="AI44" i="10"/>
  <c r="AJ44" i="10"/>
  <c r="BK44" i="10" s="1"/>
  <c r="AK44" i="10"/>
  <c r="AL44" i="10"/>
  <c r="AF45" i="10"/>
  <c r="AX45" i="10" s="1"/>
  <c r="AG45" i="10"/>
  <c r="AH45" i="10"/>
  <c r="AI45" i="10"/>
  <c r="AJ45" i="10"/>
  <c r="AK45" i="10"/>
  <c r="AL45" i="10"/>
  <c r="AF46" i="10"/>
  <c r="AG46" i="10"/>
  <c r="AY46" i="10" s="1"/>
  <c r="AH46" i="10"/>
  <c r="AI46" i="10"/>
  <c r="AJ46" i="10"/>
  <c r="AK46" i="10"/>
  <c r="AL46" i="10"/>
  <c r="BM46" i="10" s="1"/>
  <c r="AF47" i="10"/>
  <c r="AG47" i="10"/>
  <c r="AH47" i="10"/>
  <c r="AI47" i="10"/>
  <c r="AJ47" i="10"/>
  <c r="AK47" i="10"/>
  <c r="AL47" i="10"/>
  <c r="AF48" i="10"/>
  <c r="AG48" i="10"/>
  <c r="AH48" i="10"/>
  <c r="AI48" i="10"/>
  <c r="BA48" i="10" s="1"/>
  <c r="AJ48" i="10"/>
  <c r="AK48" i="10"/>
  <c r="AL48" i="10"/>
  <c r="AF49" i="10"/>
  <c r="AG49" i="10"/>
  <c r="BH49" i="10" s="1"/>
  <c r="AH49" i="10"/>
  <c r="AI49" i="10"/>
  <c r="AJ49" i="10"/>
  <c r="BB49" i="10" s="1"/>
  <c r="AK49" i="10"/>
  <c r="AL49" i="10"/>
  <c r="AF50" i="10"/>
  <c r="AG50" i="10"/>
  <c r="AH50" i="10"/>
  <c r="AI50" i="10"/>
  <c r="AJ50" i="10"/>
  <c r="AK50" i="10"/>
  <c r="AL50" i="10"/>
  <c r="AF51" i="10"/>
  <c r="AG51" i="10"/>
  <c r="AH51" i="10"/>
  <c r="AZ51" i="10" s="1"/>
  <c r="AI51" i="10"/>
  <c r="BJ51" i="10" s="1"/>
  <c r="AJ51" i="10"/>
  <c r="AK51" i="10"/>
  <c r="AL51" i="10"/>
  <c r="AF52" i="10"/>
  <c r="AG52" i="10"/>
  <c r="AH52" i="10"/>
  <c r="AI52" i="10"/>
  <c r="AJ52" i="10"/>
  <c r="AK52" i="10"/>
  <c r="AL52" i="10"/>
  <c r="AF53" i="10"/>
  <c r="AX53" i="10" s="1"/>
  <c r="AG53" i="10"/>
  <c r="AH53" i="10"/>
  <c r="AI53" i="10"/>
  <c r="AJ53" i="10"/>
  <c r="AK53" i="10"/>
  <c r="BL53" i="10" s="1"/>
  <c r="AL53" i="10"/>
  <c r="AF54" i="10"/>
  <c r="AG54" i="10"/>
  <c r="AY54" i="10" s="1"/>
  <c r="AH54" i="10"/>
  <c r="AI54" i="10"/>
  <c r="AJ54" i="10"/>
  <c r="AK54" i="10"/>
  <c r="AL54" i="10"/>
  <c r="AG7" i="10"/>
  <c r="AH7" i="10"/>
  <c r="AI7" i="10"/>
  <c r="AJ7" i="10"/>
  <c r="AK7" i="10"/>
  <c r="AL7" i="10"/>
  <c r="AF7" i="10"/>
  <c r="BG7" i="10" s="1"/>
  <c r="C57" i="10"/>
  <c r="F127" i="10"/>
  <c r="F128" i="10" s="1"/>
  <c r="G127" i="10"/>
  <c r="G128" i="10" s="1"/>
  <c r="H127" i="10"/>
  <c r="H128" i="10" s="1"/>
  <c r="I127" i="10"/>
  <c r="I128" i="10" s="1"/>
  <c r="J127" i="10"/>
  <c r="J128" i="10" s="1"/>
  <c r="K127" i="10"/>
  <c r="K128" i="10" s="1"/>
  <c r="E127" i="10"/>
  <c r="E128" i="10" s="1"/>
  <c r="D118" i="10"/>
  <c r="E118" i="10"/>
  <c r="F118" i="10"/>
  <c r="G118" i="10"/>
  <c r="H118" i="10"/>
  <c r="I118" i="10"/>
  <c r="J118" i="10"/>
  <c r="F64" i="10"/>
  <c r="F65" i="10" s="1"/>
  <c r="G64" i="10"/>
  <c r="G65" i="10" s="1"/>
  <c r="H64" i="10"/>
  <c r="H65" i="10" s="1"/>
  <c r="I64" i="10"/>
  <c r="I65" i="10" s="1"/>
  <c r="J64" i="10"/>
  <c r="J65" i="10" s="1"/>
  <c r="K64" i="10"/>
  <c r="K65" i="10" s="1"/>
  <c r="E64" i="10"/>
  <c r="O59" i="10"/>
  <c r="AN13" i="8"/>
  <c r="AO13" i="8"/>
  <c r="AQ13" i="8"/>
  <c r="AR13" i="8"/>
  <c r="AS13" i="8"/>
  <c r="AN14" i="8"/>
  <c r="AO14" i="8"/>
  <c r="AP14" i="8"/>
  <c r="AR14" i="8"/>
  <c r="AS14" i="8"/>
  <c r="AT14" i="8"/>
  <c r="AO15" i="8"/>
  <c r="AQ15" i="8"/>
  <c r="AS15" i="8"/>
  <c r="AT15" i="8"/>
  <c r="AN16" i="8"/>
  <c r="AO16" i="8"/>
  <c r="AP16" i="8"/>
  <c r="AQ16" i="8"/>
  <c r="AR16" i="8"/>
  <c r="AT16" i="8"/>
  <c r="AN17" i="8"/>
  <c r="AO17" i="8"/>
  <c r="AQ17" i="8"/>
  <c r="AS17" i="8"/>
  <c r="AN18" i="8"/>
  <c r="AO18" i="8"/>
  <c r="AP18" i="8"/>
  <c r="AR18" i="8"/>
  <c r="AS18" i="8"/>
  <c r="AT18" i="8"/>
  <c r="AQ19" i="8"/>
  <c r="AS19" i="8"/>
  <c r="AN20" i="8"/>
  <c r="AQ20" i="8"/>
  <c r="AR20" i="8"/>
  <c r="AT20" i="8"/>
  <c r="AN21" i="8"/>
  <c r="AO21" i="8"/>
  <c r="AR21" i="8"/>
  <c r="AS21" i="8"/>
  <c r="AN22" i="8"/>
  <c r="AO22" i="8"/>
  <c r="AP22" i="8"/>
  <c r="AS22" i="8"/>
  <c r="AT22" i="8"/>
  <c r="AO23" i="8"/>
  <c r="AQ23" i="8"/>
  <c r="AR24" i="8"/>
  <c r="AT24" i="8"/>
  <c r="AN25" i="8"/>
  <c r="AO25" i="8"/>
  <c r="AQ25" i="8"/>
  <c r="AR25" i="8"/>
  <c r="AS25" i="8"/>
  <c r="AO26" i="8"/>
  <c r="AP26" i="8"/>
  <c r="AR26" i="8"/>
  <c r="AS26" i="8"/>
  <c r="AT26" i="8"/>
  <c r="AP12" i="8"/>
  <c r="AR12" i="8"/>
  <c r="AN12" i="8"/>
  <c r="AN6" i="8"/>
  <c r="AN7" i="8"/>
  <c r="AN8" i="8"/>
  <c r="AN9" i="8"/>
  <c r="AN10" i="8"/>
  <c r="AO6" i="8"/>
  <c r="AP6" i="8"/>
  <c r="AR6" i="8"/>
  <c r="AS6" i="8"/>
  <c r="AT6" i="8"/>
  <c r="AO7" i="8"/>
  <c r="AP7" i="8"/>
  <c r="AQ7" i="8"/>
  <c r="AS7" i="8"/>
  <c r="AT7" i="8"/>
  <c r="AP8" i="8"/>
  <c r="AQ8" i="8"/>
  <c r="AR8" i="8"/>
  <c r="AT8" i="8"/>
  <c r="AO9" i="8"/>
  <c r="AQ9" i="8"/>
  <c r="AR9" i="8"/>
  <c r="AS9" i="8"/>
  <c r="AO10" i="8"/>
  <c r="AP10" i="8"/>
  <c r="AR10" i="8"/>
  <c r="AS10" i="8"/>
  <c r="AT10" i="8"/>
  <c r="AO11" i="8"/>
  <c r="AP11" i="8"/>
  <c r="AQ11" i="8"/>
  <c r="AS11" i="8"/>
  <c r="AT11" i="8"/>
  <c r="AO5" i="8"/>
  <c r="AP5" i="8"/>
  <c r="AS5" i="8"/>
  <c r="AT5" i="8"/>
  <c r="AQ12" i="8"/>
  <c r="AN26" i="8"/>
  <c r="BX26" i="8" s="1"/>
  <c r="AO27" i="8"/>
  <c r="AP27" i="8"/>
  <c r="AQ27" i="8"/>
  <c r="AS27" i="8"/>
  <c r="AT27" i="8"/>
  <c r="AN28" i="8"/>
  <c r="AP28" i="8"/>
  <c r="AQ28" i="8"/>
  <c r="AR28" i="8"/>
  <c r="AT28" i="8"/>
  <c r="AN29" i="8"/>
  <c r="AO29" i="8"/>
  <c r="AQ29" i="8"/>
  <c r="AR29" i="8"/>
  <c r="AS29" i="8"/>
  <c r="AN30" i="8"/>
  <c r="AO30" i="8"/>
  <c r="AP30" i="8"/>
  <c r="AR30" i="8"/>
  <c r="AS30" i="8"/>
  <c r="AT30" i="8"/>
  <c r="AO31" i="8"/>
  <c r="AP31" i="8"/>
  <c r="AQ31" i="8"/>
  <c r="AS31" i="8"/>
  <c r="AT31" i="8"/>
  <c r="AN32" i="8"/>
  <c r="AP32" i="8"/>
  <c r="AQ32" i="8"/>
  <c r="AR32" i="8"/>
  <c r="AT32" i="8"/>
  <c r="AN33" i="8"/>
  <c r="AO33" i="8"/>
  <c r="AQ33" i="8"/>
  <c r="AR33" i="8"/>
  <c r="AS33" i="8"/>
  <c r="AN34" i="8"/>
  <c r="BX34" i="8" s="1"/>
  <c r="AO34" i="8"/>
  <c r="AP34" i="8"/>
  <c r="AR34" i="8"/>
  <c r="AS34" i="8"/>
  <c r="AT34" i="8"/>
  <c r="AO35" i="8"/>
  <c r="AP35" i="8"/>
  <c r="AQ35" i="8"/>
  <c r="AS35" i="8"/>
  <c r="AT35" i="8"/>
  <c r="AN36" i="8"/>
  <c r="AP36" i="8"/>
  <c r="AQ36" i="8"/>
  <c r="AR36" i="8"/>
  <c r="AT36" i="8"/>
  <c r="AN37" i="8"/>
  <c r="AO37" i="8"/>
  <c r="AQ37" i="8"/>
  <c r="AR37" i="8"/>
  <c r="AS37" i="8"/>
  <c r="AN38" i="8"/>
  <c r="AO38" i="8"/>
  <c r="AP38" i="8"/>
  <c r="AR38" i="8"/>
  <c r="AS38" i="8"/>
  <c r="AT38" i="8"/>
  <c r="AO39" i="8"/>
  <c r="AP39" i="8"/>
  <c r="AQ39" i="8"/>
  <c r="AS39" i="8"/>
  <c r="AT39" i="8"/>
  <c r="AN40" i="8"/>
  <c r="AP40" i="8"/>
  <c r="AQ40" i="8"/>
  <c r="AR40" i="8"/>
  <c r="AT40" i="8"/>
  <c r="AN41" i="8"/>
  <c r="AO41" i="8"/>
  <c r="AQ41" i="8"/>
  <c r="AR41" i="8"/>
  <c r="AS41" i="8"/>
  <c r="AN42" i="8"/>
  <c r="AO42" i="8"/>
  <c r="AP42" i="8"/>
  <c r="AR42" i="8"/>
  <c r="AS42" i="8"/>
  <c r="AT42" i="8"/>
  <c r="AO43" i="8"/>
  <c r="AP43" i="8"/>
  <c r="AQ43" i="8"/>
  <c r="AS43" i="8"/>
  <c r="AT43" i="8"/>
  <c r="AN44" i="8"/>
  <c r="AP44" i="8"/>
  <c r="AQ44" i="8"/>
  <c r="AR44" i="8"/>
  <c r="AT44" i="8"/>
  <c r="AN45" i="8"/>
  <c r="AO45" i="8"/>
  <c r="AQ45" i="8"/>
  <c r="AR45" i="8"/>
  <c r="AS45" i="8"/>
  <c r="AN46" i="8"/>
  <c r="AO46" i="8"/>
  <c r="AP46" i="8"/>
  <c r="AR46" i="8"/>
  <c r="AS46" i="8"/>
  <c r="AT46" i="8"/>
  <c r="AO47" i="8"/>
  <c r="AP47" i="8"/>
  <c r="AQ47" i="8"/>
  <c r="AS47" i="8"/>
  <c r="AT47" i="8"/>
  <c r="AN48" i="8"/>
  <c r="AP48" i="8"/>
  <c r="AQ48" i="8"/>
  <c r="AR48" i="8"/>
  <c r="AT48" i="8"/>
  <c r="AN49" i="8"/>
  <c r="AO49" i="8"/>
  <c r="AQ49" i="8"/>
  <c r="AR49" i="8"/>
  <c r="AS49" i="8"/>
  <c r="AN50" i="8"/>
  <c r="AO50" i="8"/>
  <c r="AP50" i="8"/>
  <c r="AR50" i="8"/>
  <c r="AS50" i="8"/>
  <c r="AT50" i="8"/>
  <c r="AO51" i="8"/>
  <c r="AP51" i="8"/>
  <c r="AQ51" i="8"/>
  <c r="AS51" i="8"/>
  <c r="AT51" i="8"/>
  <c r="AN52" i="8"/>
  <c r="AP52" i="8"/>
  <c r="AQ52" i="8"/>
  <c r="AR52" i="8"/>
  <c r="AS52" i="8"/>
  <c r="AT52" i="8"/>
  <c r="AP24" i="8"/>
  <c r="AQ24" i="8"/>
  <c r="AE6" i="8"/>
  <c r="AF6" i="8"/>
  <c r="AG6" i="8"/>
  <c r="AH6" i="8"/>
  <c r="AI6" i="8"/>
  <c r="AJ6" i="8"/>
  <c r="AK6" i="8"/>
  <c r="AE7" i="8"/>
  <c r="AF7" i="8"/>
  <c r="AG7" i="8"/>
  <c r="AH7" i="8"/>
  <c r="AI7" i="8"/>
  <c r="AJ7" i="8"/>
  <c r="AK7" i="8"/>
  <c r="AE8" i="8"/>
  <c r="AF8" i="8"/>
  <c r="AG8" i="8"/>
  <c r="AH8" i="8"/>
  <c r="AI8" i="8"/>
  <c r="AJ8" i="8"/>
  <c r="AK8" i="8"/>
  <c r="AE9" i="8"/>
  <c r="AF9" i="8"/>
  <c r="AG9" i="8"/>
  <c r="AH9" i="8"/>
  <c r="AI9" i="8"/>
  <c r="AJ9" i="8"/>
  <c r="AK9" i="8"/>
  <c r="AE10" i="8"/>
  <c r="AF10" i="8"/>
  <c r="AG10" i="8"/>
  <c r="AH10" i="8"/>
  <c r="AI10" i="8"/>
  <c r="AJ10" i="8"/>
  <c r="AK10" i="8"/>
  <c r="AE11" i="8"/>
  <c r="AF11" i="8"/>
  <c r="AG11" i="8"/>
  <c r="AH11" i="8"/>
  <c r="AI11" i="8"/>
  <c r="AJ11" i="8"/>
  <c r="AK11" i="8"/>
  <c r="AE12" i="8"/>
  <c r="AF12" i="8"/>
  <c r="AG12" i="8"/>
  <c r="AH12" i="8"/>
  <c r="AI12" i="8"/>
  <c r="AJ12" i="8"/>
  <c r="AK12" i="8"/>
  <c r="AE13" i="8"/>
  <c r="AF13" i="8"/>
  <c r="AG13" i="8"/>
  <c r="AH13" i="8"/>
  <c r="AI13" i="8"/>
  <c r="AJ13" i="8"/>
  <c r="AK13" i="8"/>
  <c r="AE14" i="8"/>
  <c r="AF14" i="8"/>
  <c r="AG14" i="8"/>
  <c r="AH14" i="8"/>
  <c r="AI14" i="8"/>
  <c r="AJ14" i="8"/>
  <c r="AK14" i="8"/>
  <c r="AE15" i="8"/>
  <c r="AF15" i="8"/>
  <c r="AG15" i="8"/>
  <c r="AH15" i="8"/>
  <c r="AI15" i="8"/>
  <c r="AJ15" i="8"/>
  <c r="AK15" i="8"/>
  <c r="AE16" i="8"/>
  <c r="AF16" i="8"/>
  <c r="AG16" i="8"/>
  <c r="AH16" i="8"/>
  <c r="AI16" i="8"/>
  <c r="AJ16" i="8"/>
  <c r="AK16" i="8"/>
  <c r="AE17" i="8"/>
  <c r="AF17" i="8"/>
  <c r="AG17" i="8"/>
  <c r="AH17" i="8"/>
  <c r="AI17" i="8"/>
  <c r="AJ17" i="8"/>
  <c r="AK17" i="8"/>
  <c r="AE18" i="8"/>
  <c r="AF18" i="8"/>
  <c r="AG18" i="8"/>
  <c r="AH18" i="8"/>
  <c r="AI18" i="8"/>
  <c r="AJ18" i="8"/>
  <c r="AK18" i="8"/>
  <c r="AE19" i="8"/>
  <c r="AF19" i="8"/>
  <c r="AG19" i="8"/>
  <c r="AH19" i="8"/>
  <c r="AI19" i="8"/>
  <c r="AJ19" i="8"/>
  <c r="AK19" i="8"/>
  <c r="AE20" i="8"/>
  <c r="AF20" i="8"/>
  <c r="AG20" i="8"/>
  <c r="AH20" i="8"/>
  <c r="AI20" i="8"/>
  <c r="AJ20" i="8"/>
  <c r="AK20" i="8"/>
  <c r="AE21" i="8"/>
  <c r="AF21" i="8"/>
  <c r="AG21" i="8"/>
  <c r="AH21" i="8"/>
  <c r="AI21" i="8"/>
  <c r="AJ21" i="8"/>
  <c r="AK21" i="8"/>
  <c r="AE22" i="8"/>
  <c r="AF22" i="8"/>
  <c r="AG22" i="8"/>
  <c r="AH22" i="8"/>
  <c r="AI22" i="8"/>
  <c r="AJ22" i="8"/>
  <c r="AK22" i="8"/>
  <c r="AE23" i="8"/>
  <c r="AF23" i="8"/>
  <c r="AG23" i="8"/>
  <c r="AH23" i="8"/>
  <c r="AI23" i="8"/>
  <c r="AJ23" i="8"/>
  <c r="AK23" i="8"/>
  <c r="AE24" i="8"/>
  <c r="AF24" i="8"/>
  <c r="AG24" i="8"/>
  <c r="AH24" i="8"/>
  <c r="AI24" i="8"/>
  <c r="AJ24" i="8"/>
  <c r="AK24" i="8"/>
  <c r="AE25" i="8"/>
  <c r="AF25" i="8"/>
  <c r="AG25" i="8"/>
  <c r="AH25" i="8"/>
  <c r="AI25" i="8"/>
  <c r="AJ25" i="8"/>
  <c r="AK25" i="8"/>
  <c r="AE26" i="8"/>
  <c r="AF26" i="8"/>
  <c r="AG26" i="8"/>
  <c r="AH26" i="8"/>
  <c r="AI26" i="8"/>
  <c r="AJ26" i="8"/>
  <c r="AK26" i="8"/>
  <c r="AE27" i="8"/>
  <c r="AF27" i="8"/>
  <c r="AG27" i="8"/>
  <c r="AH27" i="8"/>
  <c r="AI27" i="8"/>
  <c r="AJ27" i="8"/>
  <c r="AK27" i="8"/>
  <c r="AE28" i="8"/>
  <c r="AF28" i="8"/>
  <c r="AG28" i="8"/>
  <c r="AH28" i="8"/>
  <c r="AI28" i="8"/>
  <c r="AJ28" i="8"/>
  <c r="AK28" i="8"/>
  <c r="AE29" i="8"/>
  <c r="AF29" i="8"/>
  <c r="AG29" i="8"/>
  <c r="AH29" i="8"/>
  <c r="AI29" i="8"/>
  <c r="AJ29" i="8"/>
  <c r="AK29" i="8"/>
  <c r="AE30" i="8"/>
  <c r="AF30" i="8"/>
  <c r="AG30" i="8"/>
  <c r="AH30" i="8"/>
  <c r="AI30" i="8"/>
  <c r="AJ30" i="8"/>
  <c r="AK30" i="8"/>
  <c r="AE31" i="8"/>
  <c r="AF31" i="8"/>
  <c r="AG31" i="8"/>
  <c r="AH31" i="8"/>
  <c r="AI31" i="8"/>
  <c r="AJ31" i="8"/>
  <c r="AK31" i="8"/>
  <c r="AE32" i="8"/>
  <c r="AF32" i="8"/>
  <c r="AG32" i="8"/>
  <c r="AH32" i="8"/>
  <c r="AI32" i="8"/>
  <c r="AJ32" i="8"/>
  <c r="AK32" i="8"/>
  <c r="AE33" i="8"/>
  <c r="AF33" i="8"/>
  <c r="AG33" i="8"/>
  <c r="AH33" i="8"/>
  <c r="AI33" i="8"/>
  <c r="AJ33" i="8"/>
  <c r="AK33" i="8"/>
  <c r="AE34" i="8"/>
  <c r="AF34" i="8"/>
  <c r="AG34" i="8"/>
  <c r="AH34" i="8"/>
  <c r="AI34" i="8"/>
  <c r="AJ34" i="8"/>
  <c r="AK34" i="8"/>
  <c r="AE35" i="8"/>
  <c r="AF35" i="8"/>
  <c r="AG35" i="8"/>
  <c r="AH35" i="8"/>
  <c r="AI35" i="8"/>
  <c r="AJ35" i="8"/>
  <c r="AK35" i="8"/>
  <c r="AE36" i="8"/>
  <c r="AF36" i="8"/>
  <c r="AG36" i="8"/>
  <c r="AH36" i="8"/>
  <c r="AI36" i="8"/>
  <c r="AJ36" i="8"/>
  <c r="AK36" i="8"/>
  <c r="AE37" i="8"/>
  <c r="AF37" i="8"/>
  <c r="AG37" i="8"/>
  <c r="AH37" i="8"/>
  <c r="AI37" i="8"/>
  <c r="AJ37" i="8"/>
  <c r="AK37" i="8"/>
  <c r="AE38" i="8"/>
  <c r="AF38" i="8"/>
  <c r="AG38" i="8"/>
  <c r="AH38" i="8"/>
  <c r="AI38" i="8"/>
  <c r="AJ38" i="8"/>
  <c r="AK38" i="8"/>
  <c r="AE39" i="8"/>
  <c r="AF39" i="8"/>
  <c r="AG39" i="8"/>
  <c r="AH39" i="8"/>
  <c r="AI39" i="8"/>
  <c r="AJ39" i="8"/>
  <c r="AK39" i="8"/>
  <c r="AE40" i="8"/>
  <c r="AF40" i="8"/>
  <c r="AG40" i="8"/>
  <c r="AH40" i="8"/>
  <c r="AI40" i="8"/>
  <c r="AJ40" i="8"/>
  <c r="AK40" i="8"/>
  <c r="AE41" i="8"/>
  <c r="AF41" i="8"/>
  <c r="AG41" i="8"/>
  <c r="AH41" i="8"/>
  <c r="AI41" i="8"/>
  <c r="AJ41" i="8"/>
  <c r="AK41" i="8"/>
  <c r="AE42" i="8"/>
  <c r="AF42" i="8"/>
  <c r="AG42" i="8"/>
  <c r="AH42" i="8"/>
  <c r="AI42" i="8"/>
  <c r="AJ42" i="8"/>
  <c r="AK42" i="8"/>
  <c r="AE43" i="8"/>
  <c r="AF43" i="8"/>
  <c r="AG43" i="8"/>
  <c r="AH43" i="8"/>
  <c r="AI43" i="8"/>
  <c r="AJ43" i="8"/>
  <c r="AK43" i="8"/>
  <c r="AE44" i="8"/>
  <c r="AF44" i="8"/>
  <c r="AG44" i="8"/>
  <c r="AH44" i="8"/>
  <c r="AI44" i="8"/>
  <c r="AJ44" i="8"/>
  <c r="AK44" i="8"/>
  <c r="AE45" i="8"/>
  <c r="AF45" i="8"/>
  <c r="AG45" i="8"/>
  <c r="AH45" i="8"/>
  <c r="AI45" i="8"/>
  <c r="AJ45" i="8"/>
  <c r="AK45" i="8"/>
  <c r="AE46" i="8"/>
  <c r="AF46" i="8"/>
  <c r="AG46" i="8"/>
  <c r="AH46" i="8"/>
  <c r="AI46" i="8"/>
  <c r="AJ46" i="8"/>
  <c r="AK46" i="8"/>
  <c r="AE47" i="8"/>
  <c r="AF47" i="8"/>
  <c r="AG47" i="8"/>
  <c r="AH47" i="8"/>
  <c r="AI47" i="8"/>
  <c r="AJ47" i="8"/>
  <c r="AK47" i="8"/>
  <c r="AE48" i="8"/>
  <c r="AF48" i="8"/>
  <c r="AG48" i="8"/>
  <c r="AH48" i="8"/>
  <c r="AI48" i="8"/>
  <c r="AJ48" i="8"/>
  <c r="AK48" i="8"/>
  <c r="AE49" i="8"/>
  <c r="AF49" i="8"/>
  <c r="AG49" i="8"/>
  <c r="AH49" i="8"/>
  <c r="AI49" i="8"/>
  <c r="AJ49" i="8"/>
  <c r="AK49" i="8"/>
  <c r="AE50" i="8"/>
  <c r="AF50" i="8"/>
  <c r="AG50" i="8"/>
  <c r="AH50" i="8"/>
  <c r="AI50" i="8"/>
  <c r="AJ50" i="8"/>
  <c r="AK50" i="8"/>
  <c r="AE51" i="8"/>
  <c r="AF51" i="8"/>
  <c r="AG51" i="8"/>
  <c r="AH51" i="8"/>
  <c r="AI51" i="8"/>
  <c r="AJ51" i="8"/>
  <c r="AK51" i="8"/>
  <c r="AE52" i="8"/>
  <c r="AF52" i="8"/>
  <c r="AG52" i="8"/>
  <c r="AH52" i="8"/>
  <c r="AI52" i="8"/>
  <c r="AJ52" i="8"/>
  <c r="AK52" i="8"/>
  <c r="AE53" i="8"/>
  <c r="AF53" i="8"/>
  <c r="AG53" i="8"/>
  <c r="AH53" i="8"/>
  <c r="AI53" i="8"/>
  <c r="AJ53" i="8"/>
  <c r="AK53" i="8"/>
  <c r="AF5" i="8"/>
  <c r="AG5" i="8"/>
  <c r="AH5" i="8"/>
  <c r="AI5" i="8"/>
  <c r="AJ5" i="8"/>
  <c r="AK5" i="8"/>
  <c r="AE5" i="8"/>
  <c r="AT12" i="8"/>
  <c r="AP20" i="8"/>
  <c r="AQ21" i="8"/>
  <c r="AR22" i="8"/>
  <c r="AS23" i="8"/>
  <c r="BO41" i="8"/>
  <c r="J76" i="9"/>
  <c r="K76" i="9"/>
  <c r="L76" i="9"/>
  <c r="M76" i="9"/>
  <c r="N76" i="9"/>
  <c r="O76" i="9"/>
  <c r="I76" i="9"/>
  <c r="M72" i="9"/>
  <c r="BO37" i="9" s="1"/>
  <c r="CG37" i="9" s="1"/>
  <c r="I72" i="9"/>
  <c r="J72" i="9"/>
  <c r="K72" i="9"/>
  <c r="L72" i="9"/>
  <c r="AZ33" i="8" s="1"/>
  <c r="BI33" i="8" s="1"/>
  <c r="N72" i="9"/>
  <c r="O72" i="9"/>
  <c r="I73" i="9"/>
  <c r="J73" i="9"/>
  <c r="K73" i="9"/>
  <c r="L73" i="9"/>
  <c r="M73" i="9"/>
  <c r="N73" i="9"/>
  <c r="O73" i="9"/>
  <c r="J71" i="9"/>
  <c r="K71" i="9"/>
  <c r="L71" i="9"/>
  <c r="M71" i="9"/>
  <c r="BA22" i="8" s="1"/>
  <c r="BJ22" i="8" s="1"/>
  <c r="N71" i="9"/>
  <c r="O71" i="9"/>
  <c r="I71" i="9"/>
  <c r="E5" i="10"/>
  <c r="H56" i="10" s="1"/>
  <c r="CF54" i="8"/>
  <c r="CI5" i="9"/>
  <c r="CI53" i="9" s="1"/>
  <c r="CJ5" i="9"/>
  <c r="CJ53" i="9" s="1"/>
  <c r="CM5" i="9"/>
  <c r="CH6" i="9"/>
  <c r="CK6" i="9"/>
  <c r="CL6" i="9"/>
  <c r="CI7" i="9"/>
  <c r="CJ7" i="9"/>
  <c r="CM7" i="9"/>
  <c r="CH8" i="9"/>
  <c r="CK8" i="9"/>
  <c r="CL8" i="9"/>
  <c r="CI9" i="9"/>
  <c r="CJ9" i="9"/>
  <c r="CM9" i="9"/>
  <c r="CH10" i="9"/>
  <c r="CK10" i="9"/>
  <c r="CL10" i="9"/>
  <c r="CI11" i="9"/>
  <c r="CJ11" i="9"/>
  <c r="CM11" i="9"/>
  <c r="CH12" i="9"/>
  <c r="CK12" i="9"/>
  <c r="CL12" i="9"/>
  <c r="CI13" i="9"/>
  <c r="CJ13" i="9"/>
  <c r="CM13" i="9"/>
  <c r="CH14" i="9"/>
  <c r="CK14" i="9"/>
  <c r="CL14" i="9"/>
  <c r="CI15" i="9"/>
  <c r="CJ15" i="9"/>
  <c r="CM15" i="9"/>
  <c r="CH16" i="9"/>
  <c r="CK16" i="9"/>
  <c r="CL16" i="9"/>
  <c r="CI17" i="9"/>
  <c r="CJ17" i="9"/>
  <c r="CM17" i="9"/>
  <c r="CH18" i="9"/>
  <c r="CK18" i="9"/>
  <c r="CL18" i="9"/>
  <c r="CI19" i="9"/>
  <c r="CJ19" i="9"/>
  <c r="CM19" i="9"/>
  <c r="CH20" i="9"/>
  <c r="CK20" i="9"/>
  <c r="CL20" i="9"/>
  <c r="CM21" i="9"/>
  <c r="CK23" i="9"/>
  <c r="CK24" i="9"/>
  <c r="CL24" i="9"/>
  <c r="CM25" i="9"/>
  <c r="CK27" i="9"/>
  <c r="CK28" i="9"/>
  <c r="CL28" i="9"/>
  <c r="CM29" i="9"/>
  <c r="CK31" i="9"/>
  <c r="CK32" i="9"/>
  <c r="CL32" i="9"/>
  <c r="CM33" i="9"/>
  <c r="CK35" i="9"/>
  <c r="CK37" i="9"/>
  <c r="CK40" i="9"/>
  <c r="CL40" i="9"/>
  <c r="CM41" i="9"/>
  <c r="CK43" i="9"/>
  <c r="CK44" i="9"/>
  <c r="CL44" i="9"/>
  <c r="CM45" i="9"/>
  <c r="CK47" i="9"/>
  <c r="CK48" i="9"/>
  <c r="CL48" i="9"/>
  <c r="CM49" i="9"/>
  <c r="CK51" i="9"/>
  <c r="CK52" i="9"/>
  <c r="CL52" i="9"/>
  <c r="CM53" i="9"/>
  <c r="BY5" i="9"/>
  <c r="BZ5" i="9"/>
  <c r="CA5" i="9"/>
  <c r="CA53" i="9" s="1"/>
  <c r="CB5" i="9"/>
  <c r="CC5" i="9"/>
  <c r="CD5" i="9"/>
  <c r="BY6" i="9"/>
  <c r="BZ6" i="9"/>
  <c r="CA6" i="9"/>
  <c r="CB6" i="9"/>
  <c r="CC6" i="9"/>
  <c r="CC53" i="9" s="1"/>
  <c r="CD6" i="9"/>
  <c r="BY7" i="9"/>
  <c r="BZ7" i="9"/>
  <c r="CA7" i="9"/>
  <c r="CB7" i="9"/>
  <c r="CC7" i="9"/>
  <c r="CD7" i="9"/>
  <c r="BY8" i="9"/>
  <c r="BZ8" i="9"/>
  <c r="CA8" i="9"/>
  <c r="CB8" i="9"/>
  <c r="CC8" i="9"/>
  <c r="CD8" i="9"/>
  <c r="BY9" i="9"/>
  <c r="BZ9" i="9"/>
  <c r="CA9" i="9"/>
  <c r="CB9" i="9"/>
  <c r="CC9" i="9"/>
  <c r="CD9" i="9"/>
  <c r="BY10" i="9"/>
  <c r="BZ10" i="9"/>
  <c r="CA10" i="9"/>
  <c r="CB10" i="9"/>
  <c r="CC10" i="9"/>
  <c r="CD10" i="9"/>
  <c r="BY11" i="9"/>
  <c r="BZ11" i="9"/>
  <c r="CA11" i="9"/>
  <c r="CB11" i="9"/>
  <c r="CC11" i="9"/>
  <c r="CD11" i="9"/>
  <c r="BY12" i="9"/>
  <c r="BZ12" i="9"/>
  <c r="CA12" i="9"/>
  <c r="CB12" i="9"/>
  <c r="CC12" i="9"/>
  <c r="CD12" i="9"/>
  <c r="BY13" i="9"/>
  <c r="BZ13" i="9"/>
  <c r="CA13" i="9"/>
  <c r="CB13" i="9"/>
  <c r="CC13" i="9"/>
  <c r="CD13" i="9"/>
  <c r="BY14" i="9"/>
  <c r="BZ14" i="9"/>
  <c r="CA14" i="9"/>
  <c r="CB14" i="9"/>
  <c r="CC14" i="9"/>
  <c r="CD14" i="9"/>
  <c r="BY15" i="9"/>
  <c r="BZ15" i="9"/>
  <c r="CA15" i="9"/>
  <c r="CB15" i="9"/>
  <c r="CC15" i="9"/>
  <c r="CD15" i="9"/>
  <c r="BY16" i="9"/>
  <c r="BZ16" i="9"/>
  <c r="CA16" i="9"/>
  <c r="CB16" i="9"/>
  <c r="CC16" i="9"/>
  <c r="CD16" i="9"/>
  <c r="BY17" i="9"/>
  <c r="BZ17" i="9"/>
  <c r="CA17" i="9"/>
  <c r="CB17" i="9"/>
  <c r="CC17" i="9"/>
  <c r="CD17" i="9"/>
  <c r="BY18" i="9"/>
  <c r="BZ18" i="9"/>
  <c r="CA18" i="9"/>
  <c r="CB18" i="9"/>
  <c r="CC18" i="9"/>
  <c r="CD18" i="9"/>
  <c r="BY19" i="9"/>
  <c r="BZ19" i="9"/>
  <c r="CA19" i="9"/>
  <c r="CB19" i="9"/>
  <c r="CC19" i="9"/>
  <c r="CD19" i="9"/>
  <c r="BY20" i="9"/>
  <c r="BZ20" i="9"/>
  <c r="CA20" i="9"/>
  <c r="CB20" i="9"/>
  <c r="CC20" i="9"/>
  <c r="CD20" i="9"/>
  <c r="BY21" i="9"/>
  <c r="BZ21" i="9"/>
  <c r="CA21" i="9"/>
  <c r="CB21" i="9"/>
  <c r="CC21" i="9"/>
  <c r="CD21" i="9"/>
  <c r="BY22" i="9"/>
  <c r="BZ22" i="9"/>
  <c r="CA22" i="9"/>
  <c r="CB22" i="9"/>
  <c r="CC22" i="9"/>
  <c r="CD22" i="9"/>
  <c r="BY23" i="9"/>
  <c r="BZ23" i="9"/>
  <c r="CA23" i="9"/>
  <c r="CB23" i="9"/>
  <c r="CC23" i="9"/>
  <c r="CD23" i="9"/>
  <c r="BY24" i="9"/>
  <c r="BZ24" i="9"/>
  <c r="CA24" i="9"/>
  <c r="CB24" i="9"/>
  <c r="CC24" i="9"/>
  <c r="CD24" i="9"/>
  <c r="BY25" i="9"/>
  <c r="BZ25" i="9"/>
  <c r="CA25" i="9"/>
  <c r="CB25" i="9"/>
  <c r="CC25" i="9"/>
  <c r="CD25" i="9"/>
  <c r="BY26" i="9"/>
  <c r="BZ26" i="9"/>
  <c r="CA26" i="9"/>
  <c r="CB26" i="9"/>
  <c r="CC26" i="9"/>
  <c r="CD26" i="9"/>
  <c r="BY27" i="9"/>
  <c r="BZ27" i="9"/>
  <c r="CA27" i="9"/>
  <c r="CB27" i="9"/>
  <c r="CC27" i="9"/>
  <c r="CD27" i="9"/>
  <c r="BY28" i="9"/>
  <c r="BZ28" i="9"/>
  <c r="CA28" i="9"/>
  <c r="CB28" i="9"/>
  <c r="CC28" i="9"/>
  <c r="CD28" i="9"/>
  <c r="BY29" i="9"/>
  <c r="BZ29" i="9"/>
  <c r="CA29" i="9"/>
  <c r="CB29" i="9"/>
  <c r="CC29" i="9"/>
  <c r="CD29" i="9"/>
  <c r="BY30" i="9"/>
  <c r="BZ30" i="9"/>
  <c r="CA30" i="9"/>
  <c r="CB30" i="9"/>
  <c r="CC30" i="9"/>
  <c r="CD30" i="9"/>
  <c r="BY31" i="9"/>
  <c r="BZ31" i="9"/>
  <c r="CA31" i="9"/>
  <c r="CB31" i="9"/>
  <c r="CC31" i="9"/>
  <c r="CD31" i="9"/>
  <c r="BY32" i="9"/>
  <c r="BZ32" i="9"/>
  <c r="CA32" i="9"/>
  <c r="CB32" i="9"/>
  <c r="CC32" i="9"/>
  <c r="CD32" i="9"/>
  <c r="BY33" i="9"/>
  <c r="BZ33" i="9"/>
  <c r="CA33" i="9"/>
  <c r="CB33" i="9"/>
  <c r="CC33" i="9"/>
  <c r="CD33" i="9"/>
  <c r="BY34" i="9"/>
  <c r="BZ34" i="9"/>
  <c r="CA34" i="9"/>
  <c r="CB34" i="9"/>
  <c r="CC34" i="9"/>
  <c r="CD34" i="9"/>
  <c r="BY35" i="9"/>
  <c r="BZ35" i="9"/>
  <c r="CA35" i="9"/>
  <c r="CB35" i="9"/>
  <c r="CC35" i="9"/>
  <c r="CD35" i="9"/>
  <c r="BY36" i="9"/>
  <c r="BZ36" i="9"/>
  <c r="CA36" i="9"/>
  <c r="CB36" i="9"/>
  <c r="CC36" i="9"/>
  <c r="CD36" i="9"/>
  <c r="BY37" i="9"/>
  <c r="BZ37" i="9"/>
  <c r="CA37" i="9"/>
  <c r="CB37" i="9"/>
  <c r="CC37" i="9"/>
  <c r="CD37" i="9"/>
  <c r="BY38" i="9"/>
  <c r="BZ38" i="9"/>
  <c r="CA38" i="9"/>
  <c r="CB38" i="9"/>
  <c r="CC38" i="9"/>
  <c r="CD38" i="9"/>
  <c r="BY39" i="9"/>
  <c r="BZ39" i="9"/>
  <c r="CA39" i="9"/>
  <c r="CB39" i="9"/>
  <c r="CC39" i="9"/>
  <c r="CD39" i="9"/>
  <c r="BY40" i="9"/>
  <c r="BZ40" i="9"/>
  <c r="CA40" i="9"/>
  <c r="CB40" i="9"/>
  <c r="CC40" i="9"/>
  <c r="CD40" i="9"/>
  <c r="BY41" i="9"/>
  <c r="BZ41" i="9"/>
  <c r="CA41" i="9"/>
  <c r="CB41" i="9"/>
  <c r="CC41" i="9"/>
  <c r="CD41" i="9"/>
  <c r="BY42" i="9"/>
  <c r="BZ42" i="9"/>
  <c r="CA42" i="9"/>
  <c r="CB42" i="9"/>
  <c r="CC42" i="9"/>
  <c r="CD42" i="9"/>
  <c r="BY43" i="9"/>
  <c r="BZ43" i="9"/>
  <c r="CA43" i="9"/>
  <c r="CB43" i="9"/>
  <c r="CC43" i="9"/>
  <c r="CD43" i="9"/>
  <c r="BY44" i="9"/>
  <c r="BZ44" i="9"/>
  <c r="CA44" i="9"/>
  <c r="CB44" i="9"/>
  <c r="CC44" i="9"/>
  <c r="CD44" i="9"/>
  <c r="BY45" i="9"/>
  <c r="BZ45" i="9"/>
  <c r="CA45" i="9"/>
  <c r="CB45" i="9"/>
  <c r="CC45" i="9"/>
  <c r="CD45" i="9"/>
  <c r="BY46" i="9"/>
  <c r="BZ46" i="9"/>
  <c r="CA46" i="9"/>
  <c r="CB46" i="9"/>
  <c r="CC46" i="9"/>
  <c r="CD46" i="9"/>
  <c r="BY47" i="9"/>
  <c r="BZ47" i="9"/>
  <c r="CA47" i="9"/>
  <c r="CB47" i="9"/>
  <c r="CC47" i="9"/>
  <c r="CD47" i="9"/>
  <c r="BY48" i="9"/>
  <c r="BZ48" i="9"/>
  <c r="CA48" i="9"/>
  <c r="CB48" i="9"/>
  <c r="CC48" i="9"/>
  <c r="CD48" i="9"/>
  <c r="BY49" i="9"/>
  <c r="BZ49" i="9"/>
  <c r="CA49" i="9"/>
  <c r="CB49" i="9"/>
  <c r="CC49" i="9"/>
  <c r="CD49" i="9"/>
  <c r="BY50" i="9"/>
  <c r="BZ50" i="9"/>
  <c r="CA50" i="9"/>
  <c r="CB50" i="9"/>
  <c r="CC50" i="9"/>
  <c r="CD50" i="9"/>
  <c r="BY51" i="9"/>
  <c r="BZ51" i="9"/>
  <c r="CA51" i="9"/>
  <c r="CB51" i="9"/>
  <c r="CC51" i="9"/>
  <c r="CD51" i="9"/>
  <c r="BY52" i="9"/>
  <c r="BZ52" i="9"/>
  <c r="CA52" i="9"/>
  <c r="CB52" i="9"/>
  <c r="CC52" i="9"/>
  <c r="CD52" i="9"/>
  <c r="BX6" i="9"/>
  <c r="BX7" i="9"/>
  <c r="BX8" i="9"/>
  <c r="BX9" i="9"/>
  <c r="BX10" i="9"/>
  <c r="BX11" i="9"/>
  <c r="BX12" i="9"/>
  <c r="BX13" i="9"/>
  <c r="BX14" i="9"/>
  <c r="BX15" i="9"/>
  <c r="BX16" i="9"/>
  <c r="BX17" i="9"/>
  <c r="BX18" i="9"/>
  <c r="BX19" i="9"/>
  <c r="BX20" i="9"/>
  <c r="BX21" i="9"/>
  <c r="BX22" i="9"/>
  <c r="BX23" i="9"/>
  <c r="BX24" i="9"/>
  <c r="BX25" i="9"/>
  <c r="BX26" i="9"/>
  <c r="BX27" i="9"/>
  <c r="BX28" i="9"/>
  <c r="BX29" i="9"/>
  <c r="BX30" i="9"/>
  <c r="BX31" i="9"/>
  <c r="BX32" i="9"/>
  <c r="BX33" i="9"/>
  <c r="BX34" i="9"/>
  <c r="BX35" i="9"/>
  <c r="BX36" i="9"/>
  <c r="BX37" i="9"/>
  <c r="BX38" i="9"/>
  <c r="BX39" i="9"/>
  <c r="BX40" i="9"/>
  <c r="BX41" i="9"/>
  <c r="BX42" i="9"/>
  <c r="BX43" i="9"/>
  <c r="BX44" i="9"/>
  <c r="BX45" i="9"/>
  <c r="BX46" i="9"/>
  <c r="BX47" i="9"/>
  <c r="BX48" i="9"/>
  <c r="BX49" i="9"/>
  <c r="BX50" i="9"/>
  <c r="BX51" i="9"/>
  <c r="BX52" i="9"/>
  <c r="BX5" i="9"/>
  <c r="BY53" i="9"/>
  <c r="BP5" i="9"/>
  <c r="BP53" i="9" s="1"/>
  <c r="BQ5" i="9"/>
  <c r="BR5" i="9"/>
  <c r="BS5" i="9"/>
  <c r="BS53" i="9" s="1"/>
  <c r="BT5" i="9"/>
  <c r="BT53" i="9" s="1"/>
  <c r="BU5" i="9"/>
  <c r="BP6" i="9"/>
  <c r="BQ6" i="9"/>
  <c r="CI6" i="9" s="1"/>
  <c r="BR6" i="9"/>
  <c r="CJ6" i="9" s="1"/>
  <c r="BS6" i="9"/>
  <c r="BT6" i="9"/>
  <c r="BU6" i="9"/>
  <c r="CM6" i="9" s="1"/>
  <c r="BP7" i="9"/>
  <c r="CH7" i="9" s="1"/>
  <c r="BQ7" i="9"/>
  <c r="BR7" i="9"/>
  <c r="BS7" i="9"/>
  <c r="CK7" i="9" s="1"/>
  <c r="BT7" i="9"/>
  <c r="CL7" i="9" s="1"/>
  <c r="BU7" i="9"/>
  <c r="BP8" i="9"/>
  <c r="BQ8" i="9"/>
  <c r="CI8" i="9" s="1"/>
  <c r="BR8" i="9"/>
  <c r="CJ8" i="9" s="1"/>
  <c r="BS8" i="9"/>
  <c r="BT8" i="9"/>
  <c r="BU8" i="9"/>
  <c r="CM8" i="9" s="1"/>
  <c r="BP9" i="9"/>
  <c r="CH9" i="9" s="1"/>
  <c r="BQ9" i="9"/>
  <c r="BR9" i="9"/>
  <c r="BS9" i="9"/>
  <c r="CK9" i="9" s="1"/>
  <c r="BT9" i="9"/>
  <c r="CL9" i="9" s="1"/>
  <c r="BU9" i="9"/>
  <c r="BP10" i="9"/>
  <c r="BQ10" i="9"/>
  <c r="CI10" i="9" s="1"/>
  <c r="BR10" i="9"/>
  <c r="CJ10" i="9" s="1"/>
  <c r="BS10" i="9"/>
  <c r="BT10" i="9"/>
  <c r="BU10" i="9"/>
  <c r="CM10" i="9" s="1"/>
  <c r="BP11" i="9"/>
  <c r="CH11" i="9" s="1"/>
  <c r="BQ11" i="9"/>
  <c r="BR11" i="9"/>
  <c r="BS11" i="9"/>
  <c r="CK11" i="9" s="1"/>
  <c r="BT11" i="9"/>
  <c r="CL11" i="9" s="1"/>
  <c r="BU11" i="9"/>
  <c r="BP12" i="9"/>
  <c r="BQ12" i="9"/>
  <c r="CI12" i="9" s="1"/>
  <c r="BR12" i="9"/>
  <c r="CJ12" i="9" s="1"/>
  <c r="BS12" i="9"/>
  <c r="BT12" i="9"/>
  <c r="BU12" i="9"/>
  <c r="CM12" i="9" s="1"/>
  <c r="BP13" i="9"/>
  <c r="CH13" i="9" s="1"/>
  <c r="BQ13" i="9"/>
  <c r="BR13" i="9"/>
  <c r="BS13" i="9"/>
  <c r="CK13" i="9" s="1"/>
  <c r="BT13" i="9"/>
  <c r="CL13" i="9" s="1"/>
  <c r="BU13" i="9"/>
  <c r="BP14" i="9"/>
  <c r="BQ14" i="9"/>
  <c r="CI14" i="9" s="1"/>
  <c r="BR14" i="9"/>
  <c r="CJ14" i="9" s="1"/>
  <c r="BS14" i="9"/>
  <c r="BT14" i="9"/>
  <c r="BU14" i="9"/>
  <c r="CM14" i="9" s="1"/>
  <c r="BP15" i="9"/>
  <c r="CH15" i="9" s="1"/>
  <c r="BQ15" i="9"/>
  <c r="BR15" i="9"/>
  <c r="BS15" i="9"/>
  <c r="CK15" i="9" s="1"/>
  <c r="BT15" i="9"/>
  <c r="CL15" i="9" s="1"/>
  <c r="BU15" i="9"/>
  <c r="BP16" i="9"/>
  <c r="BQ16" i="9"/>
  <c r="CI16" i="9" s="1"/>
  <c r="BR16" i="9"/>
  <c r="CJ16" i="9" s="1"/>
  <c r="BS16" i="9"/>
  <c r="BT16" i="9"/>
  <c r="BU16" i="9"/>
  <c r="CM16" i="9" s="1"/>
  <c r="BP17" i="9"/>
  <c r="CH17" i="9" s="1"/>
  <c r="BQ17" i="9"/>
  <c r="BR17" i="9"/>
  <c r="BS17" i="9"/>
  <c r="CK17" i="9" s="1"/>
  <c r="BT17" i="9"/>
  <c r="CL17" i="9" s="1"/>
  <c r="BU17" i="9"/>
  <c r="BP18" i="9"/>
  <c r="BQ18" i="9"/>
  <c r="CI18" i="9" s="1"/>
  <c r="BR18" i="9"/>
  <c r="CJ18" i="9" s="1"/>
  <c r="BS18" i="9"/>
  <c r="BT18" i="9"/>
  <c r="BU18" i="9"/>
  <c r="CM18" i="9" s="1"/>
  <c r="BP19" i="9"/>
  <c r="CH19" i="9" s="1"/>
  <c r="BQ19" i="9"/>
  <c r="BR19" i="9"/>
  <c r="BS19" i="9"/>
  <c r="CK19" i="9" s="1"/>
  <c r="BT19" i="9"/>
  <c r="CL19" i="9" s="1"/>
  <c r="BU19" i="9"/>
  <c r="BP20" i="9"/>
  <c r="BQ20" i="9"/>
  <c r="CI20" i="9" s="1"/>
  <c r="BR20" i="9"/>
  <c r="CJ20" i="9" s="1"/>
  <c r="BS20" i="9"/>
  <c r="BT20" i="9"/>
  <c r="BU20" i="9"/>
  <c r="CM20" i="9" s="1"/>
  <c r="BP21" i="9"/>
  <c r="CH21" i="9" s="1"/>
  <c r="BQ21" i="9"/>
  <c r="CI21" i="9" s="1"/>
  <c r="BR21" i="9"/>
  <c r="CJ21" i="9" s="1"/>
  <c r="BS21" i="9"/>
  <c r="CK21" i="9" s="1"/>
  <c r="BT21" i="9"/>
  <c r="CL21" i="9" s="1"/>
  <c r="BU21" i="9"/>
  <c r="BP22" i="9"/>
  <c r="CH22" i="9" s="1"/>
  <c r="BQ22" i="9"/>
  <c r="CI22" i="9" s="1"/>
  <c r="BR22" i="9"/>
  <c r="CJ22" i="9" s="1"/>
  <c r="BS22" i="9"/>
  <c r="CK22" i="9" s="1"/>
  <c r="BT22" i="9"/>
  <c r="CL22" i="9" s="1"/>
  <c r="BU22" i="9"/>
  <c r="CM22" i="9" s="1"/>
  <c r="BP23" i="9"/>
  <c r="CH23" i="9" s="1"/>
  <c r="BQ23" i="9"/>
  <c r="CI23" i="9" s="1"/>
  <c r="BR23" i="9"/>
  <c r="CJ23" i="9" s="1"/>
  <c r="BS23" i="9"/>
  <c r="BT23" i="9"/>
  <c r="CL23" i="9" s="1"/>
  <c r="BU23" i="9"/>
  <c r="CM23" i="9" s="1"/>
  <c r="BP24" i="9"/>
  <c r="CH24" i="9" s="1"/>
  <c r="BQ24" i="9"/>
  <c r="CI24" i="9" s="1"/>
  <c r="BR24" i="9"/>
  <c r="CJ24" i="9" s="1"/>
  <c r="BS24" i="9"/>
  <c r="BT24" i="9"/>
  <c r="BU24" i="9"/>
  <c r="CM24" i="9" s="1"/>
  <c r="BP25" i="9"/>
  <c r="CH25" i="9" s="1"/>
  <c r="BQ25" i="9"/>
  <c r="CI25" i="9" s="1"/>
  <c r="BR25" i="9"/>
  <c r="CJ25" i="9" s="1"/>
  <c r="BS25" i="9"/>
  <c r="CK25" i="9" s="1"/>
  <c r="BT25" i="9"/>
  <c r="CL25" i="9" s="1"/>
  <c r="BU25" i="9"/>
  <c r="BP26" i="9"/>
  <c r="CH26" i="9" s="1"/>
  <c r="BQ26" i="9"/>
  <c r="CI26" i="9" s="1"/>
  <c r="BR26" i="9"/>
  <c r="CJ26" i="9" s="1"/>
  <c r="BS26" i="9"/>
  <c r="CK26" i="9" s="1"/>
  <c r="BT26" i="9"/>
  <c r="CL26" i="9" s="1"/>
  <c r="BU26" i="9"/>
  <c r="CM26" i="9" s="1"/>
  <c r="BP27" i="9"/>
  <c r="CH27" i="9" s="1"/>
  <c r="BQ27" i="9"/>
  <c r="CI27" i="9" s="1"/>
  <c r="BR27" i="9"/>
  <c r="CJ27" i="9" s="1"/>
  <c r="BS27" i="9"/>
  <c r="BT27" i="9"/>
  <c r="CL27" i="9" s="1"/>
  <c r="BU27" i="9"/>
  <c r="CM27" i="9" s="1"/>
  <c r="BP28" i="9"/>
  <c r="CH28" i="9" s="1"/>
  <c r="BQ28" i="9"/>
  <c r="CI28" i="9" s="1"/>
  <c r="BR28" i="9"/>
  <c r="CJ28" i="9" s="1"/>
  <c r="BS28" i="9"/>
  <c r="BT28" i="9"/>
  <c r="BU28" i="9"/>
  <c r="CM28" i="9" s="1"/>
  <c r="BP29" i="9"/>
  <c r="CH29" i="9" s="1"/>
  <c r="BQ29" i="9"/>
  <c r="CI29" i="9" s="1"/>
  <c r="BR29" i="9"/>
  <c r="CJ29" i="9" s="1"/>
  <c r="BS29" i="9"/>
  <c r="CK29" i="9" s="1"/>
  <c r="BT29" i="9"/>
  <c r="CL29" i="9" s="1"/>
  <c r="BU29" i="9"/>
  <c r="BP30" i="9"/>
  <c r="CH30" i="9" s="1"/>
  <c r="BQ30" i="9"/>
  <c r="CI30" i="9" s="1"/>
  <c r="BR30" i="9"/>
  <c r="CJ30" i="9" s="1"/>
  <c r="BS30" i="9"/>
  <c r="CK30" i="9" s="1"/>
  <c r="BT30" i="9"/>
  <c r="CL30" i="9" s="1"/>
  <c r="BU30" i="9"/>
  <c r="CM30" i="9" s="1"/>
  <c r="BP31" i="9"/>
  <c r="CH31" i="9" s="1"/>
  <c r="BQ31" i="9"/>
  <c r="CI31" i="9" s="1"/>
  <c r="BR31" i="9"/>
  <c r="CJ31" i="9" s="1"/>
  <c r="BS31" i="9"/>
  <c r="BT31" i="9"/>
  <c r="CL31" i="9" s="1"/>
  <c r="BU31" i="9"/>
  <c r="CM31" i="9" s="1"/>
  <c r="BP32" i="9"/>
  <c r="CH32" i="9" s="1"/>
  <c r="BQ32" i="9"/>
  <c r="CI32" i="9" s="1"/>
  <c r="BR32" i="9"/>
  <c r="CJ32" i="9" s="1"/>
  <c r="BS32" i="9"/>
  <c r="BT32" i="9"/>
  <c r="BU32" i="9"/>
  <c r="CM32" i="9" s="1"/>
  <c r="BP33" i="9"/>
  <c r="CH33" i="9" s="1"/>
  <c r="BQ33" i="9"/>
  <c r="CI33" i="9" s="1"/>
  <c r="BR33" i="9"/>
  <c r="CJ33" i="9" s="1"/>
  <c r="BS33" i="9"/>
  <c r="CK33" i="9" s="1"/>
  <c r="BT33" i="9"/>
  <c r="CL33" i="9" s="1"/>
  <c r="BU33" i="9"/>
  <c r="BP34" i="9"/>
  <c r="CH34" i="9" s="1"/>
  <c r="BQ34" i="9"/>
  <c r="CI34" i="9" s="1"/>
  <c r="BR34" i="9"/>
  <c r="CJ34" i="9" s="1"/>
  <c r="BS34" i="9"/>
  <c r="CK34" i="9" s="1"/>
  <c r="BT34" i="9"/>
  <c r="CL34" i="9" s="1"/>
  <c r="BU34" i="9"/>
  <c r="CM34" i="9" s="1"/>
  <c r="BP35" i="9"/>
  <c r="CH35" i="9" s="1"/>
  <c r="BQ35" i="9"/>
  <c r="CI35" i="9" s="1"/>
  <c r="BR35" i="9"/>
  <c r="BS35" i="9"/>
  <c r="BT35" i="9"/>
  <c r="CL35" i="9" s="1"/>
  <c r="BU35" i="9"/>
  <c r="CM35" i="9" s="1"/>
  <c r="BR36" i="9"/>
  <c r="CJ36" i="9" s="1"/>
  <c r="BS36" i="9"/>
  <c r="CK36" i="9" s="1"/>
  <c r="BT36" i="9"/>
  <c r="BU36" i="9"/>
  <c r="BR37" i="9"/>
  <c r="CJ37" i="9" s="1"/>
  <c r="BS37" i="9"/>
  <c r="BT37" i="9"/>
  <c r="BU37" i="9"/>
  <c r="BR38" i="9"/>
  <c r="CJ38" i="9" s="1"/>
  <c r="BS38" i="9"/>
  <c r="CK38" i="9" s="1"/>
  <c r="BT38" i="9"/>
  <c r="BU38" i="9"/>
  <c r="BR39" i="9"/>
  <c r="CJ39" i="9" s="1"/>
  <c r="BS39" i="9"/>
  <c r="CK39" i="9" s="1"/>
  <c r="BT39" i="9"/>
  <c r="BU39" i="9"/>
  <c r="BP40" i="9"/>
  <c r="CH40" i="9" s="1"/>
  <c r="BQ40" i="9"/>
  <c r="CI40" i="9" s="1"/>
  <c r="BR40" i="9"/>
  <c r="CJ40" i="9" s="1"/>
  <c r="BS40" i="9"/>
  <c r="BT40" i="9"/>
  <c r="BU40" i="9"/>
  <c r="CM40" i="9" s="1"/>
  <c r="BP41" i="9"/>
  <c r="CH41" i="9" s="1"/>
  <c r="BQ41" i="9"/>
  <c r="CI41" i="9" s="1"/>
  <c r="BR41" i="9"/>
  <c r="CJ41" i="9" s="1"/>
  <c r="BS41" i="9"/>
  <c r="CK41" i="9" s="1"/>
  <c r="BT41" i="9"/>
  <c r="CL41" i="9" s="1"/>
  <c r="BU41" i="9"/>
  <c r="BP42" i="9"/>
  <c r="CH42" i="9" s="1"/>
  <c r="BQ42" i="9"/>
  <c r="CI42" i="9" s="1"/>
  <c r="BR42" i="9"/>
  <c r="CJ42" i="9" s="1"/>
  <c r="BS42" i="9"/>
  <c r="CK42" i="9" s="1"/>
  <c r="BT42" i="9"/>
  <c r="CL42" i="9" s="1"/>
  <c r="BU42" i="9"/>
  <c r="CM42" i="9" s="1"/>
  <c r="BP43" i="9"/>
  <c r="CH43" i="9" s="1"/>
  <c r="BQ43" i="9"/>
  <c r="CI43" i="9" s="1"/>
  <c r="BR43" i="9"/>
  <c r="CJ43" i="9" s="1"/>
  <c r="BS43" i="9"/>
  <c r="BT43" i="9"/>
  <c r="CL43" i="9" s="1"/>
  <c r="BU43" i="9"/>
  <c r="CM43" i="9" s="1"/>
  <c r="BP44" i="9"/>
  <c r="CH44" i="9" s="1"/>
  <c r="BQ44" i="9"/>
  <c r="CI44" i="9" s="1"/>
  <c r="BR44" i="9"/>
  <c r="CJ44" i="9" s="1"/>
  <c r="BS44" i="9"/>
  <c r="BT44" i="9"/>
  <c r="BU44" i="9"/>
  <c r="CM44" i="9" s="1"/>
  <c r="BP45" i="9"/>
  <c r="CH45" i="9" s="1"/>
  <c r="BQ45" i="9"/>
  <c r="CI45" i="9" s="1"/>
  <c r="BR45" i="9"/>
  <c r="CJ45" i="9" s="1"/>
  <c r="BS45" i="9"/>
  <c r="CK45" i="9" s="1"/>
  <c r="BT45" i="9"/>
  <c r="CL45" i="9" s="1"/>
  <c r="BU45" i="9"/>
  <c r="BP46" i="9"/>
  <c r="CH46" i="9" s="1"/>
  <c r="BQ46" i="9"/>
  <c r="CI46" i="9" s="1"/>
  <c r="BR46" i="9"/>
  <c r="CJ46" i="9" s="1"/>
  <c r="BS46" i="9"/>
  <c r="CK46" i="9" s="1"/>
  <c r="BT46" i="9"/>
  <c r="CL46" i="9" s="1"/>
  <c r="BU46" i="9"/>
  <c r="CM46" i="9" s="1"/>
  <c r="BP47" i="9"/>
  <c r="CH47" i="9" s="1"/>
  <c r="BQ47" i="9"/>
  <c r="CI47" i="9" s="1"/>
  <c r="BR47" i="9"/>
  <c r="CJ47" i="9" s="1"/>
  <c r="BS47" i="9"/>
  <c r="BT47" i="9"/>
  <c r="CL47" i="9" s="1"/>
  <c r="BU47" i="9"/>
  <c r="CM47" i="9" s="1"/>
  <c r="BP48" i="9"/>
  <c r="CH48" i="9" s="1"/>
  <c r="BQ48" i="9"/>
  <c r="CI48" i="9" s="1"/>
  <c r="BR48" i="9"/>
  <c r="CJ48" i="9" s="1"/>
  <c r="BS48" i="9"/>
  <c r="BT48" i="9"/>
  <c r="BU48" i="9"/>
  <c r="CM48" i="9" s="1"/>
  <c r="BP49" i="9"/>
  <c r="CH49" i="9" s="1"/>
  <c r="BQ49" i="9"/>
  <c r="CI49" i="9" s="1"/>
  <c r="BR49" i="9"/>
  <c r="CJ49" i="9" s="1"/>
  <c r="BS49" i="9"/>
  <c r="CK49" i="9" s="1"/>
  <c r="BT49" i="9"/>
  <c r="CL49" i="9" s="1"/>
  <c r="BU49" i="9"/>
  <c r="BP50" i="9"/>
  <c r="CH50" i="9" s="1"/>
  <c r="BQ50" i="9"/>
  <c r="CI50" i="9" s="1"/>
  <c r="BR50" i="9"/>
  <c r="CJ50" i="9" s="1"/>
  <c r="BS50" i="9"/>
  <c r="CK50" i="9" s="1"/>
  <c r="BT50" i="9"/>
  <c r="CL50" i="9" s="1"/>
  <c r="BU50" i="9"/>
  <c r="CM50" i="9" s="1"/>
  <c r="BP51" i="9"/>
  <c r="CH51" i="9" s="1"/>
  <c r="BQ51" i="9"/>
  <c r="CI51" i="9" s="1"/>
  <c r="BR51" i="9"/>
  <c r="CJ51" i="9" s="1"/>
  <c r="BS51" i="9"/>
  <c r="BT51" i="9"/>
  <c r="CL51" i="9" s="1"/>
  <c r="BU51" i="9"/>
  <c r="CM51" i="9" s="1"/>
  <c r="BP52" i="9"/>
  <c r="CH52" i="9" s="1"/>
  <c r="BQ52" i="9"/>
  <c r="CI52" i="9" s="1"/>
  <c r="BR52" i="9"/>
  <c r="CJ52" i="9" s="1"/>
  <c r="BS52" i="9"/>
  <c r="BT52" i="9"/>
  <c r="BU52" i="9"/>
  <c r="CM52" i="9" s="1"/>
  <c r="BO6" i="9"/>
  <c r="CG6" i="9" s="1"/>
  <c r="BO7" i="9"/>
  <c r="CG7" i="9" s="1"/>
  <c r="BO8" i="9"/>
  <c r="CG8" i="9" s="1"/>
  <c r="BO9" i="9"/>
  <c r="CG9" i="9" s="1"/>
  <c r="BO10" i="9"/>
  <c r="CG10" i="9" s="1"/>
  <c r="BO11" i="9"/>
  <c r="CG11" i="9" s="1"/>
  <c r="BO12" i="9"/>
  <c r="CG12" i="9" s="1"/>
  <c r="BO13" i="9"/>
  <c r="CG13" i="9" s="1"/>
  <c r="BO14" i="9"/>
  <c r="CG14" i="9" s="1"/>
  <c r="BO15" i="9"/>
  <c r="CG15" i="9" s="1"/>
  <c r="BO16" i="9"/>
  <c r="CG16" i="9" s="1"/>
  <c r="BO17" i="9"/>
  <c r="CG17" i="9" s="1"/>
  <c r="BO18" i="9"/>
  <c r="CG18" i="9" s="1"/>
  <c r="BO19" i="9"/>
  <c r="CG19" i="9" s="1"/>
  <c r="BO20" i="9"/>
  <c r="CG20" i="9" s="1"/>
  <c r="BO21" i="9"/>
  <c r="CG21" i="9" s="1"/>
  <c r="BO22" i="9"/>
  <c r="CG22" i="9" s="1"/>
  <c r="BO23" i="9"/>
  <c r="CG23" i="9" s="1"/>
  <c r="BO24" i="9"/>
  <c r="CG24" i="9" s="1"/>
  <c r="BO25" i="9"/>
  <c r="CG25" i="9" s="1"/>
  <c r="BO26" i="9"/>
  <c r="CG26" i="9" s="1"/>
  <c r="BO27" i="9"/>
  <c r="CG27" i="9" s="1"/>
  <c r="BO28" i="9"/>
  <c r="CG28" i="9" s="1"/>
  <c r="BO29" i="9"/>
  <c r="CG29" i="9" s="1"/>
  <c r="BO30" i="9"/>
  <c r="CG30" i="9" s="1"/>
  <c r="BO31" i="9"/>
  <c r="CG31" i="9" s="1"/>
  <c r="BO32" i="9"/>
  <c r="CG32" i="9" s="1"/>
  <c r="BO33" i="9"/>
  <c r="CG33" i="9" s="1"/>
  <c r="BO34" i="9"/>
  <c r="CG34" i="9" s="1"/>
  <c r="BO35" i="9"/>
  <c r="CG35" i="9" s="1"/>
  <c r="BO40" i="9"/>
  <c r="CG40" i="9" s="1"/>
  <c r="BO41" i="9"/>
  <c r="CG41" i="9" s="1"/>
  <c r="BO42" i="9"/>
  <c r="CG42" i="9" s="1"/>
  <c r="BO43" i="9"/>
  <c r="CG43" i="9" s="1"/>
  <c r="BO44" i="9"/>
  <c r="CG44" i="9" s="1"/>
  <c r="BO45" i="9"/>
  <c r="CG45" i="9" s="1"/>
  <c r="BO46" i="9"/>
  <c r="CG46" i="9" s="1"/>
  <c r="BO47" i="9"/>
  <c r="CG47" i="9" s="1"/>
  <c r="BO48" i="9"/>
  <c r="CG48" i="9" s="1"/>
  <c r="BO49" i="9"/>
  <c r="CG49" i="9" s="1"/>
  <c r="BO50" i="9"/>
  <c r="CG50" i="9" s="1"/>
  <c r="BO51" i="9"/>
  <c r="CG51" i="9" s="1"/>
  <c r="BO52" i="9"/>
  <c r="CG52" i="9" s="1"/>
  <c r="BO5" i="9"/>
  <c r="CG5" i="9" s="1"/>
  <c r="CG53" i="9" s="1"/>
  <c r="BU53" i="9"/>
  <c r="BQ53" i="9"/>
  <c r="BO53" i="9"/>
  <c r="BV53" i="9" s="1"/>
  <c r="BD53" i="9"/>
  <c r="BD54" i="9" s="1"/>
  <c r="BG53" i="9"/>
  <c r="BH53" i="9"/>
  <c r="BI53" i="9"/>
  <c r="BJ53" i="9"/>
  <c r="BK53" i="9"/>
  <c r="BL53" i="9"/>
  <c r="BF53" i="9"/>
  <c r="BM53" i="9" s="1"/>
  <c r="AY34" i="8"/>
  <c r="BH34" i="8" s="1"/>
  <c r="BQ37" i="9"/>
  <c r="CI37" i="9" s="1"/>
  <c r="CM38" i="9"/>
  <c r="AY7" i="8"/>
  <c r="BH7" i="8" s="1"/>
  <c r="AZ5" i="8"/>
  <c r="BO38" i="9"/>
  <c r="CG38" i="9" s="1"/>
  <c r="BB6" i="8"/>
  <c r="BK6" i="8" s="1"/>
  <c r="AX19" i="8"/>
  <c r="BG19" i="8" s="1"/>
  <c r="AY18" i="8"/>
  <c r="BH18" i="8" s="1"/>
  <c r="AZ17" i="8"/>
  <c r="BI17" i="8" s="1"/>
  <c r="BP36" i="9"/>
  <c r="CH36" i="9" s="1"/>
  <c r="BQ36" i="9"/>
  <c r="CI36" i="9" s="1"/>
  <c r="AT23" i="8"/>
  <c r="AP23" i="8"/>
  <c r="AT19" i="8"/>
  <c r="AP19" i="8"/>
  <c r="AO19" i="8"/>
  <c r="AR17" i="8"/>
  <c r="AP15" i="8"/>
  <c r="M3" i="8"/>
  <c r="D3" i="8"/>
  <c r="AK4" i="3"/>
  <c r="AJ4" i="3"/>
  <c r="BH53" i="6"/>
  <c r="BG53" i="6"/>
  <c r="BF53" i="6"/>
  <c r="BE53" i="6"/>
  <c r="BD53" i="6"/>
  <c r="BC53" i="6"/>
  <c r="BB53" i="6"/>
  <c r="BH52" i="6"/>
  <c r="BG52" i="6"/>
  <c r="BF52" i="6"/>
  <c r="BE52" i="6"/>
  <c r="BD52" i="6"/>
  <c r="BC52" i="6"/>
  <c r="BB52" i="6"/>
  <c r="BH51" i="6"/>
  <c r="BG51" i="6"/>
  <c r="BF51" i="6"/>
  <c r="BE51" i="6"/>
  <c r="BD51" i="6"/>
  <c r="BC51" i="6"/>
  <c r="BB51" i="6"/>
  <c r="BH50" i="6"/>
  <c r="BG50" i="6"/>
  <c r="BF50" i="6"/>
  <c r="BE50" i="6"/>
  <c r="BD50" i="6"/>
  <c r="BC50" i="6"/>
  <c r="BB50" i="6"/>
  <c r="BH49" i="6"/>
  <c r="BG49" i="6"/>
  <c r="BF49" i="6"/>
  <c r="BE49" i="6"/>
  <c r="BD49" i="6"/>
  <c r="BC49" i="6"/>
  <c r="BB49" i="6"/>
  <c r="BH48" i="6"/>
  <c r="BG48" i="6"/>
  <c r="BF48" i="6"/>
  <c r="BE48" i="6"/>
  <c r="BD48" i="6"/>
  <c r="BC48" i="6"/>
  <c r="BB48" i="6"/>
  <c r="BH47" i="6"/>
  <c r="BG47" i="6"/>
  <c r="BF47" i="6"/>
  <c r="BE47" i="6"/>
  <c r="BD47" i="6"/>
  <c r="BC47" i="6"/>
  <c r="BB47" i="6"/>
  <c r="BH46" i="6"/>
  <c r="BG46" i="6"/>
  <c r="BF46" i="6"/>
  <c r="BE46" i="6"/>
  <c r="BD46" i="6"/>
  <c r="BC46" i="6"/>
  <c r="BB46" i="6"/>
  <c r="BH45" i="6"/>
  <c r="BG45" i="6"/>
  <c r="BF45" i="6"/>
  <c r="BE45" i="6"/>
  <c r="BD45" i="6"/>
  <c r="BC45" i="6"/>
  <c r="BB45" i="6"/>
  <c r="BH44" i="6"/>
  <c r="BG44" i="6"/>
  <c r="BF44" i="6"/>
  <c r="BE44" i="6"/>
  <c r="BD44" i="6"/>
  <c r="BC44" i="6"/>
  <c r="BB44" i="6"/>
  <c r="BH43" i="6"/>
  <c r="BG43" i="6"/>
  <c r="BF43" i="6"/>
  <c r="BE43" i="6"/>
  <c r="BD43" i="6"/>
  <c r="BC43" i="6"/>
  <c r="BB43" i="6"/>
  <c r="BH42" i="6"/>
  <c r="BG42" i="6"/>
  <c r="BF42" i="6"/>
  <c r="BE42" i="6"/>
  <c r="BD42" i="6"/>
  <c r="BC42" i="6"/>
  <c r="BB42" i="6"/>
  <c r="BH41" i="6"/>
  <c r="BG41" i="6"/>
  <c r="BF41" i="6"/>
  <c r="BE41" i="6"/>
  <c r="BD41" i="6"/>
  <c r="BC41" i="6"/>
  <c r="BB41" i="6"/>
  <c r="BH40" i="6"/>
  <c r="BG40" i="6"/>
  <c r="BF40" i="6"/>
  <c r="BE40" i="6"/>
  <c r="BD40" i="6"/>
  <c r="BC40" i="6"/>
  <c r="BB40" i="6"/>
  <c r="BH39" i="6"/>
  <c r="BG39" i="6"/>
  <c r="BF39" i="6"/>
  <c r="BE39" i="6"/>
  <c r="BD39" i="6"/>
  <c r="BC39" i="6"/>
  <c r="BB39" i="6"/>
  <c r="BH38" i="6"/>
  <c r="BG38" i="6"/>
  <c r="BF38" i="6"/>
  <c r="BE38" i="6"/>
  <c r="BD38" i="6"/>
  <c r="BC38" i="6"/>
  <c r="BB38" i="6"/>
  <c r="BH37" i="6"/>
  <c r="BG37" i="6"/>
  <c r="BF37" i="6"/>
  <c r="BE37" i="6"/>
  <c r="BD37" i="6"/>
  <c r="BC37" i="6"/>
  <c r="BB37" i="6"/>
  <c r="BH36" i="6"/>
  <c r="BG36" i="6"/>
  <c r="BF36" i="6"/>
  <c r="BE36" i="6"/>
  <c r="BD36" i="6"/>
  <c r="BC36" i="6"/>
  <c r="BB36" i="6"/>
  <c r="BH35" i="6"/>
  <c r="BG35" i="6"/>
  <c r="BF35" i="6"/>
  <c r="BE35" i="6"/>
  <c r="BD35" i="6"/>
  <c r="BC35" i="6"/>
  <c r="BB35" i="6"/>
  <c r="BH34" i="6"/>
  <c r="BG34" i="6"/>
  <c r="BF34" i="6"/>
  <c r="BE34" i="6"/>
  <c r="BD34" i="6"/>
  <c r="BC34" i="6"/>
  <c r="BB34" i="6"/>
  <c r="BH33" i="6"/>
  <c r="BG33" i="6"/>
  <c r="BF33" i="6"/>
  <c r="BE33" i="6"/>
  <c r="BD33" i="6"/>
  <c r="BC33" i="6"/>
  <c r="BB33" i="6"/>
  <c r="BH32" i="6"/>
  <c r="BG32" i="6"/>
  <c r="BF32" i="6"/>
  <c r="BE32" i="6"/>
  <c r="BD32" i="6"/>
  <c r="BC32" i="6"/>
  <c r="BB32" i="6"/>
  <c r="BH31" i="6"/>
  <c r="BG31" i="6"/>
  <c r="BF31" i="6"/>
  <c r="BE31" i="6"/>
  <c r="BD31" i="6"/>
  <c r="BC31" i="6"/>
  <c r="BB31" i="6"/>
  <c r="BH30" i="6"/>
  <c r="BG30" i="6"/>
  <c r="BF30" i="6"/>
  <c r="BE30" i="6"/>
  <c r="BD30" i="6"/>
  <c r="BC30" i="6"/>
  <c r="BB30" i="6"/>
  <c r="BH29" i="6"/>
  <c r="BG29" i="6"/>
  <c r="BF29" i="6"/>
  <c r="BE29" i="6"/>
  <c r="BD29" i="6"/>
  <c r="BC29" i="6"/>
  <c r="BB29" i="6"/>
  <c r="BH28" i="6"/>
  <c r="BG28" i="6"/>
  <c r="BF28" i="6"/>
  <c r="BE28" i="6"/>
  <c r="BD28" i="6"/>
  <c r="BC28" i="6"/>
  <c r="BB28" i="6"/>
  <c r="BH27" i="6"/>
  <c r="BG27" i="6"/>
  <c r="BF27" i="6"/>
  <c r="BE27" i="6"/>
  <c r="BD27" i="6"/>
  <c r="BC27" i="6"/>
  <c r="BB27" i="6"/>
  <c r="BH26" i="6"/>
  <c r="BG26" i="6"/>
  <c r="BF26" i="6"/>
  <c r="BE26" i="6"/>
  <c r="BD26" i="6"/>
  <c r="BC26" i="6"/>
  <c r="BB26" i="6"/>
  <c r="BH25" i="6"/>
  <c r="BG25" i="6"/>
  <c r="BF25" i="6"/>
  <c r="BE25" i="6"/>
  <c r="BD25" i="6"/>
  <c r="BC25" i="6"/>
  <c r="BB25" i="6"/>
  <c r="BH24" i="6"/>
  <c r="BG24" i="6"/>
  <c r="BF24" i="6"/>
  <c r="BE24" i="6"/>
  <c r="BD24" i="6"/>
  <c r="BC24" i="6"/>
  <c r="BB24" i="6"/>
  <c r="BH23" i="6"/>
  <c r="BG23" i="6"/>
  <c r="BF23" i="6"/>
  <c r="BE23" i="6"/>
  <c r="BD23" i="6"/>
  <c r="BC23" i="6"/>
  <c r="BB23" i="6"/>
  <c r="BH22" i="6"/>
  <c r="BG22" i="6"/>
  <c r="BF22" i="6"/>
  <c r="BE22" i="6"/>
  <c r="BD22" i="6"/>
  <c r="BC22" i="6"/>
  <c r="BB22" i="6"/>
  <c r="BH21" i="6"/>
  <c r="BG21" i="6"/>
  <c r="BF21" i="6"/>
  <c r="BE21" i="6"/>
  <c r="BD21" i="6"/>
  <c r="BC21" i="6"/>
  <c r="BB21" i="6"/>
  <c r="BH20" i="6"/>
  <c r="BG20" i="6"/>
  <c r="BF20" i="6"/>
  <c r="BE20" i="6"/>
  <c r="BD20" i="6"/>
  <c r="BC20" i="6"/>
  <c r="BB20" i="6"/>
  <c r="BH19" i="6"/>
  <c r="BG19" i="6"/>
  <c r="BF19" i="6"/>
  <c r="BE19" i="6"/>
  <c r="BD19" i="6"/>
  <c r="BC19" i="6"/>
  <c r="BB19" i="6"/>
  <c r="BH18" i="6"/>
  <c r="BG18" i="6"/>
  <c r="BF18" i="6"/>
  <c r="BE18" i="6"/>
  <c r="BD18" i="6"/>
  <c r="BC18" i="6"/>
  <c r="BB18" i="6"/>
  <c r="BH17" i="6"/>
  <c r="BG17" i="6"/>
  <c r="BF17" i="6"/>
  <c r="BE17" i="6"/>
  <c r="BD17" i="6"/>
  <c r="BC17" i="6"/>
  <c r="BB17" i="6"/>
  <c r="BH16" i="6"/>
  <c r="BG16" i="6"/>
  <c r="BF16" i="6"/>
  <c r="BE16" i="6"/>
  <c r="BD16" i="6"/>
  <c r="BC16" i="6"/>
  <c r="BB16" i="6"/>
  <c r="BH15" i="6"/>
  <c r="BG15" i="6"/>
  <c r="BF15" i="6"/>
  <c r="BE15" i="6"/>
  <c r="BD15" i="6"/>
  <c r="BC15" i="6"/>
  <c r="BB15" i="6"/>
  <c r="BH14" i="6"/>
  <c r="BG14" i="6"/>
  <c r="BF14" i="6"/>
  <c r="BE14" i="6"/>
  <c r="BD14" i="6"/>
  <c r="BC14" i="6"/>
  <c r="BB14" i="6"/>
  <c r="BH13" i="6"/>
  <c r="BG13" i="6"/>
  <c r="BF13" i="6"/>
  <c r="BE13" i="6"/>
  <c r="BD13" i="6"/>
  <c r="BC13" i="6"/>
  <c r="BB13" i="6"/>
  <c r="BH12" i="6"/>
  <c r="BG12" i="6"/>
  <c r="BF12" i="6"/>
  <c r="BE12" i="6"/>
  <c r="BD12" i="6"/>
  <c r="BC12" i="6"/>
  <c r="BB12" i="6"/>
  <c r="BH11" i="6"/>
  <c r="BG11" i="6"/>
  <c r="BF11" i="6"/>
  <c r="BE11" i="6"/>
  <c r="BD11" i="6"/>
  <c r="BC11" i="6"/>
  <c r="BB11" i="6"/>
  <c r="BH10" i="6"/>
  <c r="BG10" i="6"/>
  <c r="BF10" i="6"/>
  <c r="BE10" i="6"/>
  <c r="BD10" i="6"/>
  <c r="BC10" i="6"/>
  <c r="BB10" i="6"/>
  <c r="BH9" i="6"/>
  <c r="BG9" i="6"/>
  <c r="BF9" i="6"/>
  <c r="BE9" i="6"/>
  <c r="BD9" i="6"/>
  <c r="BC9" i="6"/>
  <c r="BB9" i="6"/>
  <c r="BH8" i="6"/>
  <c r="BG8" i="6"/>
  <c r="BF8" i="6"/>
  <c r="BE8" i="6"/>
  <c r="BD8" i="6"/>
  <c r="BC8" i="6"/>
  <c r="BB8" i="6"/>
  <c r="BH7" i="6"/>
  <c r="BG7" i="6"/>
  <c r="BF7" i="6"/>
  <c r="BE7" i="6"/>
  <c r="BD7" i="6"/>
  <c r="BC7" i="6"/>
  <c r="BB7" i="6"/>
  <c r="BH6" i="6"/>
  <c r="BG6" i="6"/>
  <c r="BF6" i="6"/>
  <c r="BE6" i="6"/>
  <c r="BD6" i="6"/>
  <c r="BC6" i="6"/>
  <c r="BB6" i="6"/>
  <c r="BH5" i="6"/>
  <c r="BG5" i="6"/>
  <c r="BF5" i="6"/>
  <c r="BE5" i="6"/>
  <c r="BD5" i="6"/>
  <c r="BC5" i="6"/>
  <c r="BB5" i="6"/>
  <c r="BH4" i="6"/>
  <c r="BG4" i="6"/>
  <c r="BF4" i="6"/>
  <c r="BE4" i="6"/>
  <c r="BD4" i="6"/>
  <c r="BC4" i="6"/>
  <c r="BB4" i="6"/>
  <c r="AK4" i="6"/>
  <c r="AP52" i="6"/>
  <c r="AO52" i="6"/>
  <c r="AN52" i="6"/>
  <c r="AM52" i="6"/>
  <c r="AL52" i="6"/>
  <c r="AK52" i="6"/>
  <c r="AJ52" i="6"/>
  <c r="AP51" i="6"/>
  <c r="AO51" i="6"/>
  <c r="AN51" i="6"/>
  <c r="AM51" i="6"/>
  <c r="AL51" i="6"/>
  <c r="AK51" i="6"/>
  <c r="AJ51" i="6"/>
  <c r="AP50" i="6"/>
  <c r="AO50" i="6"/>
  <c r="AN50" i="6"/>
  <c r="AM50" i="6"/>
  <c r="AL50" i="6"/>
  <c r="AK50" i="6"/>
  <c r="AJ50" i="6"/>
  <c r="AP49" i="6"/>
  <c r="AO49" i="6"/>
  <c r="AN49" i="6"/>
  <c r="AM49" i="6"/>
  <c r="AL49" i="6"/>
  <c r="AK49" i="6"/>
  <c r="AJ49" i="6"/>
  <c r="AP48" i="6"/>
  <c r="AO48" i="6"/>
  <c r="AN48" i="6"/>
  <c r="AM48" i="6"/>
  <c r="AL48" i="6"/>
  <c r="AK48" i="6"/>
  <c r="AJ48" i="6"/>
  <c r="AP47" i="6"/>
  <c r="AO47" i="6"/>
  <c r="AN47" i="6"/>
  <c r="AM47" i="6"/>
  <c r="AL47" i="6"/>
  <c r="AK47" i="6"/>
  <c r="AJ47" i="6"/>
  <c r="AP46" i="6"/>
  <c r="AO46" i="6"/>
  <c r="AN46" i="6"/>
  <c r="AM46" i="6"/>
  <c r="AL46" i="6"/>
  <c r="AK46" i="6"/>
  <c r="AJ46" i="6"/>
  <c r="AP45" i="6"/>
  <c r="AO45" i="6"/>
  <c r="AN45" i="6"/>
  <c r="AM45" i="6"/>
  <c r="AL45" i="6"/>
  <c r="AK45" i="6"/>
  <c r="AJ45" i="6"/>
  <c r="AP44" i="6"/>
  <c r="AO44" i="6"/>
  <c r="AN44" i="6"/>
  <c r="AM44" i="6"/>
  <c r="AL44" i="6"/>
  <c r="AK44" i="6"/>
  <c r="AJ44" i="6"/>
  <c r="AP43" i="6"/>
  <c r="AO43" i="6"/>
  <c r="AN43" i="6"/>
  <c r="AM43" i="6"/>
  <c r="AL43" i="6"/>
  <c r="AK43" i="6"/>
  <c r="AJ43" i="6"/>
  <c r="AP42" i="6"/>
  <c r="AO42" i="6"/>
  <c r="AN42" i="6"/>
  <c r="AM42" i="6"/>
  <c r="AL42" i="6"/>
  <c r="AK42" i="6"/>
  <c r="AJ42" i="6"/>
  <c r="AP41" i="6"/>
  <c r="AO41" i="6"/>
  <c r="AN41" i="6"/>
  <c r="AM41" i="6"/>
  <c r="AL41" i="6"/>
  <c r="AK41" i="6"/>
  <c r="AJ41" i="6"/>
  <c r="AP40" i="6"/>
  <c r="AO40" i="6"/>
  <c r="AN40" i="6"/>
  <c r="AM40" i="6"/>
  <c r="AL40" i="6"/>
  <c r="AK40" i="6"/>
  <c r="AJ40" i="6"/>
  <c r="AP39" i="6"/>
  <c r="AO39" i="6"/>
  <c r="AN39" i="6"/>
  <c r="AM39" i="6"/>
  <c r="AL39" i="6"/>
  <c r="AK39" i="6"/>
  <c r="AJ39" i="6"/>
  <c r="AP38" i="6"/>
  <c r="AO38" i="6"/>
  <c r="AN38" i="6"/>
  <c r="AM38" i="6"/>
  <c r="AL38" i="6"/>
  <c r="AK38" i="6"/>
  <c r="AJ38" i="6"/>
  <c r="AP37" i="6"/>
  <c r="AO37" i="6"/>
  <c r="AN37" i="6"/>
  <c r="AM37" i="6"/>
  <c r="AL37" i="6"/>
  <c r="AK37" i="6"/>
  <c r="AJ37" i="6"/>
  <c r="AP36" i="6"/>
  <c r="AO36" i="6"/>
  <c r="AN36" i="6"/>
  <c r="AM36" i="6"/>
  <c r="AL36" i="6"/>
  <c r="AK36" i="6"/>
  <c r="AJ36" i="6"/>
  <c r="AP35" i="6"/>
  <c r="AO35" i="6"/>
  <c r="AN35" i="6"/>
  <c r="AM35" i="6"/>
  <c r="AL35" i="6"/>
  <c r="AK35" i="6"/>
  <c r="AJ35" i="6"/>
  <c r="AP34" i="6"/>
  <c r="AO34" i="6"/>
  <c r="AN34" i="6"/>
  <c r="AM34" i="6"/>
  <c r="AL34" i="6"/>
  <c r="AK34" i="6"/>
  <c r="AJ34" i="6"/>
  <c r="AP33" i="6"/>
  <c r="AO33" i="6"/>
  <c r="AN33" i="6"/>
  <c r="AM33" i="6"/>
  <c r="AL33" i="6"/>
  <c r="AK33" i="6"/>
  <c r="AJ33" i="6"/>
  <c r="AP32" i="6"/>
  <c r="AO32" i="6"/>
  <c r="AN32" i="6"/>
  <c r="AM32" i="6"/>
  <c r="AL32" i="6"/>
  <c r="AK32" i="6"/>
  <c r="AJ32" i="6"/>
  <c r="AP31" i="6"/>
  <c r="AO31" i="6"/>
  <c r="AN31" i="6"/>
  <c r="AM31" i="6"/>
  <c r="AL31" i="6"/>
  <c r="AK31" i="6"/>
  <c r="AJ31" i="6"/>
  <c r="AP30" i="6"/>
  <c r="AO30" i="6"/>
  <c r="AN30" i="6"/>
  <c r="AM30" i="6"/>
  <c r="AL30" i="6"/>
  <c r="AK30" i="6"/>
  <c r="AJ30" i="6"/>
  <c r="AP29" i="6"/>
  <c r="AO29" i="6"/>
  <c r="AN29" i="6"/>
  <c r="AM29" i="6"/>
  <c r="AL29" i="6"/>
  <c r="AK29" i="6"/>
  <c r="AJ29" i="6"/>
  <c r="AP28" i="6"/>
  <c r="AO28" i="6"/>
  <c r="AN28" i="6"/>
  <c r="AM28" i="6"/>
  <c r="AL28" i="6"/>
  <c r="AK28" i="6"/>
  <c r="AJ28" i="6"/>
  <c r="AP27" i="6"/>
  <c r="AO27" i="6"/>
  <c r="AN27" i="6"/>
  <c r="AM27" i="6"/>
  <c r="AL27" i="6"/>
  <c r="AK27" i="6"/>
  <c r="AJ27" i="6"/>
  <c r="AP26" i="6"/>
  <c r="AO26" i="6"/>
  <c r="AN26" i="6"/>
  <c r="AM26" i="6"/>
  <c r="AL26" i="6"/>
  <c r="AK26" i="6"/>
  <c r="AJ26" i="6"/>
  <c r="AP25" i="6"/>
  <c r="AO25" i="6"/>
  <c r="AN25" i="6"/>
  <c r="AM25" i="6"/>
  <c r="AL25" i="6"/>
  <c r="AK25" i="6"/>
  <c r="AJ25" i="6"/>
  <c r="AP24" i="6"/>
  <c r="AO24" i="6"/>
  <c r="AN24" i="6"/>
  <c r="AM24" i="6"/>
  <c r="AL24" i="6"/>
  <c r="AK24" i="6"/>
  <c r="AJ24" i="6"/>
  <c r="AP23" i="6"/>
  <c r="AO23" i="6"/>
  <c r="AN23" i="6"/>
  <c r="AM23" i="6"/>
  <c r="AL23" i="6"/>
  <c r="AK23" i="6"/>
  <c r="AJ23" i="6"/>
  <c r="AP22" i="6"/>
  <c r="AO22" i="6"/>
  <c r="AN22" i="6"/>
  <c r="AM22" i="6"/>
  <c r="AL22" i="6"/>
  <c r="AK22" i="6"/>
  <c r="AJ22" i="6"/>
  <c r="AP21" i="6"/>
  <c r="AO21" i="6"/>
  <c r="AN21" i="6"/>
  <c r="AM21" i="6"/>
  <c r="AL21" i="6"/>
  <c r="AK21" i="6"/>
  <c r="AJ21" i="6"/>
  <c r="AP20" i="6"/>
  <c r="AO20" i="6"/>
  <c r="AN20" i="6"/>
  <c r="AM20" i="6"/>
  <c r="AL20" i="6"/>
  <c r="AK20" i="6"/>
  <c r="AJ20" i="6"/>
  <c r="AP19" i="6"/>
  <c r="AO19" i="6"/>
  <c r="AN19" i="6"/>
  <c r="AM19" i="6"/>
  <c r="AL19" i="6"/>
  <c r="AK19" i="6"/>
  <c r="AJ19" i="6"/>
  <c r="AP18" i="6"/>
  <c r="AO18" i="6"/>
  <c r="AN18" i="6"/>
  <c r="AM18" i="6"/>
  <c r="AL18" i="6"/>
  <c r="AK18" i="6"/>
  <c r="AJ18" i="6"/>
  <c r="AP17" i="6"/>
  <c r="AO17" i="6"/>
  <c r="AN17" i="6"/>
  <c r="AM17" i="6"/>
  <c r="AL17" i="6"/>
  <c r="AK17" i="6"/>
  <c r="AJ17" i="6"/>
  <c r="AP16" i="6"/>
  <c r="AO16" i="6"/>
  <c r="AN16" i="6"/>
  <c r="AM16" i="6"/>
  <c r="AL16" i="6"/>
  <c r="AK16" i="6"/>
  <c r="AJ16" i="6"/>
  <c r="AP15" i="6"/>
  <c r="AO15" i="6"/>
  <c r="AN15" i="6"/>
  <c r="AM15" i="6"/>
  <c r="AL15" i="6"/>
  <c r="AK15" i="6"/>
  <c r="AJ15" i="6"/>
  <c r="AP14" i="6"/>
  <c r="AO14" i="6"/>
  <c r="AN14" i="6"/>
  <c r="AM14" i="6"/>
  <c r="AL14" i="6"/>
  <c r="AK14" i="6"/>
  <c r="AJ14" i="6"/>
  <c r="AP13" i="6"/>
  <c r="AO13" i="6"/>
  <c r="AN13" i="6"/>
  <c r="AM13" i="6"/>
  <c r="AL13" i="6"/>
  <c r="AK13" i="6"/>
  <c r="AJ13" i="6"/>
  <c r="AP12" i="6"/>
  <c r="AO12" i="6"/>
  <c r="AN12" i="6"/>
  <c r="AM12" i="6"/>
  <c r="AL12" i="6"/>
  <c r="AK12" i="6"/>
  <c r="AJ12" i="6"/>
  <c r="AP11" i="6"/>
  <c r="AO11" i="6"/>
  <c r="AN11" i="6"/>
  <c r="AM11" i="6"/>
  <c r="AL11" i="6"/>
  <c r="AK11" i="6"/>
  <c r="AJ11" i="6"/>
  <c r="AP10" i="6"/>
  <c r="AO10" i="6"/>
  <c r="AN10" i="6"/>
  <c r="AM10" i="6"/>
  <c r="AL10" i="6"/>
  <c r="AK10" i="6"/>
  <c r="AJ10" i="6"/>
  <c r="AP9" i="6"/>
  <c r="AO9" i="6"/>
  <c r="AN9" i="6"/>
  <c r="AM9" i="6"/>
  <c r="AL9" i="6"/>
  <c r="AK9" i="6"/>
  <c r="AJ9" i="6"/>
  <c r="AP8" i="6"/>
  <c r="AO8" i="6"/>
  <c r="AN8" i="6"/>
  <c r="AM8" i="6"/>
  <c r="AL8" i="6"/>
  <c r="AK8" i="6"/>
  <c r="AJ8" i="6"/>
  <c r="AP7" i="6"/>
  <c r="AO7" i="6"/>
  <c r="AN7" i="6"/>
  <c r="AM7" i="6"/>
  <c r="AL7" i="6"/>
  <c r="AK7" i="6"/>
  <c r="AJ7" i="6"/>
  <c r="AP6" i="6"/>
  <c r="AO6" i="6"/>
  <c r="AN6" i="6"/>
  <c r="AM6" i="6"/>
  <c r="AL6" i="6"/>
  <c r="AK6" i="6"/>
  <c r="AJ6" i="6"/>
  <c r="AP5" i="6"/>
  <c r="AO5" i="6"/>
  <c r="AN5" i="6"/>
  <c r="AM5" i="6"/>
  <c r="AL5" i="6"/>
  <c r="AK5" i="6"/>
  <c r="AJ5" i="6"/>
  <c r="AP4" i="6"/>
  <c r="AO4" i="6"/>
  <c r="AN4" i="6"/>
  <c r="AM4" i="6"/>
  <c r="AL4" i="6"/>
  <c r="AJ4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F53" i="6"/>
  <c r="G53" i="6"/>
  <c r="H53" i="6"/>
  <c r="I53" i="6"/>
  <c r="J53" i="6"/>
  <c r="K53" i="6"/>
  <c r="AI59" i="6"/>
  <c r="AI60" i="6" s="1"/>
  <c r="AI61" i="6" s="1"/>
  <c r="AI62" i="6" s="1"/>
  <c r="AI63" i="6" s="1"/>
  <c r="AI64" i="6" s="1"/>
  <c r="AI65" i="6" s="1"/>
  <c r="AI66" i="6" s="1"/>
  <c r="AI67" i="6" s="1"/>
  <c r="AI68" i="6" s="1"/>
  <c r="AI69" i="6" s="1"/>
  <c r="AI70" i="6" s="1"/>
  <c r="AI71" i="6" s="1"/>
  <c r="AI72" i="6" s="1"/>
  <c r="AI73" i="6" s="1"/>
  <c r="AI74" i="6" s="1"/>
  <c r="AI75" i="6" s="1"/>
  <c r="AI76" i="6" s="1"/>
  <c r="AI77" i="6" s="1"/>
  <c r="AI78" i="6" s="1"/>
  <c r="AI79" i="6" s="1"/>
  <c r="AI80" i="6" s="1"/>
  <c r="AI81" i="6" s="1"/>
  <c r="AI82" i="6" s="1"/>
  <c r="AR57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E6" i="6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A6" i="6"/>
  <c r="BA5" i="6"/>
  <c r="BA6" i="6" s="1"/>
  <c r="BA7" i="6" s="1"/>
  <c r="BA8" i="6" s="1"/>
  <c r="BA9" i="6" s="1"/>
  <c r="BA10" i="6" s="1"/>
  <c r="BA11" i="6" s="1"/>
  <c r="BA12" i="6" s="1"/>
  <c r="BA13" i="6" s="1"/>
  <c r="BA14" i="6" s="1"/>
  <c r="BA15" i="6" s="1"/>
  <c r="BA16" i="6" s="1"/>
  <c r="BA17" i="6" s="1"/>
  <c r="BA18" i="6" s="1"/>
  <c r="BA19" i="6" s="1"/>
  <c r="BA20" i="6" s="1"/>
  <c r="BA21" i="6" s="1"/>
  <c r="BA22" i="6" s="1"/>
  <c r="BA23" i="6" s="1"/>
  <c r="BA24" i="6" s="1"/>
  <c r="BA25" i="6" s="1"/>
  <c r="BA26" i="6" s="1"/>
  <c r="BA27" i="6" s="1"/>
  <c r="BA28" i="6" s="1"/>
  <c r="BA29" i="6" s="1"/>
  <c r="BA30" i="6" s="1"/>
  <c r="BA31" i="6" s="1"/>
  <c r="BA32" i="6" s="1"/>
  <c r="BA33" i="6" s="1"/>
  <c r="BA34" i="6" s="1"/>
  <c r="BA35" i="6" s="1"/>
  <c r="BA36" i="6" s="1"/>
  <c r="BA37" i="6" s="1"/>
  <c r="BA38" i="6" s="1"/>
  <c r="BA39" i="6" s="1"/>
  <c r="BA40" i="6" s="1"/>
  <c r="BA41" i="6" s="1"/>
  <c r="BA42" i="6" s="1"/>
  <c r="BA43" i="6" s="1"/>
  <c r="BA44" i="6" s="1"/>
  <c r="BA45" i="6" s="1"/>
  <c r="BA46" i="6" s="1"/>
  <c r="BA47" i="6" s="1"/>
  <c r="BA48" i="6" s="1"/>
  <c r="BA49" i="6" s="1"/>
  <c r="BA50" i="6" s="1"/>
  <c r="BA51" i="6" s="1"/>
  <c r="AR5" i="6"/>
  <c r="AR6" i="6" s="1"/>
  <c r="AR7" i="6" s="1"/>
  <c r="AR8" i="6" s="1"/>
  <c r="AR9" i="6" s="1"/>
  <c r="AR10" i="6" s="1"/>
  <c r="AR11" i="6" s="1"/>
  <c r="AR12" i="6" s="1"/>
  <c r="AR13" i="6" s="1"/>
  <c r="AR14" i="6" s="1"/>
  <c r="AR15" i="6" s="1"/>
  <c r="AR16" i="6" s="1"/>
  <c r="AR17" i="6" s="1"/>
  <c r="AR18" i="6" s="1"/>
  <c r="AR19" i="6" s="1"/>
  <c r="AR20" i="6" s="1"/>
  <c r="AR21" i="6" s="1"/>
  <c r="AR22" i="6" s="1"/>
  <c r="AR23" i="6" s="1"/>
  <c r="AR24" i="6" s="1"/>
  <c r="AR25" i="6" s="1"/>
  <c r="AR26" i="6" s="1"/>
  <c r="AR27" i="6" s="1"/>
  <c r="AR28" i="6" s="1"/>
  <c r="AR29" i="6" s="1"/>
  <c r="AR30" i="6" s="1"/>
  <c r="AR31" i="6" s="1"/>
  <c r="AR32" i="6" s="1"/>
  <c r="AR33" i="6" s="1"/>
  <c r="AR34" i="6" s="1"/>
  <c r="AR35" i="6" s="1"/>
  <c r="AR36" i="6" s="1"/>
  <c r="AR37" i="6" s="1"/>
  <c r="AR38" i="6" s="1"/>
  <c r="AR39" i="6" s="1"/>
  <c r="AR40" i="6" s="1"/>
  <c r="AR41" i="6" s="1"/>
  <c r="AR42" i="6" s="1"/>
  <c r="AR43" i="6" s="1"/>
  <c r="AR44" i="6" s="1"/>
  <c r="AR45" i="6" s="1"/>
  <c r="AR46" i="6" s="1"/>
  <c r="AR47" i="6" s="1"/>
  <c r="AR48" i="6" s="1"/>
  <c r="AR49" i="6" s="1"/>
  <c r="AR50" i="6" s="1"/>
  <c r="AR51" i="6" s="1"/>
  <c r="AI5" i="6"/>
  <c r="AI6" i="6" s="1"/>
  <c r="AI7" i="6" s="1"/>
  <c r="AI8" i="6" s="1"/>
  <c r="AI9" i="6" s="1"/>
  <c r="AI10" i="6" s="1"/>
  <c r="AI11" i="6" s="1"/>
  <c r="AI12" i="6" s="1"/>
  <c r="AI13" i="6" s="1"/>
  <c r="AI14" i="6" s="1"/>
  <c r="AI15" i="6" s="1"/>
  <c r="AI16" i="6" s="1"/>
  <c r="AI17" i="6" s="1"/>
  <c r="AI18" i="6" s="1"/>
  <c r="AI19" i="6" s="1"/>
  <c r="AI20" i="6" s="1"/>
  <c r="AI21" i="6" s="1"/>
  <c r="AI22" i="6" s="1"/>
  <c r="AI23" i="6" s="1"/>
  <c r="AI24" i="6" s="1"/>
  <c r="AI25" i="6" s="1"/>
  <c r="AI26" i="6" s="1"/>
  <c r="AI27" i="6" s="1"/>
  <c r="AI28" i="6" s="1"/>
  <c r="AI29" i="6" s="1"/>
  <c r="AI30" i="6" s="1"/>
  <c r="AI31" i="6" s="1"/>
  <c r="AI32" i="6" s="1"/>
  <c r="AI33" i="6" s="1"/>
  <c r="AI34" i="6" s="1"/>
  <c r="AI35" i="6" s="1"/>
  <c r="AI36" i="6" s="1"/>
  <c r="AI37" i="6" s="1"/>
  <c r="AI38" i="6" s="1"/>
  <c r="AI39" i="6" s="1"/>
  <c r="AI40" i="6" s="1"/>
  <c r="AI41" i="6" s="1"/>
  <c r="AI42" i="6" s="1"/>
  <c r="AI43" i="6" s="1"/>
  <c r="AI44" i="6" s="1"/>
  <c r="AI45" i="6" s="1"/>
  <c r="AI46" i="6" s="1"/>
  <c r="AI47" i="6" s="1"/>
  <c r="AI48" i="6" s="1"/>
  <c r="AI49" i="6" s="1"/>
  <c r="AI50" i="6" s="1"/>
  <c r="AI51" i="6" s="1"/>
  <c r="A5" i="6"/>
  <c r="A4" i="6"/>
  <c r="BH51" i="4"/>
  <c r="BG51" i="4"/>
  <c r="BF51" i="4"/>
  <c r="BE51" i="4"/>
  <c r="BD51" i="4"/>
  <c r="BC51" i="4"/>
  <c r="BB51" i="4"/>
  <c r="BH50" i="4"/>
  <c r="BG50" i="4"/>
  <c r="BF50" i="4"/>
  <c r="BE50" i="4"/>
  <c r="BD50" i="4"/>
  <c r="BC50" i="4"/>
  <c r="BB50" i="4"/>
  <c r="BH49" i="4"/>
  <c r="BG49" i="4"/>
  <c r="BF49" i="4"/>
  <c r="BE49" i="4"/>
  <c r="BD49" i="4"/>
  <c r="BC49" i="4"/>
  <c r="BB49" i="4"/>
  <c r="BH48" i="4"/>
  <c r="BG48" i="4"/>
  <c r="BF48" i="4"/>
  <c r="BE48" i="4"/>
  <c r="BD48" i="4"/>
  <c r="BC48" i="4"/>
  <c r="BB48" i="4"/>
  <c r="BH47" i="4"/>
  <c r="BG47" i="4"/>
  <c r="BF47" i="4"/>
  <c r="BE47" i="4"/>
  <c r="BD47" i="4"/>
  <c r="BC47" i="4"/>
  <c r="BB47" i="4"/>
  <c r="BH46" i="4"/>
  <c r="BG46" i="4"/>
  <c r="BF46" i="4"/>
  <c r="BE46" i="4"/>
  <c r="BD46" i="4"/>
  <c r="BC46" i="4"/>
  <c r="BB46" i="4"/>
  <c r="BH45" i="4"/>
  <c r="BG45" i="4"/>
  <c r="BF45" i="4"/>
  <c r="BE45" i="4"/>
  <c r="BD45" i="4"/>
  <c r="BC45" i="4"/>
  <c r="BB45" i="4"/>
  <c r="BH44" i="4"/>
  <c r="BG44" i="4"/>
  <c r="BF44" i="4"/>
  <c r="BE44" i="4"/>
  <c r="BD44" i="4"/>
  <c r="BC44" i="4"/>
  <c r="BB44" i="4"/>
  <c r="BH43" i="4"/>
  <c r="BG43" i="4"/>
  <c r="BF43" i="4"/>
  <c r="BE43" i="4"/>
  <c r="BD43" i="4"/>
  <c r="BC43" i="4"/>
  <c r="BB43" i="4"/>
  <c r="BH42" i="4"/>
  <c r="BG42" i="4"/>
  <c r="BF42" i="4"/>
  <c r="BE42" i="4"/>
  <c r="BD42" i="4"/>
  <c r="BC42" i="4"/>
  <c r="BB42" i="4"/>
  <c r="BH41" i="4"/>
  <c r="BG41" i="4"/>
  <c r="BF41" i="4"/>
  <c r="BE41" i="4"/>
  <c r="BD41" i="4"/>
  <c r="BC41" i="4"/>
  <c r="BB41" i="4"/>
  <c r="BH40" i="4"/>
  <c r="BG40" i="4"/>
  <c r="BF40" i="4"/>
  <c r="BE40" i="4"/>
  <c r="BD40" i="4"/>
  <c r="BC40" i="4"/>
  <c r="BB40" i="4"/>
  <c r="BH39" i="4"/>
  <c r="BG39" i="4"/>
  <c r="BF39" i="4"/>
  <c r="BE39" i="4"/>
  <c r="BD39" i="4"/>
  <c r="BC39" i="4"/>
  <c r="BB39" i="4"/>
  <c r="BH38" i="4"/>
  <c r="BG38" i="4"/>
  <c r="BF38" i="4"/>
  <c r="BE38" i="4"/>
  <c r="BD38" i="4"/>
  <c r="BC38" i="4"/>
  <c r="BB38" i="4"/>
  <c r="BH37" i="4"/>
  <c r="BG37" i="4"/>
  <c r="BF37" i="4"/>
  <c r="BE37" i="4"/>
  <c r="BD37" i="4"/>
  <c r="BC37" i="4"/>
  <c r="BB37" i="4"/>
  <c r="BH36" i="4"/>
  <c r="BG36" i="4"/>
  <c r="BF36" i="4"/>
  <c r="BE36" i="4"/>
  <c r="BD36" i="4"/>
  <c r="BC36" i="4"/>
  <c r="BB36" i="4"/>
  <c r="BH35" i="4"/>
  <c r="BG35" i="4"/>
  <c r="BF35" i="4"/>
  <c r="BE35" i="4"/>
  <c r="BD35" i="4"/>
  <c r="BC35" i="4"/>
  <c r="BB35" i="4"/>
  <c r="BH34" i="4"/>
  <c r="BG34" i="4"/>
  <c r="BF34" i="4"/>
  <c r="BE34" i="4"/>
  <c r="BD34" i="4"/>
  <c r="BC34" i="4"/>
  <c r="BB34" i="4"/>
  <c r="BH33" i="4"/>
  <c r="BG33" i="4"/>
  <c r="BF33" i="4"/>
  <c r="BE33" i="4"/>
  <c r="BD33" i="4"/>
  <c r="BC33" i="4"/>
  <c r="BB33" i="4"/>
  <c r="BH32" i="4"/>
  <c r="BG32" i="4"/>
  <c r="BF32" i="4"/>
  <c r="BE32" i="4"/>
  <c r="BD32" i="4"/>
  <c r="BC32" i="4"/>
  <c r="BB32" i="4"/>
  <c r="BH31" i="4"/>
  <c r="BG31" i="4"/>
  <c r="BF31" i="4"/>
  <c r="BE31" i="4"/>
  <c r="BD31" i="4"/>
  <c r="BC31" i="4"/>
  <c r="BB31" i="4"/>
  <c r="BH30" i="4"/>
  <c r="BG30" i="4"/>
  <c r="BF30" i="4"/>
  <c r="BE30" i="4"/>
  <c r="BD30" i="4"/>
  <c r="BC30" i="4"/>
  <c r="BB30" i="4"/>
  <c r="BH29" i="4"/>
  <c r="BG29" i="4"/>
  <c r="BF29" i="4"/>
  <c r="BE29" i="4"/>
  <c r="BD29" i="4"/>
  <c r="BC29" i="4"/>
  <c r="BB29" i="4"/>
  <c r="BH28" i="4"/>
  <c r="BG28" i="4"/>
  <c r="BF28" i="4"/>
  <c r="BE28" i="4"/>
  <c r="BD28" i="4"/>
  <c r="BC28" i="4"/>
  <c r="BB28" i="4"/>
  <c r="BH27" i="4"/>
  <c r="BG27" i="4"/>
  <c r="BF27" i="4"/>
  <c r="BE27" i="4"/>
  <c r="BD27" i="4"/>
  <c r="BC27" i="4"/>
  <c r="BB27" i="4"/>
  <c r="BH26" i="4"/>
  <c r="BG26" i="4"/>
  <c r="BF26" i="4"/>
  <c r="BE26" i="4"/>
  <c r="BD26" i="4"/>
  <c r="BC26" i="4"/>
  <c r="BB26" i="4"/>
  <c r="BH25" i="4"/>
  <c r="BG25" i="4"/>
  <c r="BF25" i="4"/>
  <c r="BE25" i="4"/>
  <c r="BD25" i="4"/>
  <c r="BC25" i="4"/>
  <c r="BB25" i="4"/>
  <c r="BH24" i="4"/>
  <c r="BG24" i="4"/>
  <c r="BF24" i="4"/>
  <c r="BE24" i="4"/>
  <c r="BD24" i="4"/>
  <c r="BC24" i="4"/>
  <c r="BB24" i="4"/>
  <c r="BH23" i="4"/>
  <c r="BG23" i="4"/>
  <c r="BF23" i="4"/>
  <c r="BE23" i="4"/>
  <c r="BD23" i="4"/>
  <c r="BC23" i="4"/>
  <c r="BB23" i="4"/>
  <c r="BH22" i="4"/>
  <c r="BG22" i="4"/>
  <c r="BF22" i="4"/>
  <c r="BE22" i="4"/>
  <c r="BD22" i="4"/>
  <c r="BC22" i="4"/>
  <c r="BB22" i="4"/>
  <c r="BH21" i="4"/>
  <c r="BG21" i="4"/>
  <c r="BF21" i="4"/>
  <c r="BE21" i="4"/>
  <c r="BD21" i="4"/>
  <c r="BC21" i="4"/>
  <c r="BB21" i="4"/>
  <c r="BH20" i="4"/>
  <c r="BG20" i="4"/>
  <c r="BF20" i="4"/>
  <c r="BE20" i="4"/>
  <c r="BD20" i="4"/>
  <c r="BC20" i="4"/>
  <c r="BB20" i="4"/>
  <c r="BH19" i="4"/>
  <c r="BG19" i="4"/>
  <c r="BF19" i="4"/>
  <c r="BE19" i="4"/>
  <c r="BD19" i="4"/>
  <c r="BC19" i="4"/>
  <c r="BB19" i="4"/>
  <c r="BH18" i="4"/>
  <c r="BG18" i="4"/>
  <c r="BF18" i="4"/>
  <c r="BE18" i="4"/>
  <c r="BD18" i="4"/>
  <c r="BC18" i="4"/>
  <c r="BB18" i="4"/>
  <c r="BH17" i="4"/>
  <c r="BG17" i="4"/>
  <c r="BF17" i="4"/>
  <c r="BE17" i="4"/>
  <c r="BD17" i="4"/>
  <c r="BC17" i="4"/>
  <c r="BB17" i="4"/>
  <c r="BH16" i="4"/>
  <c r="BG16" i="4"/>
  <c r="BF16" i="4"/>
  <c r="BE16" i="4"/>
  <c r="BD16" i="4"/>
  <c r="BC16" i="4"/>
  <c r="BB16" i="4"/>
  <c r="BH15" i="4"/>
  <c r="BG15" i="4"/>
  <c r="BF15" i="4"/>
  <c r="BE15" i="4"/>
  <c r="BD15" i="4"/>
  <c r="BC15" i="4"/>
  <c r="BB15" i="4"/>
  <c r="BH14" i="4"/>
  <c r="BG14" i="4"/>
  <c r="BF14" i="4"/>
  <c r="BE14" i="4"/>
  <c r="BD14" i="4"/>
  <c r="BC14" i="4"/>
  <c r="BB14" i="4"/>
  <c r="BH13" i="4"/>
  <c r="BG13" i="4"/>
  <c r="BF13" i="4"/>
  <c r="BE13" i="4"/>
  <c r="BD13" i="4"/>
  <c r="BC13" i="4"/>
  <c r="BB13" i="4"/>
  <c r="BH12" i="4"/>
  <c r="BG12" i="4"/>
  <c r="BF12" i="4"/>
  <c r="BE12" i="4"/>
  <c r="BD12" i="4"/>
  <c r="BC12" i="4"/>
  <c r="BB12" i="4"/>
  <c r="BH11" i="4"/>
  <c r="BG11" i="4"/>
  <c r="BF11" i="4"/>
  <c r="BE11" i="4"/>
  <c r="BD11" i="4"/>
  <c r="BC11" i="4"/>
  <c r="BB11" i="4"/>
  <c r="BH10" i="4"/>
  <c r="BG10" i="4"/>
  <c r="BF10" i="4"/>
  <c r="BE10" i="4"/>
  <c r="BD10" i="4"/>
  <c r="BC10" i="4"/>
  <c r="BB10" i="4"/>
  <c r="BH9" i="4"/>
  <c r="BG9" i="4"/>
  <c r="BF9" i="4"/>
  <c r="BE9" i="4"/>
  <c r="BD9" i="4"/>
  <c r="BC9" i="4"/>
  <c r="BB9" i="4"/>
  <c r="BH8" i="4"/>
  <c r="BG8" i="4"/>
  <c r="BF8" i="4"/>
  <c r="BE8" i="4"/>
  <c r="BD8" i="4"/>
  <c r="BC8" i="4"/>
  <c r="BB8" i="4"/>
  <c r="BH7" i="4"/>
  <c r="BG7" i="4"/>
  <c r="BF7" i="4"/>
  <c r="BE7" i="4"/>
  <c r="BD7" i="4"/>
  <c r="BC7" i="4"/>
  <c r="BB7" i="4"/>
  <c r="BH6" i="4"/>
  <c r="BG6" i="4"/>
  <c r="BF6" i="4"/>
  <c r="BE6" i="4"/>
  <c r="BD6" i="4"/>
  <c r="BC6" i="4"/>
  <c r="BB6" i="4"/>
  <c r="BH5" i="4"/>
  <c r="BG5" i="4"/>
  <c r="BF5" i="4"/>
  <c r="BE5" i="4"/>
  <c r="BD5" i="4"/>
  <c r="BC5" i="4"/>
  <c r="BB5" i="4"/>
  <c r="BH4" i="4"/>
  <c r="BG4" i="4"/>
  <c r="BF4" i="4"/>
  <c r="BE4" i="4"/>
  <c r="BD4" i="4"/>
  <c r="BC4" i="4"/>
  <c r="BB4" i="4"/>
  <c r="BC52" i="4"/>
  <c r="BD52" i="4"/>
  <c r="BE52" i="4"/>
  <c r="BF52" i="4"/>
  <c r="BG52" i="4"/>
  <c r="BH52" i="4"/>
  <c r="BB52" i="4"/>
  <c r="AY51" i="4"/>
  <c r="AX51" i="4"/>
  <c r="AW51" i="4"/>
  <c r="AV51" i="4"/>
  <c r="AU51" i="4"/>
  <c r="AT51" i="4"/>
  <c r="AS51" i="4"/>
  <c r="AY50" i="4"/>
  <c r="AX50" i="4"/>
  <c r="AW50" i="4"/>
  <c r="AV50" i="4"/>
  <c r="AU50" i="4"/>
  <c r="AT50" i="4"/>
  <c r="AS50" i="4"/>
  <c r="AY49" i="4"/>
  <c r="AX49" i="4"/>
  <c r="AW49" i="4"/>
  <c r="AV49" i="4"/>
  <c r="AU49" i="4"/>
  <c r="AT49" i="4"/>
  <c r="AS49" i="4"/>
  <c r="AY48" i="4"/>
  <c r="AX48" i="4"/>
  <c r="AW48" i="4"/>
  <c r="AV48" i="4"/>
  <c r="AU48" i="4"/>
  <c r="AT48" i="4"/>
  <c r="AS48" i="4"/>
  <c r="AY47" i="4"/>
  <c r="AX47" i="4"/>
  <c r="AW47" i="4"/>
  <c r="AV47" i="4"/>
  <c r="AU47" i="4"/>
  <c r="AT47" i="4"/>
  <c r="AS47" i="4"/>
  <c r="AY46" i="4"/>
  <c r="AX46" i="4"/>
  <c r="AW46" i="4"/>
  <c r="AV46" i="4"/>
  <c r="AU46" i="4"/>
  <c r="AT46" i="4"/>
  <c r="AS46" i="4"/>
  <c r="AY45" i="4"/>
  <c r="AX45" i="4"/>
  <c r="AW45" i="4"/>
  <c r="AV45" i="4"/>
  <c r="AU45" i="4"/>
  <c r="AT45" i="4"/>
  <c r="AS45" i="4"/>
  <c r="AY44" i="4"/>
  <c r="AX44" i="4"/>
  <c r="AW44" i="4"/>
  <c r="AV44" i="4"/>
  <c r="AU44" i="4"/>
  <c r="AT44" i="4"/>
  <c r="AS44" i="4"/>
  <c r="AY43" i="4"/>
  <c r="AX43" i="4"/>
  <c r="AW43" i="4"/>
  <c r="AV43" i="4"/>
  <c r="AU43" i="4"/>
  <c r="AT43" i="4"/>
  <c r="AS43" i="4"/>
  <c r="AY42" i="4"/>
  <c r="AX42" i="4"/>
  <c r="AW42" i="4"/>
  <c r="AV42" i="4"/>
  <c r="AU42" i="4"/>
  <c r="AT42" i="4"/>
  <c r="AS42" i="4"/>
  <c r="AY41" i="4"/>
  <c r="AX41" i="4"/>
  <c r="AW41" i="4"/>
  <c r="AV41" i="4"/>
  <c r="AU41" i="4"/>
  <c r="AT41" i="4"/>
  <c r="AS41" i="4"/>
  <c r="AY40" i="4"/>
  <c r="AX40" i="4"/>
  <c r="AW40" i="4"/>
  <c r="AV40" i="4"/>
  <c r="AU40" i="4"/>
  <c r="AT40" i="4"/>
  <c r="AS40" i="4"/>
  <c r="AY39" i="4"/>
  <c r="AX39" i="4"/>
  <c r="AW39" i="4"/>
  <c r="AV39" i="4"/>
  <c r="AU39" i="4"/>
  <c r="AT39" i="4"/>
  <c r="AS39" i="4"/>
  <c r="AY38" i="4"/>
  <c r="AX38" i="4"/>
  <c r="AW38" i="4"/>
  <c r="AV38" i="4"/>
  <c r="AU38" i="4"/>
  <c r="AT38" i="4"/>
  <c r="AS38" i="4"/>
  <c r="AY37" i="4"/>
  <c r="AX37" i="4"/>
  <c r="AW37" i="4"/>
  <c r="AV37" i="4"/>
  <c r="AU37" i="4"/>
  <c r="AT37" i="4"/>
  <c r="AS37" i="4"/>
  <c r="AY36" i="4"/>
  <c r="AX36" i="4"/>
  <c r="AW36" i="4"/>
  <c r="AV36" i="4"/>
  <c r="AU36" i="4"/>
  <c r="AT36" i="4"/>
  <c r="AS36" i="4"/>
  <c r="AY35" i="4"/>
  <c r="AX35" i="4"/>
  <c r="AW35" i="4"/>
  <c r="AV35" i="4"/>
  <c r="AU35" i="4"/>
  <c r="AT35" i="4"/>
  <c r="AS35" i="4"/>
  <c r="AY34" i="4"/>
  <c r="AX34" i="4"/>
  <c r="AW34" i="4"/>
  <c r="AV34" i="4"/>
  <c r="AU34" i="4"/>
  <c r="AT34" i="4"/>
  <c r="AS34" i="4"/>
  <c r="AY33" i="4"/>
  <c r="AX33" i="4"/>
  <c r="AW33" i="4"/>
  <c r="AV33" i="4"/>
  <c r="AU33" i="4"/>
  <c r="AT33" i="4"/>
  <c r="AS33" i="4"/>
  <c r="AY32" i="4"/>
  <c r="AX32" i="4"/>
  <c r="AW32" i="4"/>
  <c r="AV32" i="4"/>
  <c r="AU32" i="4"/>
  <c r="AT32" i="4"/>
  <c r="AS32" i="4"/>
  <c r="AY31" i="4"/>
  <c r="AX31" i="4"/>
  <c r="AW31" i="4"/>
  <c r="AV31" i="4"/>
  <c r="AU31" i="4"/>
  <c r="AT31" i="4"/>
  <c r="AS31" i="4"/>
  <c r="AY30" i="4"/>
  <c r="AX30" i="4"/>
  <c r="AW30" i="4"/>
  <c r="AV30" i="4"/>
  <c r="AU30" i="4"/>
  <c r="AT30" i="4"/>
  <c r="AS30" i="4"/>
  <c r="AY29" i="4"/>
  <c r="AX29" i="4"/>
  <c r="AW29" i="4"/>
  <c r="AV29" i="4"/>
  <c r="AU29" i="4"/>
  <c r="AT29" i="4"/>
  <c r="AS29" i="4"/>
  <c r="AY28" i="4"/>
  <c r="AX28" i="4"/>
  <c r="AW28" i="4"/>
  <c r="AV28" i="4"/>
  <c r="AU28" i="4"/>
  <c r="AT28" i="4"/>
  <c r="AS28" i="4"/>
  <c r="AY27" i="4"/>
  <c r="AX27" i="4"/>
  <c r="AW27" i="4"/>
  <c r="AV27" i="4"/>
  <c r="AU27" i="4"/>
  <c r="AT27" i="4"/>
  <c r="AS27" i="4"/>
  <c r="AY26" i="4"/>
  <c r="AX26" i="4"/>
  <c r="AW26" i="4"/>
  <c r="AV26" i="4"/>
  <c r="AU26" i="4"/>
  <c r="AT26" i="4"/>
  <c r="AS26" i="4"/>
  <c r="AY25" i="4"/>
  <c r="AX25" i="4"/>
  <c r="AW25" i="4"/>
  <c r="AV25" i="4"/>
  <c r="AU25" i="4"/>
  <c r="AT25" i="4"/>
  <c r="AS25" i="4"/>
  <c r="AY24" i="4"/>
  <c r="AX24" i="4"/>
  <c r="AW24" i="4"/>
  <c r="AV24" i="4"/>
  <c r="AU24" i="4"/>
  <c r="AT24" i="4"/>
  <c r="AS24" i="4"/>
  <c r="AY23" i="4"/>
  <c r="AX23" i="4"/>
  <c r="AW23" i="4"/>
  <c r="AV23" i="4"/>
  <c r="AU23" i="4"/>
  <c r="AT23" i="4"/>
  <c r="AS23" i="4"/>
  <c r="AY22" i="4"/>
  <c r="AX22" i="4"/>
  <c r="AW22" i="4"/>
  <c r="AV22" i="4"/>
  <c r="AU22" i="4"/>
  <c r="AT22" i="4"/>
  <c r="AS22" i="4"/>
  <c r="AY21" i="4"/>
  <c r="AX21" i="4"/>
  <c r="AW21" i="4"/>
  <c r="AV21" i="4"/>
  <c r="AU21" i="4"/>
  <c r="AT21" i="4"/>
  <c r="AS21" i="4"/>
  <c r="AY20" i="4"/>
  <c r="AX20" i="4"/>
  <c r="AW20" i="4"/>
  <c r="AV20" i="4"/>
  <c r="AU20" i="4"/>
  <c r="AT20" i="4"/>
  <c r="AS20" i="4"/>
  <c r="AY19" i="4"/>
  <c r="AX19" i="4"/>
  <c r="AW19" i="4"/>
  <c r="AV19" i="4"/>
  <c r="AU19" i="4"/>
  <c r="AT19" i="4"/>
  <c r="AS19" i="4"/>
  <c r="AY18" i="4"/>
  <c r="AX18" i="4"/>
  <c r="AW18" i="4"/>
  <c r="AV18" i="4"/>
  <c r="AU18" i="4"/>
  <c r="AT18" i="4"/>
  <c r="AS18" i="4"/>
  <c r="AY17" i="4"/>
  <c r="AX17" i="4"/>
  <c r="AW17" i="4"/>
  <c r="AV17" i="4"/>
  <c r="AU17" i="4"/>
  <c r="AT17" i="4"/>
  <c r="AS17" i="4"/>
  <c r="AY16" i="4"/>
  <c r="AX16" i="4"/>
  <c r="AW16" i="4"/>
  <c r="AV16" i="4"/>
  <c r="AU16" i="4"/>
  <c r="AT16" i="4"/>
  <c r="AS16" i="4"/>
  <c r="AY15" i="4"/>
  <c r="AX15" i="4"/>
  <c r="AW15" i="4"/>
  <c r="AV15" i="4"/>
  <c r="AU15" i="4"/>
  <c r="AT15" i="4"/>
  <c r="AS15" i="4"/>
  <c r="AY14" i="4"/>
  <c r="AX14" i="4"/>
  <c r="AW14" i="4"/>
  <c r="AV14" i="4"/>
  <c r="AU14" i="4"/>
  <c r="AT14" i="4"/>
  <c r="AS14" i="4"/>
  <c r="AY13" i="4"/>
  <c r="AX13" i="4"/>
  <c r="AW13" i="4"/>
  <c r="AV13" i="4"/>
  <c r="AU13" i="4"/>
  <c r="AT13" i="4"/>
  <c r="AS13" i="4"/>
  <c r="AY12" i="4"/>
  <c r="AX12" i="4"/>
  <c r="AW12" i="4"/>
  <c r="AV12" i="4"/>
  <c r="AU12" i="4"/>
  <c r="AT12" i="4"/>
  <c r="AS12" i="4"/>
  <c r="AY11" i="4"/>
  <c r="AX11" i="4"/>
  <c r="AW11" i="4"/>
  <c r="AV11" i="4"/>
  <c r="AU11" i="4"/>
  <c r="AT11" i="4"/>
  <c r="AS11" i="4"/>
  <c r="AY10" i="4"/>
  <c r="AX10" i="4"/>
  <c r="AW10" i="4"/>
  <c r="AV10" i="4"/>
  <c r="AU10" i="4"/>
  <c r="AT10" i="4"/>
  <c r="AS10" i="4"/>
  <c r="AY9" i="4"/>
  <c r="AX9" i="4"/>
  <c r="AW9" i="4"/>
  <c r="AV9" i="4"/>
  <c r="AU9" i="4"/>
  <c r="AT9" i="4"/>
  <c r="AS9" i="4"/>
  <c r="AY8" i="4"/>
  <c r="AX8" i="4"/>
  <c r="AW8" i="4"/>
  <c r="AV8" i="4"/>
  <c r="AU8" i="4"/>
  <c r="AT8" i="4"/>
  <c r="AS8" i="4"/>
  <c r="AY7" i="4"/>
  <c r="AX7" i="4"/>
  <c r="AW7" i="4"/>
  <c r="AV7" i="4"/>
  <c r="AU7" i="4"/>
  <c r="AT7" i="4"/>
  <c r="AS7" i="4"/>
  <c r="AY6" i="4"/>
  <c r="AX6" i="4"/>
  <c r="AW6" i="4"/>
  <c r="AV6" i="4"/>
  <c r="AU6" i="4"/>
  <c r="AT6" i="4"/>
  <c r="AS6" i="4"/>
  <c r="AY5" i="4"/>
  <c r="AX5" i="4"/>
  <c r="AW5" i="4"/>
  <c r="AV5" i="4"/>
  <c r="AU5" i="4"/>
  <c r="AT5" i="4"/>
  <c r="AS5" i="4"/>
  <c r="AY4" i="4"/>
  <c r="AX4" i="4"/>
  <c r="AW4" i="4"/>
  <c r="AV4" i="4"/>
  <c r="AU4" i="4"/>
  <c r="AT4" i="4"/>
  <c r="AS4" i="4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/>
  <c r="V53" i="4" a="1"/>
  <c r="V53" i="4" s="1"/>
  <c r="W53" i="4" a="1"/>
  <c r="W53" i="4" s="1"/>
  <c r="X53" i="4" a="1"/>
  <c r="X53" i="4" s="1"/>
  <c r="Y53" i="4" a="1"/>
  <c r="Y53" i="4"/>
  <c r="Z53" i="4" a="1"/>
  <c r="Z53" i="4" s="1"/>
  <c r="AA53" i="4" a="1"/>
  <c r="AA53" i="4" s="1"/>
  <c r="AB53" i="4" a="1"/>
  <c r="AB53" i="4" s="1"/>
  <c r="AC53" i="4" a="1"/>
  <c r="AC53" i="4"/>
  <c r="AD53" i="4" a="1"/>
  <c r="AD53" i="4" s="1"/>
  <c r="AE53" i="4" a="1"/>
  <c r="AE53" i="4" s="1"/>
  <c r="AF53" i="4" a="1"/>
  <c r="AF53" i="4" s="1"/>
  <c r="AG53" i="4" a="1"/>
  <c r="AG53" i="4"/>
  <c r="AP51" i="4"/>
  <c r="AO51" i="4"/>
  <c r="AN51" i="4"/>
  <c r="AM51" i="4"/>
  <c r="AL51" i="4"/>
  <c r="AK51" i="4"/>
  <c r="AJ51" i="4"/>
  <c r="AP50" i="4"/>
  <c r="AO50" i="4"/>
  <c r="AN50" i="4"/>
  <c r="AM50" i="4"/>
  <c r="AL50" i="4"/>
  <c r="AK50" i="4"/>
  <c r="AJ50" i="4"/>
  <c r="AP49" i="4"/>
  <c r="AO49" i="4"/>
  <c r="AN49" i="4"/>
  <c r="AM49" i="4"/>
  <c r="AL49" i="4"/>
  <c r="AK49" i="4"/>
  <c r="AJ49" i="4"/>
  <c r="AP48" i="4"/>
  <c r="AO48" i="4"/>
  <c r="AN48" i="4"/>
  <c r="AM48" i="4"/>
  <c r="AL48" i="4"/>
  <c r="AK48" i="4"/>
  <c r="AJ48" i="4"/>
  <c r="AP47" i="4"/>
  <c r="AO47" i="4"/>
  <c r="AN47" i="4"/>
  <c r="AM47" i="4"/>
  <c r="AL47" i="4"/>
  <c r="AK47" i="4"/>
  <c r="AJ47" i="4"/>
  <c r="AP46" i="4"/>
  <c r="AO46" i="4"/>
  <c r="AN46" i="4"/>
  <c r="AM46" i="4"/>
  <c r="AL46" i="4"/>
  <c r="AK46" i="4"/>
  <c r="AJ46" i="4"/>
  <c r="AP45" i="4"/>
  <c r="AO45" i="4"/>
  <c r="AN45" i="4"/>
  <c r="AM45" i="4"/>
  <c r="AL45" i="4"/>
  <c r="AK45" i="4"/>
  <c r="AJ45" i="4"/>
  <c r="AP44" i="4"/>
  <c r="AO44" i="4"/>
  <c r="AN44" i="4"/>
  <c r="AM44" i="4"/>
  <c r="AL44" i="4"/>
  <c r="AK44" i="4"/>
  <c r="AJ44" i="4"/>
  <c r="AP43" i="4"/>
  <c r="AO43" i="4"/>
  <c r="AN43" i="4"/>
  <c r="AM43" i="4"/>
  <c r="AL43" i="4"/>
  <c r="AK43" i="4"/>
  <c r="AJ43" i="4"/>
  <c r="AP42" i="4"/>
  <c r="AO42" i="4"/>
  <c r="AN42" i="4"/>
  <c r="AM42" i="4"/>
  <c r="AL42" i="4"/>
  <c r="AK42" i="4"/>
  <c r="AJ42" i="4"/>
  <c r="AP41" i="4"/>
  <c r="AO41" i="4"/>
  <c r="AN41" i="4"/>
  <c r="AM41" i="4"/>
  <c r="AL41" i="4"/>
  <c r="AK41" i="4"/>
  <c r="AJ41" i="4"/>
  <c r="AP40" i="4"/>
  <c r="AO40" i="4"/>
  <c r="AN40" i="4"/>
  <c r="AM40" i="4"/>
  <c r="AL40" i="4"/>
  <c r="AK40" i="4"/>
  <c r="AJ40" i="4"/>
  <c r="AP39" i="4"/>
  <c r="AO39" i="4"/>
  <c r="AN39" i="4"/>
  <c r="AM39" i="4"/>
  <c r="AL39" i="4"/>
  <c r="AK39" i="4"/>
  <c r="AJ39" i="4"/>
  <c r="AP38" i="4"/>
  <c r="AO38" i="4"/>
  <c r="AN38" i="4"/>
  <c r="AM38" i="4"/>
  <c r="AL38" i="4"/>
  <c r="AK38" i="4"/>
  <c r="AJ38" i="4"/>
  <c r="AP37" i="4"/>
  <c r="AO37" i="4"/>
  <c r="AN37" i="4"/>
  <c r="AM37" i="4"/>
  <c r="AL37" i="4"/>
  <c r="AK37" i="4"/>
  <c r="AJ37" i="4"/>
  <c r="AP36" i="4"/>
  <c r="AO36" i="4"/>
  <c r="AN36" i="4"/>
  <c r="AM36" i="4"/>
  <c r="AL36" i="4"/>
  <c r="AK36" i="4"/>
  <c r="AJ36" i="4"/>
  <c r="AP35" i="4"/>
  <c r="AO35" i="4"/>
  <c r="AN35" i="4"/>
  <c r="AM35" i="4"/>
  <c r="AL35" i="4"/>
  <c r="AK35" i="4"/>
  <c r="AJ35" i="4"/>
  <c r="AP34" i="4"/>
  <c r="AO34" i="4"/>
  <c r="AN34" i="4"/>
  <c r="AM34" i="4"/>
  <c r="AL34" i="4"/>
  <c r="AK34" i="4"/>
  <c r="AJ34" i="4"/>
  <c r="AP33" i="4"/>
  <c r="AO33" i="4"/>
  <c r="AN33" i="4"/>
  <c r="AM33" i="4"/>
  <c r="AL33" i="4"/>
  <c r="AK33" i="4"/>
  <c r="AJ33" i="4"/>
  <c r="AP32" i="4"/>
  <c r="AO32" i="4"/>
  <c r="AN32" i="4"/>
  <c r="AM32" i="4"/>
  <c r="AL32" i="4"/>
  <c r="AK32" i="4"/>
  <c r="AJ32" i="4"/>
  <c r="AP31" i="4"/>
  <c r="AO31" i="4"/>
  <c r="AN31" i="4"/>
  <c r="AM31" i="4"/>
  <c r="AL31" i="4"/>
  <c r="AK31" i="4"/>
  <c r="AJ31" i="4"/>
  <c r="AP30" i="4"/>
  <c r="AO30" i="4"/>
  <c r="AN30" i="4"/>
  <c r="AM30" i="4"/>
  <c r="AL30" i="4"/>
  <c r="AK30" i="4"/>
  <c r="AJ30" i="4"/>
  <c r="AP29" i="4"/>
  <c r="AO29" i="4"/>
  <c r="AN29" i="4"/>
  <c r="AM29" i="4"/>
  <c r="AL29" i="4"/>
  <c r="AK29" i="4"/>
  <c r="AJ29" i="4"/>
  <c r="AP28" i="4"/>
  <c r="AO28" i="4"/>
  <c r="AN28" i="4"/>
  <c r="AM28" i="4"/>
  <c r="AL28" i="4"/>
  <c r="AK28" i="4"/>
  <c r="AJ28" i="4"/>
  <c r="AP27" i="4"/>
  <c r="AO27" i="4"/>
  <c r="AN27" i="4"/>
  <c r="AM27" i="4"/>
  <c r="AL27" i="4"/>
  <c r="AK27" i="4"/>
  <c r="AJ27" i="4"/>
  <c r="AP26" i="4"/>
  <c r="AO26" i="4"/>
  <c r="AN26" i="4"/>
  <c r="AM26" i="4"/>
  <c r="AL26" i="4"/>
  <c r="AK26" i="4"/>
  <c r="AJ26" i="4"/>
  <c r="AP25" i="4"/>
  <c r="AO25" i="4"/>
  <c r="AN25" i="4"/>
  <c r="AM25" i="4"/>
  <c r="AL25" i="4"/>
  <c r="AK25" i="4"/>
  <c r="AJ25" i="4"/>
  <c r="AP24" i="4"/>
  <c r="AO24" i="4"/>
  <c r="AN24" i="4"/>
  <c r="AM24" i="4"/>
  <c r="AL24" i="4"/>
  <c r="AK24" i="4"/>
  <c r="AJ24" i="4"/>
  <c r="AP23" i="4"/>
  <c r="AO23" i="4"/>
  <c r="AN23" i="4"/>
  <c r="AM23" i="4"/>
  <c r="AL23" i="4"/>
  <c r="AK23" i="4"/>
  <c r="AJ23" i="4"/>
  <c r="AP22" i="4"/>
  <c r="AO22" i="4"/>
  <c r="AN22" i="4"/>
  <c r="AM22" i="4"/>
  <c r="AL22" i="4"/>
  <c r="AK22" i="4"/>
  <c r="AJ22" i="4"/>
  <c r="AP21" i="4"/>
  <c r="AO21" i="4"/>
  <c r="AN21" i="4"/>
  <c r="AM21" i="4"/>
  <c r="AL21" i="4"/>
  <c r="AK21" i="4"/>
  <c r="AJ21" i="4"/>
  <c r="AP20" i="4"/>
  <c r="AO20" i="4"/>
  <c r="AN20" i="4"/>
  <c r="AM20" i="4"/>
  <c r="AL20" i="4"/>
  <c r="AK20" i="4"/>
  <c r="AJ20" i="4"/>
  <c r="AP19" i="4"/>
  <c r="AO19" i="4"/>
  <c r="AN19" i="4"/>
  <c r="AM19" i="4"/>
  <c r="AL19" i="4"/>
  <c r="AK19" i="4"/>
  <c r="AJ19" i="4"/>
  <c r="AP18" i="4"/>
  <c r="AO18" i="4"/>
  <c r="AN18" i="4"/>
  <c r="AM18" i="4"/>
  <c r="AL18" i="4"/>
  <c r="AK18" i="4"/>
  <c r="AJ18" i="4"/>
  <c r="AP17" i="4"/>
  <c r="AO17" i="4"/>
  <c r="AN17" i="4"/>
  <c r="AM17" i="4"/>
  <c r="AL17" i="4"/>
  <c r="AK17" i="4"/>
  <c r="AJ17" i="4"/>
  <c r="AP16" i="4"/>
  <c r="AO16" i="4"/>
  <c r="AN16" i="4"/>
  <c r="AM16" i="4"/>
  <c r="AL16" i="4"/>
  <c r="AK16" i="4"/>
  <c r="AJ16" i="4"/>
  <c r="AP15" i="4"/>
  <c r="AO15" i="4"/>
  <c r="AN15" i="4"/>
  <c r="AM15" i="4"/>
  <c r="AL15" i="4"/>
  <c r="AK15" i="4"/>
  <c r="AJ15" i="4"/>
  <c r="AP14" i="4"/>
  <c r="AO14" i="4"/>
  <c r="AN14" i="4"/>
  <c r="AM14" i="4"/>
  <c r="AL14" i="4"/>
  <c r="AK14" i="4"/>
  <c r="AJ14" i="4"/>
  <c r="AP13" i="4"/>
  <c r="AO13" i="4"/>
  <c r="AN13" i="4"/>
  <c r="AM13" i="4"/>
  <c r="AL13" i="4"/>
  <c r="AK13" i="4"/>
  <c r="AJ13" i="4"/>
  <c r="AP12" i="4"/>
  <c r="AO12" i="4"/>
  <c r="AN12" i="4"/>
  <c r="AM12" i="4"/>
  <c r="AL12" i="4"/>
  <c r="AK12" i="4"/>
  <c r="AJ12" i="4"/>
  <c r="AP11" i="4"/>
  <c r="AO11" i="4"/>
  <c r="AN11" i="4"/>
  <c r="AM11" i="4"/>
  <c r="AL11" i="4"/>
  <c r="AK11" i="4"/>
  <c r="AJ11" i="4"/>
  <c r="AP10" i="4"/>
  <c r="AO10" i="4"/>
  <c r="AN10" i="4"/>
  <c r="AM10" i="4"/>
  <c r="AL10" i="4"/>
  <c r="AK10" i="4"/>
  <c r="AJ10" i="4"/>
  <c r="AP9" i="4"/>
  <c r="AO9" i="4"/>
  <c r="AN9" i="4"/>
  <c r="AM9" i="4"/>
  <c r="AL9" i="4"/>
  <c r="AK9" i="4"/>
  <c r="AJ9" i="4"/>
  <c r="AP8" i="4"/>
  <c r="AO8" i="4"/>
  <c r="AN8" i="4"/>
  <c r="AM8" i="4"/>
  <c r="AL8" i="4"/>
  <c r="AK8" i="4"/>
  <c r="AJ8" i="4"/>
  <c r="AP7" i="4"/>
  <c r="AO7" i="4"/>
  <c r="AN7" i="4"/>
  <c r="AM7" i="4"/>
  <c r="AL7" i="4"/>
  <c r="AK7" i="4"/>
  <c r="AJ7" i="4"/>
  <c r="AP6" i="4"/>
  <c r="AO6" i="4"/>
  <c r="AN6" i="4"/>
  <c r="AM6" i="4"/>
  <c r="AL6" i="4"/>
  <c r="AK6" i="4"/>
  <c r="AJ6" i="4"/>
  <c r="AP5" i="4"/>
  <c r="AO5" i="4"/>
  <c r="AN5" i="4"/>
  <c r="AM5" i="4"/>
  <c r="AL5" i="4"/>
  <c r="AK5" i="4"/>
  <c r="AJ5" i="4"/>
  <c r="AP4" i="4"/>
  <c r="AO4" i="4"/>
  <c r="AN4" i="4"/>
  <c r="AM4" i="4"/>
  <c r="AL4" i="4"/>
  <c r="AK4" i="4"/>
  <c r="AJ4" i="4"/>
  <c r="AJ4" i="1"/>
  <c r="AI59" i="4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R57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E6" i="4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A6" i="4"/>
  <c r="BA5" i="4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AR5" i="4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I5" i="4"/>
  <c r="AI6" i="4" s="1"/>
  <c r="A5" i="4"/>
  <c r="A4" i="4"/>
  <c r="AI60" i="3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R57" i="3"/>
  <c r="AL51" i="3"/>
  <c r="AJ51" i="3"/>
  <c r="AN51" i="3"/>
  <c r="AM51" i="3"/>
  <c r="AK51" i="3"/>
  <c r="AO50" i="3" s="1"/>
  <c r="AP50" i="3"/>
  <c r="AJ50" i="3"/>
  <c r="AM50" i="3"/>
  <c r="AP49" i="3" s="1"/>
  <c r="AK50" i="3"/>
  <c r="AL50" i="3"/>
  <c r="AL49" i="3"/>
  <c r="AJ49" i="3"/>
  <c r="AM49" i="3"/>
  <c r="AP48" i="3" s="1"/>
  <c r="AM48" i="3"/>
  <c r="AL48" i="3"/>
  <c r="AJ48" i="3"/>
  <c r="AK47" i="3"/>
  <c r="AJ47" i="3"/>
  <c r="AL46" i="3"/>
  <c r="AO46" i="3"/>
  <c r="AK46" i="3"/>
  <c r="AK45" i="3"/>
  <c r="AM45" i="3"/>
  <c r="AL45" i="3"/>
  <c r="AJ44" i="3"/>
  <c r="AM44" i="3"/>
  <c r="AK43" i="3"/>
  <c r="AM43" i="3"/>
  <c r="AL43" i="3"/>
  <c r="AJ43" i="3"/>
  <c r="AP42" i="3"/>
  <c r="AL42" i="3"/>
  <c r="AM42" i="3"/>
  <c r="AK42" i="3"/>
  <c r="AO42" i="3"/>
  <c r="AL41" i="3"/>
  <c r="AJ41" i="3"/>
  <c r="AM40" i="3"/>
  <c r="AK40" i="3"/>
  <c r="AL39" i="3"/>
  <c r="AM39" i="3"/>
  <c r="AJ39" i="3"/>
  <c r="AK39" i="3"/>
  <c r="AP38" i="3"/>
  <c r="AL38" i="3"/>
  <c r="AJ38" i="3"/>
  <c r="AM38" i="3"/>
  <c r="AM37" i="3"/>
  <c r="AK37" i="3"/>
  <c r="AL37" i="3"/>
  <c r="AJ37" i="3"/>
  <c r="AJ36" i="3"/>
  <c r="AM36" i="3"/>
  <c r="AK36" i="3"/>
  <c r="AP35" i="3"/>
  <c r="AL35" i="3"/>
  <c r="AL34" i="3"/>
  <c r="AJ34" i="3"/>
  <c r="AK34" i="3"/>
  <c r="AM34" i="3"/>
  <c r="AM33" i="3"/>
  <c r="AK33" i="3"/>
  <c r="AP32" i="3"/>
  <c r="AL32" i="3"/>
  <c r="AM32" i="3"/>
  <c r="AO32" i="3"/>
  <c r="AK32" i="3"/>
  <c r="AO31" i="3" s="1"/>
  <c r="AJ32" i="3"/>
  <c r="AL31" i="3"/>
  <c r="AM31" i="3"/>
  <c r="AK31" i="3"/>
  <c r="AM30" i="3"/>
  <c r="AL30" i="3"/>
  <c r="AJ29" i="3"/>
  <c r="AK29" i="3"/>
  <c r="AL28" i="3"/>
  <c r="AO28" i="3"/>
  <c r="AL27" i="3"/>
  <c r="AK27" i="3"/>
  <c r="AM27" i="3"/>
  <c r="AM26" i="3"/>
  <c r="AP25" i="3" s="1"/>
  <c r="AL26" i="3"/>
  <c r="AO26" i="3"/>
  <c r="AK26" i="3"/>
  <c r="AJ26" i="3"/>
  <c r="AO25" i="3"/>
  <c r="AM25" i="3"/>
  <c r="AK25" i="3"/>
  <c r="AJ24" i="3"/>
  <c r="AL24" i="3"/>
  <c r="AK24" i="3"/>
  <c r="AL23" i="3"/>
  <c r="AM23" i="3"/>
  <c r="AK23" i="3"/>
  <c r="A24" i="3"/>
  <c r="AJ23" i="3"/>
  <c r="AK22" i="3"/>
  <c r="AL22" i="3"/>
  <c r="AJ22" i="3"/>
  <c r="A23" i="3"/>
  <c r="AP22" i="3"/>
  <c r="AL21" i="3"/>
  <c r="AJ21" i="3"/>
  <c r="AM21" i="3"/>
  <c r="AP20" i="3" s="1"/>
  <c r="AK21" i="3"/>
  <c r="A22" i="3"/>
  <c r="AK20" i="3"/>
  <c r="AJ20" i="3"/>
  <c r="A21" i="3"/>
  <c r="AL20" i="3"/>
  <c r="AO19" i="3"/>
  <c r="AJ19" i="3"/>
  <c r="A20" i="3"/>
  <c r="AJ18" i="3"/>
  <c r="A19" i="3"/>
  <c r="AL18" i="3"/>
  <c r="AK18" i="3"/>
  <c r="AO17" i="3" s="1"/>
  <c r="A18" i="3"/>
  <c r="AJ17" i="3"/>
  <c r="AL16" i="3"/>
  <c r="AJ16" i="3"/>
  <c r="A17" i="3"/>
  <c r="AK16" i="3"/>
  <c r="AL15" i="3"/>
  <c r="AM15" i="3"/>
  <c r="AK15" i="3"/>
  <c r="A16" i="3"/>
  <c r="AJ15" i="3"/>
  <c r="AK14" i="3"/>
  <c r="AL14" i="3"/>
  <c r="AJ14" i="3"/>
  <c r="A15" i="3"/>
  <c r="AP14" i="3"/>
  <c r="AL13" i="3"/>
  <c r="AJ13" i="3"/>
  <c r="AM13" i="3"/>
  <c r="AP12" i="3" s="1"/>
  <c r="AK13" i="3"/>
  <c r="A14" i="3"/>
  <c r="AO12" i="3"/>
  <c r="AK12" i="3"/>
  <c r="AL12" i="3"/>
  <c r="AJ12" i="3"/>
  <c r="A13" i="3"/>
  <c r="AM12" i="3"/>
  <c r="AM11" i="3"/>
  <c r="AP11" i="3"/>
  <c r="A12" i="3"/>
  <c r="AL11" i="3"/>
  <c r="AK10" i="3"/>
  <c r="AP10" i="3"/>
  <c r="AL10" i="3"/>
  <c r="AJ10" i="3"/>
  <c r="A11" i="3"/>
  <c r="AM10" i="3"/>
  <c r="AP9" i="3" s="1"/>
  <c r="AM9" i="3"/>
  <c r="AP8" i="3" s="1"/>
  <c r="A10" i="3"/>
  <c r="AL9" i="3"/>
  <c r="AK8" i="3"/>
  <c r="AL8" i="3"/>
  <c r="AJ8" i="3"/>
  <c r="A9" i="3"/>
  <c r="AM8" i="3"/>
  <c r="AM7" i="3"/>
  <c r="AP7" i="3"/>
  <c r="A8" i="3"/>
  <c r="AL7" i="3"/>
  <c r="AM6" i="3"/>
  <c r="AK6" i="3"/>
  <c r="AP6" i="3"/>
  <c r="AL6" i="3"/>
  <c r="AJ6" i="3"/>
  <c r="A7" i="3"/>
  <c r="BA6" i="3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AI6" i="3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M5" i="3"/>
  <c r="AN5" i="3"/>
  <c r="AL5" i="3"/>
  <c r="E6" i="3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A6" i="3"/>
  <c r="BA5" i="3"/>
  <c r="AR5" i="3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K5" i="3"/>
  <c r="AI5" i="3"/>
  <c r="A5" i="3"/>
  <c r="AM4" i="3"/>
  <c r="AL4" i="3"/>
  <c r="A4" i="3"/>
  <c r="AI60" i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R57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A24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A23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A22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A21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A20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A19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A18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A17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A16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A15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A14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A13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A12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A11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A10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A9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A8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A7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A6" i="1"/>
  <c r="BA5" i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AR5" i="1"/>
  <c r="AR6" i="1" s="1"/>
  <c r="AR7" i="1" s="1"/>
  <c r="AR8" i="1" s="1"/>
  <c r="AR9" i="1" s="1"/>
  <c r="AR10" i="1" s="1"/>
  <c r="AR11" i="1" s="1"/>
  <c r="AR12" i="1" s="1"/>
  <c r="AR13" i="1" s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I5" i="1"/>
  <c r="AI6" i="1" s="1"/>
  <c r="AG5" i="1"/>
  <c r="AF5" i="1"/>
  <c r="AE5" i="1"/>
  <c r="AD5" i="1"/>
  <c r="AC5" i="1"/>
  <c r="AB5" i="1"/>
  <c r="Z5" i="1"/>
  <c r="Y5" i="1"/>
  <c r="X5" i="1"/>
  <c r="W5" i="1"/>
  <c r="V5" i="1"/>
  <c r="U5" i="1"/>
  <c r="S5" i="1"/>
  <c r="R5" i="1"/>
  <c r="Q5" i="1"/>
  <c r="P5" i="1"/>
  <c r="O5" i="1"/>
  <c r="N5" i="1"/>
  <c r="L5" i="1"/>
  <c r="K5" i="1"/>
  <c r="J5" i="1"/>
  <c r="I5" i="1"/>
  <c r="H5" i="1"/>
  <c r="G5" i="1"/>
  <c r="A5" i="1"/>
  <c r="A4" i="1"/>
  <c r="CI82" i="10" a="1"/>
  <c r="BQ135" i="10" a="1"/>
  <c r="CE110" i="10" a="1"/>
  <c r="BM163" i="10" a="1"/>
  <c r="BK161" i="10" a="1"/>
  <c r="CC108" i="10" a="1"/>
  <c r="CH105" i="10" a="1"/>
  <c r="BP158" i="10" a="1"/>
  <c r="CC81" i="10" a="1"/>
  <c r="BK134" i="10" a="1"/>
  <c r="CI71" i="10" a="1"/>
  <c r="BQ124" i="10" a="1"/>
  <c r="CF84" i="10" a="1"/>
  <c r="BN137" i="10" a="1"/>
  <c r="BN162" i="10" a="1"/>
  <c r="CF109" i="10" a="1"/>
  <c r="CG80" i="10" a="1"/>
  <c r="BO133" i="10" a="1"/>
  <c r="BN124" i="10" a="1"/>
  <c r="CF71" i="10" a="1"/>
  <c r="CI79" i="10" a="1"/>
  <c r="BQ132" i="10" a="1"/>
  <c r="CD110" i="10" a="1"/>
  <c r="BL163" i="10" a="1"/>
  <c r="BP160" i="10" a="1"/>
  <c r="CH107" i="10" a="1"/>
  <c r="BN158" i="10" a="1"/>
  <c r="CF105" i="10" a="1"/>
  <c r="CE83" i="10" a="1"/>
  <c r="BM136" i="10" a="1"/>
  <c r="CD74" i="10" a="1"/>
  <c r="BL127" i="10" a="1"/>
  <c r="CC109" i="10" a="1"/>
  <c r="BK162" i="10" a="1"/>
  <c r="CH106" i="10" a="1"/>
  <c r="BP159" i="10" a="1"/>
  <c r="CH104" i="10" a="1"/>
  <c r="BP157" i="10" a="1"/>
  <c r="CC103" i="10" a="1"/>
  <c r="BK156" i="10" a="1"/>
  <c r="CH100" i="10" a="1"/>
  <c r="BP153" i="10" a="1"/>
  <c r="CH98" i="10" a="1"/>
  <c r="BP151" i="10" a="1"/>
  <c r="CE97" i="10" a="1"/>
  <c r="BM150" i="10" a="1"/>
  <c r="BL149" i="10" a="1"/>
  <c r="CD96" i="10" a="1"/>
  <c r="BK148" i="10" a="1"/>
  <c r="CC95" i="10" a="1"/>
  <c r="CI93" i="10" a="1"/>
  <c r="BQ146" i="10" a="1"/>
  <c r="BP145" i="10" a="1"/>
  <c r="CH92" i="10" a="1"/>
  <c r="BO144" i="10" a="1"/>
  <c r="CG91" i="10" a="1"/>
  <c r="BN143" i="10" a="1"/>
  <c r="CF90" i="10" a="1"/>
  <c r="CE89" i="10" a="1"/>
  <c r="BM142" i="10" a="1"/>
  <c r="BL141" i="10" a="1"/>
  <c r="CD88" i="10" a="1"/>
  <c r="BQ138" i="10" a="1"/>
  <c r="CI85" i="10" a="1"/>
  <c r="BO136" i="10" a="1"/>
  <c r="CG83" i="10" a="1"/>
  <c r="CE81" i="10" a="1"/>
  <c r="BM134" i="10" a="1"/>
  <c r="BK132" i="10" a="1"/>
  <c r="CC79" i="10" a="1"/>
  <c r="BP129" i="10" a="1"/>
  <c r="CH76" i="10" a="1"/>
  <c r="BN127" i="10" a="1"/>
  <c r="CF74" i="10" a="1"/>
  <c r="CD72" i="10" a="1"/>
  <c r="BL125" i="10" a="1"/>
  <c r="BQ122" i="10" a="1"/>
  <c r="CI69" i="10" a="1"/>
  <c r="BO120" i="10" a="1"/>
  <c r="CG67" i="10" a="1"/>
  <c r="CC107" i="10" a="1"/>
  <c r="BK160" i="10" a="1"/>
  <c r="CF104" i="10" a="1"/>
  <c r="BN157" i="10" a="1"/>
  <c r="CG101" i="10" a="1"/>
  <c r="BO154" i="10" a="1"/>
  <c r="CC99" i="10" a="1"/>
  <c r="BK152" i="10" a="1"/>
  <c r="BQ139" i="10" a="1"/>
  <c r="CI86" i="10" a="1"/>
  <c r="CG84" i="10" a="1"/>
  <c r="BO137" i="10" a="1"/>
  <c r="CE82" i="10" a="1"/>
  <c r="BM135" i="10" a="1"/>
  <c r="BK133" i="10" a="1"/>
  <c r="CC80" i="10" a="1"/>
  <c r="BP130" i="10" a="1"/>
  <c r="CH77" i="10" a="1"/>
  <c r="CF75" i="10" a="1"/>
  <c r="BN128" i="10" a="1"/>
  <c r="CD73" i="10" a="1"/>
  <c r="BL126" i="10" a="1"/>
  <c r="BQ123" i="10" a="1"/>
  <c r="CI70" i="10" a="1"/>
  <c r="BO121" i="10" a="1"/>
  <c r="CG68" i="10" a="1"/>
  <c r="CE104" i="10" a="1"/>
  <c r="BM157" i="10" a="1"/>
  <c r="CD103" i="10" a="1"/>
  <c r="BL156" i="10" a="1"/>
  <c r="BK155" i="10" a="1"/>
  <c r="CC102" i="10" a="1"/>
  <c r="BQ153" i="10" a="1"/>
  <c r="CI100" i="10" a="1"/>
  <c r="CH99" i="10" a="1"/>
  <c r="BP152" i="10" a="1"/>
  <c r="CG98" i="10" a="1"/>
  <c r="BO151" i="10" a="1"/>
  <c r="BN150" i="10" a="1"/>
  <c r="CF97" i="10" a="1"/>
  <c r="BM149" i="10" a="1"/>
  <c r="CE96" i="10" a="1"/>
  <c r="CD95" i="10" a="1"/>
  <c r="BL148" i="10" a="1"/>
  <c r="CC94" i="10" a="1"/>
  <c r="BK147" i="10" a="1"/>
  <c r="CI92" i="10" a="1"/>
  <c r="BQ145" i="10" a="1"/>
  <c r="CH91" i="10" a="1"/>
  <c r="BP144" i="10" a="1"/>
  <c r="CG90" i="10" a="1"/>
  <c r="BO143" i="10" a="1"/>
  <c r="CF89" i="10" a="1"/>
  <c r="BN142" i="10" a="1"/>
  <c r="CE88" i="10" a="1"/>
  <c r="BM141" i="10" a="1"/>
  <c r="CC86" i="10" a="1"/>
  <c r="BK139" i="10" a="1"/>
  <c r="CH83" i="10" a="1"/>
  <c r="BP136" i="10" a="1"/>
  <c r="CF81" i="10" a="1"/>
  <c r="BN134" i="10" a="1"/>
  <c r="CD79" i="10" a="1"/>
  <c r="BL132" i="10" a="1"/>
  <c r="CI76" i="10" a="1"/>
  <c r="BQ129" i="10" a="1"/>
  <c r="CG74" i="10" a="1"/>
  <c r="BO127" i="10" a="1"/>
  <c r="CE72" i="10" a="1"/>
  <c r="BM125" i="10" a="1"/>
  <c r="CC70" i="10" a="1"/>
  <c r="BK123" i="10" a="1"/>
  <c r="CH67" i="10" a="1"/>
  <c r="BP120" i="10" a="1"/>
  <c r="CD66" i="10" a="1"/>
  <c r="BL119" i="10" a="1"/>
  <c r="BK118" i="10" a="1"/>
  <c r="CC65" i="10" a="1"/>
  <c r="CD67" i="10" a="1"/>
  <c r="BL120" i="10" a="1"/>
  <c r="CC66" i="10" a="1"/>
  <c r="BK119" i="10" a="1"/>
  <c r="CI64" i="10" a="1"/>
  <c r="BQ117" i="10" a="1"/>
  <c r="CI63" i="10" a="1"/>
  <c r="BQ116" i="10" a="1"/>
  <c r="CF63" i="10" a="1"/>
  <c r="BN116" i="10" a="1"/>
  <c r="BV109" i="10" a="1"/>
  <c r="BT84" i="10" a="1"/>
  <c r="BU82" i="10" a="1"/>
  <c r="BV108" i="10" a="1"/>
  <c r="BT68" i="10" a="1"/>
  <c r="BV101" i="10" a="1"/>
  <c r="BV95" i="10" a="1"/>
  <c r="BY90" i="10" a="1"/>
  <c r="BV84" i="10" a="1"/>
  <c r="BU75" i="10" a="1"/>
  <c r="BX107" i="10" a="1"/>
  <c r="BV87" i="10" a="1"/>
  <c r="BU78" i="10" a="1"/>
  <c r="BT69" i="10" a="1"/>
  <c r="BU101" i="10" a="1"/>
  <c r="BX96" i="10" a="1"/>
  <c r="BT92" i="10" a="1"/>
  <c r="BW86" i="10" a="1"/>
  <c r="BV77" i="10" a="1"/>
  <c r="BU68" i="10" a="1"/>
  <c r="BV66" i="10" a="1"/>
  <c r="BV110" i="10" a="1"/>
  <c r="BZ71" i="10" a="1"/>
  <c r="BW71" i="10" a="1"/>
  <c r="BW105" i="10" a="1"/>
  <c r="BY106" i="10" a="1"/>
  <c r="BY98" i="10" a="1"/>
  <c r="BZ93" i="10" a="1"/>
  <c r="BV89" i="10" a="1"/>
  <c r="BV81" i="10" a="1"/>
  <c r="BU72" i="10" a="1"/>
  <c r="BW104" i="10" a="1"/>
  <c r="BX84" i="10" a="1"/>
  <c r="BW75" i="10" a="1"/>
  <c r="BV104" i="10" a="1"/>
  <c r="BY99" i="10" a="1"/>
  <c r="BU95" i="10" a="1"/>
  <c r="BX90" i="10" a="1"/>
  <c r="BY83" i="10" a="1"/>
  <c r="BX74" i="10" a="1"/>
  <c r="BU66" i="10" a="1"/>
  <c r="BZ64" i="10" a="1"/>
  <c r="BU105" i="10" a="1"/>
  <c r="BY86" i="10" a="1"/>
  <c r="BY109" i="10" a="1"/>
  <c r="BX72" i="10" a="1"/>
  <c r="BW102" i="10" a="1"/>
  <c r="BZ95" i="10" a="1"/>
  <c r="BV91" i="10" a="1"/>
  <c r="BW85" i="10" a="1"/>
  <c r="BV76" i="10" a="1"/>
  <c r="BY108" i="10" a="1"/>
  <c r="BZ97" i="10" a="1"/>
  <c r="BV79" i="10" a="1"/>
  <c r="BU70" i="10" a="1"/>
  <c r="BY101" i="10" a="1"/>
  <c r="BU97" i="10" a="1"/>
  <c r="BX92" i="10" a="1"/>
  <c r="BX87" i="10" a="1"/>
  <c r="BW78" i="10" a="1"/>
  <c r="BV69" i="10" a="1"/>
  <c r="BZ66" i="10" a="1"/>
  <c r="BX85" i="10" a="1"/>
  <c r="BZ108" i="10" a="1"/>
  <c r="BX99" i="10" a="1"/>
  <c r="BZ89" i="10" a="1"/>
  <c r="BV73" i="10" a="1"/>
  <c r="BY85" i="10" a="1"/>
  <c r="BY103" i="10" a="1"/>
  <c r="BY95" i="10" a="1"/>
  <c r="BZ84" i="10" a="1"/>
  <c r="BY66" i="10" a="1"/>
  <c r="BW76" i="10" a="1"/>
  <c r="BX106" i="10" a="1"/>
  <c r="BZ101" i="10" a="1"/>
  <c r="BT91" i="10" a="1"/>
  <c r="BX75" i="10" a="1"/>
  <c r="BT88" i="10" a="1"/>
  <c r="BT72" i="10" a="1"/>
  <c r="BZ96" i="10" a="1"/>
  <c r="BU87" i="10" a="1"/>
  <c r="BZ68" i="10" a="1"/>
  <c r="BZ106" i="10" a="1"/>
  <c r="BX63" i="10" a="1"/>
  <c r="CD109" i="10" a="1"/>
  <c r="BL162" i="10" a="1"/>
  <c r="BO138" i="10" a="1"/>
  <c r="CG85" i="10" a="1"/>
  <c r="CE67" i="10" a="1"/>
  <c r="BM120" i="10" a="1"/>
  <c r="CD85" i="10" a="1"/>
  <c r="BL138" i="10" a="1"/>
  <c r="CC76" i="10" a="1"/>
  <c r="BK129" i="10" a="1"/>
  <c r="CH70" i="10" a="1"/>
  <c r="BP123" i="10" a="1"/>
  <c r="CG106" i="10" a="1"/>
  <c r="BO159" i="10" a="1"/>
  <c r="BP131" i="10" a="1"/>
  <c r="CH78" i="10" a="1"/>
  <c r="CD108" i="10" a="1"/>
  <c r="BL161" i="10" a="1"/>
  <c r="CG103" i="10" a="1"/>
  <c r="BO156" i="10" a="1"/>
  <c r="CI101" i="10" a="1"/>
  <c r="BQ154" i="10" a="1"/>
  <c r="CD98" i="10" a="1"/>
  <c r="BL151" i="10" a="1"/>
  <c r="CH96" i="10" a="1"/>
  <c r="BP149" i="10" a="1"/>
  <c r="CF94" i="10" a="1"/>
  <c r="BN147" i="10" a="1"/>
  <c r="CD92" i="10" a="1"/>
  <c r="BL145" i="10" a="1"/>
  <c r="CC91" i="10" a="1"/>
  <c r="BK144" i="10" a="1"/>
  <c r="CI89" i="10" a="1"/>
  <c r="BQ142" i="10" a="1"/>
  <c r="CC87" i="10" a="1"/>
  <c r="BK140" i="10" a="1"/>
  <c r="CH84" i="10" a="1"/>
  <c r="BP137" i="10" a="1"/>
  <c r="CD80" i="10" a="1"/>
  <c r="BL133" i="10" a="1"/>
  <c r="CG75" i="10" a="1"/>
  <c r="BO128" i="10" a="1"/>
  <c r="CC71" i="10" a="1"/>
  <c r="BK124" i="10" a="1"/>
  <c r="CI107" i="10" a="1"/>
  <c r="BQ160" i="10" a="1"/>
  <c r="CH102" i="10" a="1"/>
  <c r="BP155" i="10" a="1"/>
  <c r="CC88" i="10" a="1"/>
  <c r="BK141" i="10" a="1"/>
  <c r="CE78" i="10" a="1"/>
  <c r="BM131" i="10" a="1"/>
  <c r="CG109" i="10" a="1"/>
  <c r="BO162" i="10" a="1"/>
  <c r="CF107" i="10" a="1"/>
  <c r="BN160" i="10" a="1"/>
  <c r="CD105" i="10" a="1"/>
  <c r="BL158" i="10" a="1"/>
  <c r="CF79" i="10" a="1"/>
  <c r="BN132" i="10" a="1"/>
  <c r="CE70" i="10" a="1"/>
  <c r="BM123" i="10" a="1"/>
  <c r="CH73" i="10" a="1"/>
  <c r="BP126" i="10" a="1"/>
  <c r="CH86" i="10" a="1"/>
  <c r="BP139" i="10" a="1"/>
  <c r="CG77" i="10" a="1"/>
  <c r="BO130" i="10" a="1"/>
  <c r="CF68" i="10" a="1"/>
  <c r="BN121" i="10" a="1"/>
  <c r="CE75" i="10" a="1"/>
  <c r="BM128" i="10" a="1"/>
  <c r="CH109" i="10" a="1"/>
  <c r="BP162" i="10" a="1"/>
  <c r="CD107" i="10" a="1"/>
  <c r="BL160" i="10" a="1"/>
  <c r="BQ157" i="10" a="1"/>
  <c r="CI104" i="10" a="1"/>
  <c r="BP134" i="10" a="1"/>
  <c r="CH81" i="10" a="1"/>
  <c r="CG72" i="10" a="1"/>
  <c r="BO125" i="10" a="1"/>
  <c r="CF108" i="10" a="1"/>
  <c r="BN161" i="10" a="1"/>
  <c r="CD106" i="10" a="1"/>
  <c r="BL159" i="10" a="1"/>
  <c r="CD104" i="10" a="1"/>
  <c r="BL157" i="10" a="1"/>
  <c r="CF102" i="10" a="1"/>
  <c r="BN155" i="10" a="1"/>
  <c r="CD100" i="10" a="1"/>
  <c r="BL153" i="10" a="1"/>
  <c r="CF98" i="10" a="1"/>
  <c r="BN151" i="10" a="1"/>
  <c r="CC97" i="10" a="1"/>
  <c r="BK150" i="10" a="1"/>
  <c r="CI95" i="10" a="1"/>
  <c r="BQ148" i="10" a="1"/>
  <c r="CH94" i="10" a="1"/>
  <c r="BP147" i="10" a="1"/>
  <c r="CG93" i="10" a="1"/>
  <c r="BO146" i="10" a="1"/>
  <c r="CF92" i="10" a="1"/>
  <c r="BN145" i="10" a="1"/>
  <c r="CE91" i="10" a="1"/>
  <c r="BM144" i="10" a="1"/>
  <c r="CD90" i="10" a="1"/>
  <c r="BL143" i="10" a="1"/>
  <c r="CC89" i="10" a="1"/>
  <c r="BK142" i="10" a="1"/>
  <c r="CH87" i="10" a="1"/>
  <c r="BP140" i="10" a="1"/>
  <c r="CF85" i="10" a="1"/>
  <c r="BN138" i="10" a="1"/>
  <c r="CD83" i="10" a="1"/>
  <c r="BL136" i="10" a="1"/>
  <c r="CI80" i="10" a="1"/>
  <c r="BQ133" i="10" a="1"/>
  <c r="CG78" i="10" a="1"/>
  <c r="BO131" i="10" a="1"/>
  <c r="CE76" i="10" a="1"/>
  <c r="BM129" i="10" a="1"/>
  <c r="CC74" i="10" a="1"/>
  <c r="BK127" i="10" a="1"/>
  <c r="CH71" i="10" a="1"/>
  <c r="BP124" i="10" a="1"/>
  <c r="CF69" i="10" a="1"/>
  <c r="BN122" i="10" a="1"/>
  <c r="CH108" i="10" a="1"/>
  <c r="BP161" i="10" a="1"/>
  <c r="CF106" i="10" a="1"/>
  <c r="BN159" i="10" a="1"/>
  <c r="CI103" i="10" a="1"/>
  <c r="BQ156" i="10" a="1"/>
  <c r="CC101" i="10" a="1"/>
  <c r="BK154" i="10" a="1"/>
  <c r="CI97" i="10" a="1"/>
  <c r="BQ150" i="10" a="1"/>
  <c r="CD86" i="10" a="1"/>
  <c r="BL139" i="10" a="1"/>
  <c r="CI83" i="10" a="1"/>
  <c r="BQ136" i="10" a="1"/>
  <c r="CG81" i="10" a="1"/>
  <c r="BO134" i="10" a="1"/>
  <c r="CE79" i="10" a="1"/>
  <c r="BM132" i="10" a="1"/>
  <c r="CC77" i="10" a="1"/>
  <c r="BK130" i="10" a="1"/>
  <c r="CH74" i="10" a="1"/>
  <c r="BP127" i="10" a="1"/>
  <c r="CF72" i="10" a="1"/>
  <c r="BN125" i="10" a="1"/>
  <c r="CD70" i="10" a="1"/>
  <c r="BL123" i="10" a="1"/>
  <c r="CI67" i="10" a="1"/>
  <c r="BQ120" i="10" a="1"/>
  <c r="CC104" i="10" a="1"/>
  <c r="BK157" i="10" a="1"/>
  <c r="CI102" i="10" a="1"/>
  <c r="BQ155" i="10" a="1"/>
  <c r="CH101" i="10" a="1"/>
  <c r="BP154" i="10" a="1"/>
  <c r="CG100" i="10" a="1"/>
  <c r="BO153" i="10" a="1"/>
  <c r="BN152" i="10" a="1"/>
  <c r="CF99" i="10" a="1"/>
  <c r="BM151" i="10" a="1"/>
  <c r="CE98" i="10" a="1"/>
  <c r="BL150" i="10" a="1"/>
  <c r="CD97" i="10" a="1"/>
  <c r="BK149" i="10" a="1"/>
  <c r="CC96" i="10" a="1"/>
  <c r="BQ147" i="10" a="1"/>
  <c r="CI94" i="10" a="1"/>
  <c r="BP146" i="10" a="1"/>
  <c r="CH93" i="10" a="1"/>
  <c r="CG92" i="10" a="1"/>
  <c r="BO145" i="10" a="1"/>
  <c r="BN144" i="10" a="1"/>
  <c r="CF91" i="10" a="1"/>
  <c r="CE90" i="10" a="1"/>
  <c r="BM143" i="10" a="1"/>
  <c r="BL142" i="10" a="1"/>
  <c r="CD89" i="10" a="1"/>
  <c r="CG87" i="10" a="1"/>
  <c r="BO140" i="10" a="1"/>
  <c r="BM138" i="10" a="1"/>
  <c r="CE85" i="10" a="1"/>
  <c r="CC83" i="10" a="1"/>
  <c r="BK136" i="10" a="1"/>
  <c r="BP133" i="10" a="1"/>
  <c r="CH80" i="10" a="1"/>
  <c r="CF78" i="10" a="1"/>
  <c r="BN131" i="10" a="1"/>
  <c r="BL129" i="10" a="1"/>
  <c r="CD76" i="10" a="1"/>
  <c r="CI73" i="10" a="1"/>
  <c r="BQ126" i="10" a="1"/>
  <c r="BO124" i="10" a="1"/>
  <c r="CG71" i="10" a="1"/>
  <c r="CE69" i="10" a="1"/>
  <c r="BM122" i="10" a="1"/>
  <c r="BK120" i="10" a="1"/>
  <c r="CC67" i="10" a="1"/>
  <c r="CI65" i="10" a="1"/>
  <c r="BQ118" i="10" a="1"/>
  <c r="CH64" i="10" a="1"/>
  <c r="BP117" i="10" a="1"/>
  <c r="CI66" i="10" a="1"/>
  <c r="BQ119" i="10" a="1"/>
  <c r="CH65" i="10" a="1"/>
  <c r="BP118" i="10" a="1"/>
  <c r="CG64" i="10" a="1"/>
  <c r="BO117" i="10" a="1"/>
  <c r="CG63" i="10" a="1"/>
  <c r="BO116" i="10" a="1"/>
  <c r="CD63" i="10" a="1"/>
  <c r="BL116" i="10" a="1"/>
  <c r="BY110" i="10" a="1"/>
  <c r="BZ74" i="10" a="1"/>
  <c r="BT73" i="10" a="1"/>
  <c r="BT106" i="10" a="1"/>
  <c r="BV107" i="10" a="1"/>
  <c r="BV99" i="10" a="1"/>
  <c r="BU94" i="10" a="1"/>
  <c r="BX89" i="10" a="1"/>
  <c r="BT82" i="10" a="1"/>
  <c r="BZ72" i="10" a="1"/>
  <c r="BT105" i="10" a="1"/>
  <c r="BT85" i="10" a="1"/>
  <c r="BZ75" i="10" a="1"/>
  <c r="BX104" i="10" a="1"/>
  <c r="BT100" i="10" a="1"/>
  <c r="BW95" i="10" a="1"/>
  <c r="BZ90" i="10" a="1"/>
  <c r="BU84" i="10" a="1"/>
  <c r="BT75" i="10" a="1"/>
  <c r="BW66" i="10" a="1"/>
  <c r="BU65" i="10" a="1"/>
  <c r="BT108" i="10" a="1"/>
  <c r="BW84" i="10" a="1"/>
  <c r="BZ79" i="10" a="1"/>
  <c r="BV83" i="10" a="1"/>
  <c r="BY104" i="10" a="1"/>
  <c r="BV97" i="10" a="1"/>
  <c r="BY92" i="10" a="1"/>
  <c r="BU88" i="10" a="1"/>
  <c r="BT79" i="10" a="1"/>
  <c r="BZ69" i="10" a="1"/>
  <c r="BX101" i="10" a="1"/>
  <c r="BV82" i="10" a="1"/>
  <c r="BU73" i="10" a="1"/>
  <c r="BU103" i="10" a="1"/>
  <c r="BX98" i="10" a="1"/>
  <c r="BT94" i="10" a="1"/>
  <c r="BW89" i="10" a="1"/>
  <c r="BW81" i="10" a="1"/>
  <c r="BV72" i="10" a="1"/>
  <c r="BT65" i="10" a="1"/>
  <c r="BV78" i="10" a="1"/>
  <c r="BW79" i="10" a="1"/>
  <c r="BX77" i="10" a="1"/>
  <c r="BU107" i="10" a="1"/>
  <c r="BW108" i="10" a="1"/>
  <c r="BU100" i="10" a="1"/>
  <c r="BY94" i="10" a="1"/>
  <c r="BU90" i="10" a="1"/>
  <c r="BU83" i="10" a="1"/>
  <c r="BT74" i="10" a="1"/>
  <c r="BW106" i="10" a="1"/>
  <c r="BU86" i="10" a="1"/>
  <c r="BT77" i="10" a="1"/>
  <c r="BZ67" i="10" a="1"/>
  <c r="BX100" i="10" a="1"/>
  <c r="BT96" i="10" a="1"/>
  <c r="BW91" i="10" a="1"/>
  <c r="BV85" i="10" a="1"/>
  <c r="BU76" i="10" a="1"/>
  <c r="BT67" i="10" a="1"/>
  <c r="BY65" i="10" a="1"/>
  <c r="BV67" i="10" a="1"/>
  <c r="BZ87" i="10" a="1"/>
  <c r="BY96" i="10" a="1"/>
  <c r="BT87" i="10" a="1"/>
  <c r="BY68" i="10" a="1"/>
  <c r="BU81" i="10" a="1"/>
  <c r="BW101" i="10" a="1"/>
  <c r="BW93" i="10" a="1"/>
  <c r="BV80" i="10" a="1"/>
  <c r="BW64" i="10" a="1"/>
  <c r="BX110" i="10" a="1"/>
  <c r="BY78" i="10" a="1"/>
  <c r="BU98" i="10" a="1"/>
  <c r="BY88" i="10" a="1"/>
  <c r="BT71" i="10" a="1"/>
  <c r="BW83" i="10" a="1"/>
  <c r="BW67" i="10" a="1"/>
  <c r="BX94" i="10" a="1"/>
  <c r="BX82" i="10" a="1"/>
  <c r="BX65" i="10" a="1"/>
  <c r="BZ63" i="10" a="1"/>
  <c r="BU63" i="10" a="1"/>
  <c r="CD69" i="10" a="1"/>
  <c r="BL122" i="10" a="1"/>
  <c r="CI106" i="10" a="1"/>
  <c r="BQ159" i="10" a="1"/>
  <c r="CF76" i="10" a="1"/>
  <c r="BN129" i="10" a="1"/>
  <c r="CG110" i="10" a="1"/>
  <c r="BO163" i="10" a="1"/>
  <c r="BN163" i="10" a="1"/>
  <c r="CF110" i="10" a="1"/>
  <c r="CI108" i="10" a="1"/>
  <c r="BQ161" i="10" a="1"/>
  <c r="CI87" i="10" a="1"/>
  <c r="BQ140" i="10" a="1"/>
  <c r="CG69" i="10" a="1"/>
  <c r="BO122" i="10" a="1"/>
  <c r="CI105" i="10" a="1"/>
  <c r="BQ158" i="10" a="1"/>
  <c r="CG99" i="10" a="1"/>
  <c r="BO152" i="10" a="1"/>
  <c r="CG95" i="10" a="1"/>
  <c r="BO148" i="10" a="1"/>
  <c r="CE93" i="10" a="1"/>
  <c r="BM146" i="10" a="1"/>
  <c r="CH88" i="10" a="1"/>
  <c r="BP141" i="10" a="1"/>
  <c r="CF82" i="10" a="1"/>
  <c r="BN135" i="10" a="1"/>
  <c r="CI77" i="10" a="1"/>
  <c r="BQ130" i="10" a="1"/>
  <c r="CE73" i="10" a="1"/>
  <c r="BM126" i="10" a="1"/>
  <c r="CH68" i="10" a="1"/>
  <c r="BP121" i="10" a="1"/>
  <c r="CG105" i="10" a="1"/>
  <c r="BO158" i="10" a="1"/>
  <c r="CF100" i="10" a="1"/>
  <c r="BN153" i="10" a="1"/>
  <c r="CH85" i="10" a="1"/>
  <c r="BP138" i="10" a="1"/>
  <c r="CF83" i="10" a="1"/>
  <c r="BN136" i="10" a="1"/>
  <c r="CD81" i="10" a="1"/>
  <c r="BL134" i="10" a="1"/>
  <c r="CG76" i="10" a="1"/>
  <c r="BO129" i="10" a="1"/>
  <c r="CE74" i="10" a="1"/>
  <c r="BM127" i="10" a="1"/>
  <c r="BX108" i="10" a="1"/>
  <c r="BW87" i="10" a="1"/>
  <c r="BV105" i="10" a="1"/>
  <c r="BT93" i="10" a="1"/>
  <c r="BY79" i="10" a="1"/>
  <c r="BU102" i="10" a="1"/>
  <c r="BX73" i="10" a="1"/>
  <c r="BZ98" i="10" a="1"/>
  <c r="BY89" i="10" a="1"/>
  <c r="BY72" i="10" a="1"/>
  <c r="BT64" i="10" a="1"/>
  <c r="BW109" i="10" a="1"/>
  <c r="BU74" i="10" a="1"/>
  <c r="BU96" i="10" a="1"/>
  <c r="BZ85" i="10" a="1"/>
  <c r="BX67" i="10" a="1"/>
  <c r="BT80" i="10" a="1"/>
  <c r="BT102" i="10" a="1"/>
  <c r="BZ92" i="10" a="1"/>
  <c r="BU79" i="10" a="1"/>
  <c r="BU67" i="10" a="1"/>
  <c r="BV70" i="10" a="1"/>
  <c r="BZ104" i="10" a="1"/>
  <c r="BW98" i="10" a="1"/>
  <c r="BT89" i="10" a="1"/>
  <c r="BY71" i="10" a="1"/>
  <c r="BZ83" i="10" a="1"/>
  <c r="BT104" i="10" a="1"/>
  <c r="BZ94" i="10" a="1"/>
  <c r="BT83" i="10" a="1"/>
  <c r="BZ65" i="10" a="1"/>
  <c r="BU85" i="10" a="1"/>
  <c r="BW94" i="10" a="1"/>
  <c r="BX105" i="10" a="1"/>
  <c r="BU99" i="10" a="1"/>
  <c r="BY75" i="10" a="1"/>
  <c r="BT76" i="10" a="1"/>
  <c r="BX95" i="10" a="1"/>
  <c r="BZ107" i="10" a="1"/>
  <c r="BX102" i="10" a="1"/>
  <c r="BT78" i="10" a="1"/>
  <c r="BW63" i="10" a="1"/>
  <c r="BY73" i="10" a="1"/>
  <c r="BT97" i="10" a="1"/>
  <c r="BZ102" i="10" a="1"/>
  <c r="BY80" i="10" a="1"/>
  <c r="BW110" i="10" a="1"/>
  <c r="BW100" i="10" a="1"/>
  <c r="BT98" i="10" a="1"/>
  <c r="BY70" i="10" a="1"/>
  <c r="BY102" i="10" a="1"/>
  <c r="BW73" i="10" a="1"/>
  <c r="BY63" i="10" a="1"/>
  <c r="BV86" i="10" a="1"/>
  <c r="BX70" i="10" a="1"/>
  <c r="BV65" i="10" a="1"/>
  <c r="BX91" i="10" a="1"/>
  <c r="BZ70" i="10" a="1"/>
  <c r="BT70" i="10" a="1"/>
  <c r="BX93" i="10" a="1"/>
  <c r="BY74" i="10" a="1"/>
  <c r="BX64" i="10" a="1"/>
  <c r="BU91" i="10" a="1"/>
  <c r="BV92" i="10" a="1"/>
  <c r="BV106" i="10" a="1"/>
  <c r="BZ110" i="10" a="1"/>
  <c r="BV103" i="10" a="1"/>
  <c r="BZ91" i="10" a="1"/>
  <c r="BW77" i="10" a="1"/>
  <c r="BZ99" i="10" a="1"/>
  <c r="BV71" i="10" a="1"/>
  <c r="BY97" i="10" a="1"/>
  <c r="BX88" i="10" a="1"/>
  <c r="BW70" i="10" a="1"/>
  <c r="BZ82" i="10" a="1"/>
  <c r="BX80" i="10" a="1"/>
  <c r="BT109" i="10" a="1"/>
  <c r="BT95" i="10" a="1"/>
  <c r="BX83" i="10" a="1"/>
  <c r="BT107" i="10" a="1"/>
  <c r="BY77" i="10" a="1"/>
  <c r="BZ100" i="10" a="1"/>
  <c r="BY91" i="10" a="1"/>
  <c r="BZ76" i="10" a="1"/>
  <c r="BT66" i="10" a="1"/>
  <c r="BY81" i="10" a="1"/>
  <c r="BY87" i="10" a="1"/>
  <c r="BW69" i="10" a="1"/>
  <c r="BX81" i="10" a="1"/>
  <c r="BY93" i="10" a="1"/>
  <c r="BY64" i="10" a="1"/>
  <c r="BU92" i="10" a="1"/>
  <c r="BU71" i="10" a="1"/>
  <c r="BV93" i="10" a="1"/>
  <c r="BV100" i="10" a="1"/>
  <c r="BX97" i="10" a="1"/>
  <c r="BW88" i="10" a="1"/>
  <c r="BW103" i="10" a="1"/>
  <c r="BZ81" i="10" a="1"/>
  <c r="BY105" i="10" a="1"/>
  <c r="BT103" i="10" a="1"/>
  <c r="BT99" i="10" a="1"/>
  <c r="BV88" i="10" a="1"/>
  <c r="BW68" i="10" a="1"/>
  <c r="BZ80" i="10" a="1"/>
  <c r="BV90" i="10" a="1"/>
  <c r="BX69" i="10" a="1"/>
  <c r="BX76" i="10" a="1"/>
  <c r="BU108" i="10" a="1"/>
  <c r="BZ78" i="10" a="1"/>
  <c r="BV63" i="10" a="1"/>
  <c r="BZ109" i="10" a="1"/>
  <c r="BW96" i="10" a="1"/>
  <c r="BV68" i="10" a="1"/>
  <c r="BV102" i="10" a="1"/>
  <c r="BX79" i="10" a="1"/>
  <c r="BT81" i="10" a="1"/>
  <c r="BY100" i="10" a="1"/>
  <c r="BW74" i="10" a="1"/>
  <c r="BX68" i="10" a="1"/>
  <c r="BT86" i="10" a="1"/>
  <c r="BW107" i="10" a="1"/>
  <c r="BU104" i="10" a="1"/>
  <c r="BX78" i="10" a="1"/>
  <c r="BW72" i="10" a="1"/>
  <c r="BU89" i="10" a="1"/>
  <c r="BU69" i="10" a="1"/>
  <c r="BZ77" i="10" a="1"/>
  <c r="BZ88" i="10" a="1"/>
  <c r="BX103" i="10" a="1"/>
  <c r="BV74" i="10" a="1"/>
  <c r="BV64" i="10" a="1"/>
  <c r="CI78" i="10" a="1"/>
  <c r="BQ131" i="10" a="1"/>
  <c r="CC72" i="10" a="1"/>
  <c r="BK125" i="10" a="1"/>
  <c r="CH69" i="10" a="1"/>
  <c r="BP122" i="10" a="1"/>
  <c r="CF67" i="10" a="1"/>
  <c r="BN120" i="10" a="1"/>
  <c r="CH103" i="10" a="1"/>
  <c r="BP156" i="10" a="1"/>
  <c r="CG102" i="10" a="1"/>
  <c r="BO155" i="10" a="1"/>
  <c r="CF101" i="10" a="1"/>
  <c r="BN154" i="10" a="1"/>
  <c r="CE100" i="10" a="1"/>
  <c r="BM153" i="10" a="1"/>
  <c r="CD99" i="10" a="1"/>
  <c r="BL152" i="10" a="1"/>
  <c r="CC98" i="10" a="1"/>
  <c r="BK151" i="10" a="1"/>
  <c r="CI96" i="10" a="1"/>
  <c r="BQ149" i="10" a="1"/>
  <c r="CH95" i="10" a="1"/>
  <c r="BP148" i="10" a="1"/>
  <c r="CG94" i="10" a="1"/>
  <c r="BO147" i="10" a="1"/>
  <c r="CF93" i="10" a="1"/>
  <c r="BN146" i="10" a="1"/>
  <c r="CE92" i="10" a="1"/>
  <c r="BM145" i="10" a="1"/>
  <c r="CD91" i="10" a="1"/>
  <c r="BL144" i="10" a="1"/>
  <c r="CC90" i="10" a="1"/>
  <c r="BK143" i="10" a="1"/>
  <c r="CI88" i="10" a="1"/>
  <c r="BQ141" i="10" a="1"/>
  <c r="CD87" i="10" a="1"/>
  <c r="BL140" i="10" a="1"/>
  <c r="CI84" i="10" a="1"/>
  <c r="BQ137" i="10" a="1"/>
  <c r="CG82" i="10" a="1"/>
  <c r="BO135" i="10" a="1"/>
  <c r="CE80" i="10" a="1"/>
  <c r="BM133" i="10" a="1"/>
  <c r="CC78" i="10" a="1"/>
  <c r="BK131" i="10" a="1"/>
  <c r="CH75" i="10" a="1"/>
  <c r="BP128" i="10" a="1"/>
  <c r="CF73" i="10" a="1"/>
  <c r="BN126" i="10" a="1"/>
  <c r="CD71" i="10" a="1"/>
  <c r="BL124" i="10" a="1"/>
  <c r="CI68" i="10" a="1"/>
  <c r="BQ121" i="10" a="1"/>
  <c r="CH66" i="10" a="1"/>
  <c r="BP119" i="10" a="1"/>
  <c r="CG65" i="10" a="1"/>
  <c r="BO118" i="10" a="1"/>
  <c r="CF64" i="10" a="1"/>
  <c r="BN117" i="10" a="1"/>
  <c r="BO119" i="10" a="1"/>
  <c r="CG66" i="10" a="1"/>
  <c r="BN118" i="10" a="1"/>
  <c r="CF65" i="10" a="1"/>
  <c r="BM117" i="10" a="1"/>
  <c r="CE64" i="10" a="1"/>
  <c r="CE63" i="10" a="1"/>
  <c r="BM116" i="10" a="1"/>
  <c r="BK116" i="10" a="1"/>
  <c r="CC63" i="10" a="1"/>
  <c r="BT110" i="10" a="1"/>
  <c r="BY82" i="10" a="1"/>
  <c r="BV94" i="10" a="1"/>
  <c r="BU110" i="10" a="1"/>
  <c r="BY76" i="10" a="1"/>
  <c r="BW97" i="10" a="1"/>
  <c r="BX109" i="10" a="1"/>
  <c r="BU106" i="10" a="1"/>
  <c r="BZ103" i="10" a="1"/>
  <c r="BW99" i="10" a="1"/>
  <c r="BZ73" i="10" a="1"/>
  <c r="BW82" i="10" a="1"/>
  <c r="BW65" i="10" a="1"/>
  <c r="BY84" i="10" a="1"/>
  <c r="BX66" i="10" a="1"/>
  <c r="BU77" i="10" a="1"/>
  <c r="BX86" i="10" a="1"/>
  <c r="BW80" i="10" a="1"/>
  <c r="BU93" i="10" a="1"/>
  <c r="BU64" i="10" a="1"/>
  <c r="BY107" i="10" a="1"/>
  <c r="BW90" i="10" a="1"/>
  <c r="BZ86" i="10" a="1"/>
  <c r="BV96" i="10" a="1"/>
  <c r="BY67" i="10" a="1"/>
  <c r="BV75" i="10" a="1"/>
  <c r="BW92" i="10" a="1"/>
  <c r="BT101" i="10" a="1"/>
  <c r="BV98" i="10" a="1"/>
  <c r="BX71" i="10" a="1"/>
  <c r="BZ105" i="10" a="1"/>
  <c r="BY69" i="10" a="1"/>
  <c r="BU109" i="10" a="1"/>
  <c r="BU80" i="10" a="1"/>
  <c r="BT90" i="10" a="1"/>
  <c r="BT63" i="10" a="1"/>
  <c r="CE109" i="10" a="1"/>
  <c r="BM162" i="10" a="1"/>
  <c r="CH110" i="10" a="1"/>
  <c r="BP163" i="10" a="1"/>
  <c r="CG108" i="10" a="1"/>
  <c r="BO161" i="10" a="1"/>
  <c r="CE106" i="10" a="1"/>
  <c r="BM159" i="10" a="1"/>
  <c r="CC84" i="10" a="1"/>
  <c r="BK137" i="10" a="1"/>
  <c r="CI74" i="10" a="1"/>
  <c r="BQ127" i="10" a="1"/>
  <c r="BK163" i="10" a="1"/>
  <c r="CC110" i="10" a="1"/>
  <c r="BQ162" i="10" a="1"/>
  <c r="CI109" i="10" a="1"/>
  <c r="CD82" i="10" a="1"/>
  <c r="BL135" i="10" a="1"/>
  <c r="BK126" i="10" a="1"/>
  <c r="CC73" i="10" a="1"/>
  <c r="BN140" i="10" a="1"/>
  <c r="CF87" i="10" a="1"/>
  <c r="CI110" i="10" a="1"/>
  <c r="BQ163" i="10" a="1"/>
  <c r="CE108" i="10" a="1"/>
  <c r="BM161" i="10" a="1"/>
  <c r="CC106" i="10" a="1"/>
  <c r="BK159" i="10" a="1"/>
  <c r="CE86" i="10" a="1"/>
  <c r="BM139" i="10" a="1"/>
  <c r="CD77" i="10" a="1"/>
  <c r="BL130" i="10" a="1"/>
  <c r="CC68" i="10" a="1"/>
  <c r="BK121" i="10" a="1"/>
  <c r="CE107" i="10" a="1"/>
  <c r="BM160" i="10" a="1"/>
  <c r="CE105" i="10" a="1"/>
  <c r="BM158" i="10" a="1"/>
  <c r="CE103" i="10" a="1"/>
  <c r="BM156" i="10" a="1"/>
  <c r="BM154" i="10" a="1"/>
  <c r="CE101" i="10" a="1"/>
  <c r="CE99" i="10" a="1"/>
  <c r="BM152" i="10" a="1"/>
  <c r="CG97" i="10" a="1"/>
  <c r="BO150" i="10" a="1"/>
  <c r="CF96" i="10" a="1"/>
  <c r="BN149" i="10" a="1"/>
  <c r="CE95" i="10" a="1"/>
  <c r="BM148" i="10" a="1"/>
  <c r="CD94" i="10" a="1"/>
  <c r="BL147" i="10" a="1"/>
  <c r="CC93" i="10" a="1"/>
  <c r="BK146" i="10" a="1"/>
  <c r="CI91" i="10" a="1"/>
  <c r="BQ144" i="10" a="1"/>
  <c r="CH90" i="10" a="1"/>
  <c r="BP143" i="10" a="1"/>
  <c r="CG89" i="10" a="1"/>
  <c r="BO142" i="10" a="1"/>
  <c r="CF88" i="10" a="1"/>
  <c r="BN141" i="10" a="1"/>
  <c r="CG86" i="10" a="1"/>
  <c r="BO139" i="10" a="1"/>
  <c r="CE84" i="10" a="1"/>
  <c r="BM137" i="10" a="1"/>
  <c r="CC82" i="10" a="1"/>
  <c r="BK135" i="10" a="1"/>
  <c r="CH79" i="10" a="1"/>
  <c r="BP132" i="10" a="1"/>
  <c r="CF77" i="10" a="1"/>
  <c r="BN130" i="10" a="1"/>
  <c r="CD75" i="10" a="1"/>
  <c r="BL128" i="10" a="1"/>
  <c r="CI72" i="10" a="1"/>
  <c r="BQ125" i="10" a="1"/>
  <c r="CG70" i="10" a="1"/>
  <c r="BO123" i="10" a="1"/>
  <c r="CE68" i="10" a="1"/>
  <c r="BM121" i="10" a="1"/>
  <c r="CG107" i="10" a="1"/>
  <c r="BO160" i="10" a="1"/>
  <c r="CC105" i="10" a="1"/>
  <c r="BK158" i="10" a="1"/>
  <c r="CD102" i="10" a="1"/>
  <c r="BL155" i="10" a="1"/>
  <c r="CI99" i="10" a="1"/>
  <c r="BQ152" i="10" a="1"/>
  <c r="CE87" i="10" a="1"/>
  <c r="BM140" i="10" a="1"/>
  <c r="CC85" i="10" a="1"/>
  <c r="BK138" i="10" a="1"/>
  <c r="CH82" i="10" a="1"/>
  <c r="BP135" i="10" a="1"/>
  <c r="CF80" i="10" a="1"/>
  <c r="BN133" i="10" a="1"/>
  <c r="CD78" i="10" a="1"/>
  <c r="BL131" i="10" a="1"/>
  <c r="CI75" i="10" a="1"/>
  <c r="BQ128" i="10" a="1"/>
  <c r="CG73" i="10" a="1"/>
  <c r="BO126" i="10" a="1"/>
  <c r="CE71" i="10" a="1"/>
  <c r="BM124" i="10" a="1"/>
  <c r="CC69" i="10" a="1"/>
  <c r="BK122" i="10" a="1"/>
  <c r="CG104" i="10" a="1"/>
  <c r="BO157" i="10" a="1"/>
  <c r="CF103" i="10" a="1"/>
  <c r="BN156" i="10" a="1"/>
  <c r="CE102" i="10" a="1"/>
  <c r="BM155" i="10" a="1"/>
  <c r="CD101" i="10" a="1"/>
  <c r="BL154" i="10" a="1"/>
  <c r="CC100" i="10" a="1"/>
  <c r="BK153" i="10" a="1"/>
  <c r="CI98" i="10" a="1"/>
  <c r="BQ151" i="10" a="1"/>
  <c r="CH97" i="10" a="1"/>
  <c r="BP150" i="10" a="1"/>
  <c r="CG96" i="10" a="1"/>
  <c r="BO149" i="10" a="1"/>
  <c r="CF95" i="10" a="1"/>
  <c r="BN148" i="10" a="1"/>
  <c r="CE94" i="10" a="1"/>
  <c r="BM147" i="10" a="1"/>
  <c r="CD93" i="10" a="1"/>
  <c r="BL146" i="10" a="1"/>
  <c r="BK145" i="10" a="1"/>
  <c r="CC92" i="10" a="1"/>
  <c r="CI90" i="10" a="1"/>
  <c r="BQ143" i="10" a="1"/>
  <c r="CH89" i="10" a="1"/>
  <c r="BP142" i="10" a="1"/>
  <c r="CG88" i="10" a="1"/>
  <c r="BO141" i="10" a="1"/>
  <c r="CF86" i="10" a="1"/>
  <c r="BN139" i="10" a="1"/>
  <c r="CD84" i="10" a="1"/>
  <c r="BL137" i="10" a="1"/>
  <c r="CI81" i="10" a="1"/>
  <c r="BQ134" i="10" a="1"/>
  <c r="CG79" i="10" a="1"/>
  <c r="BO132" i="10" a="1"/>
  <c r="BM130" i="10" a="1"/>
  <c r="CE77" i="10" a="1"/>
  <c r="CC75" i="10" a="1"/>
  <c r="BK128" i="10" a="1"/>
  <c r="BP125" i="10" a="1"/>
  <c r="CH72" i="10" a="1"/>
  <c r="CF70" i="10" a="1"/>
  <c r="BN123" i="10" a="1"/>
  <c r="CD68" i="10" a="1"/>
  <c r="BL121" i="10" a="1"/>
  <c r="CF66" i="10" a="1"/>
  <c r="BN119" i="10" a="1"/>
  <c r="CE65" i="10" a="1"/>
  <c r="BM118" i="10" a="1"/>
  <c r="CD64" i="10" a="1"/>
  <c r="BL117" i="10" a="1"/>
  <c r="CE66" i="10" a="1"/>
  <c r="BM119" i="10" a="1"/>
  <c r="CD65" i="10" a="1"/>
  <c r="BL118" i="10" a="1"/>
  <c r="CC64" i="10" a="1"/>
  <c r="BK117" i="10" a="1"/>
  <c r="CH63" i="10" a="1"/>
  <c r="BP116" i="10" a="1"/>
  <c r="DZ112" i="10" l="1"/>
  <c r="DV112" i="10"/>
  <c r="EA112" i="10"/>
  <c r="DY112" i="10"/>
  <c r="EB112" i="10"/>
  <c r="DW112" i="10"/>
  <c r="BP116" i="10"/>
  <c r="CH63" i="10"/>
  <c r="BK117" i="10"/>
  <c r="CC64" i="10"/>
  <c r="BL118" i="10"/>
  <c r="CD65" i="10"/>
  <c r="BM119" i="10"/>
  <c r="CE66" i="10"/>
  <c r="BL117" i="10"/>
  <c r="CD64" i="10"/>
  <c r="BM118" i="10"/>
  <c r="CE65" i="10"/>
  <c r="BN119" i="10"/>
  <c r="CF66" i="10"/>
  <c r="BL121" i="10"/>
  <c r="CD68" i="10"/>
  <c r="BN123" i="10"/>
  <c r="CF70" i="10"/>
  <c r="CH72" i="10"/>
  <c r="BP125" i="10"/>
  <c r="BK128" i="10"/>
  <c r="CC75" i="10"/>
  <c r="CE77" i="10"/>
  <c r="BM130" i="10"/>
  <c r="BO132" i="10"/>
  <c r="CG79" i="10"/>
  <c r="BQ134" i="10"/>
  <c r="CI81" i="10"/>
  <c r="BL137" i="10"/>
  <c r="CD84" i="10"/>
  <c r="BN139" i="10"/>
  <c r="CF86" i="10"/>
  <c r="BO141" i="10"/>
  <c r="CG88" i="10"/>
  <c r="BP142" i="10"/>
  <c r="CH89" i="10"/>
  <c r="BQ143" i="10"/>
  <c r="CI90" i="10"/>
  <c r="CC92" i="10"/>
  <c r="BK145" i="10"/>
  <c r="BL146" i="10"/>
  <c r="CD93" i="10"/>
  <c r="BM147" i="10"/>
  <c r="CE94" i="10"/>
  <c r="BN148" i="10"/>
  <c r="CF95" i="10"/>
  <c r="BO149" i="10"/>
  <c r="CG96" i="10"/>
  <c r="BP150" i="10"/>
  <c r="CH97" i="10"/>
  <c r="BQ151" i="10"/>
  <c r="CI98" i="10"/>
  <c r="BK153" i="10"/>
  <c r="CC100" i="10"/>
  <c r="BL154" i="10"/>
  <c r="CD101" i="10"/>
  <c r="BM155" i="10"/>
  <c r="CE102" i="10"/>
  <c r="BN156" i="10"/>
  <c r="CF103" i="10"/>
  <c r="BO157" i="10"/>
  <c r="CG104" i="10"/>
  <c r="BK122" i="10"/>
  <c r="CC69" i="10"/>
  <c r="BM124" i="10"/>
  <c r="CE71" i="10"/>
  <c r="BO126" i="10"/>
  <c r="CG73" i="10"/>
  <c r="BQ128" i="10"/>
  <c r="CI75" i="10"/>
  <c r="BL131" i="10"/>
  <c r="CD78" i="10"/>
  <c r="BN133" i="10"/>
  <c r="CF80" i="10"/>
  <c r="BP135" i="10"/>
  <c r="CH82" i="10"/>
  <c r="BK138" i="10"/>
  <c r="CC85" i="10"/>
  <c r="BM140" i="10"/>
  <c r="CE87" i="10"/>
  <c r="BQ152" i="10"/>
  <c r="CI99" i="10"/>
  <c r="BL155" i="10"/>
  <c r="CD102" i="10"/>
  <c r="BK158" i="10"/>
  <c r="CC105" i="10"/>
  <c r="BO160" i="10"/>
  <c r="CG107" i="10"/>
  <c r="BM121" i="10"/>
  <c r="CE68" i="10"/>
  <c r="BO123" i="10"/>
  <c r="CG70" i="10"/>
  <c r="BQ125" i="10"/>
  <c r="CI72" i="10"/>
  <c r="BL128" i="10"/>
  <c r="CD75" i="10"/>
  <c r="BN130" i="10"/>
  <c r="CF77" i="10"/>
  <c r="BP132" i="10"/>
  <c r="CH79" i="10"/>
  <c r="BK135" i="10"/>
  <c r="CC82" i="10"/>
  <c r="BM137" i="10"/>
  <c r="CE84" i="10"/>
  <c r="BO139" i="10"/>
  <c r="CG86" i="10"/>
  <c r="BN141" i="10"/>
  <c r="CF88" i="10"/>
  <c r="BO142" i="10"/>
  <c r="CG89" i="10"/>
  <c r="BP143" i="10"/>
  <c r="CH90" i="10"/>
  <c r="BQ144" i="10"/>
  <c r="CI91" i="10"/>
  <c r="BK146" i="10"/>
  <c r="CC93" i="10"/>
  <c r="BL147" i="10"/>
  <c r="CD94" i="10"/>
  <c r="BM148" i="10"/>
  <c r="CE95" i="10"/>
  <c r="BN149" i="10"/>
  <c r="CF96" i="10"/>
  <c r="BO150" i="10"/>
  <c r="CG97" i="10"/>
  <c r="BM152" i="10"/>
  <c r="CE99" i="10"/>
  <c r="CE101" i="10"/>
  <c r="BM154" i="10"/>
  <c r="BM156" i="10"/>
  <c r="CE103" i="10"/>
  <c r="BM158" i="10"/>
  <c r="CE105" i="10"/>
  <c r="BM160" i="10"/>
  <c r="CE107" i="10"/>
  <c r="BK121" i="10"/>
  <c r="CC68" i="10"/>
  <c r="BL130" i="10"/>
  <c r="CD77" i="10"/>
  <c r="BM139" i="10"/>
  <c r="CE86" i="10"/>
  <c r="BK159" i="10"/>
  <c r="CC106" i="10"/>
  <c r="BM161" i="10"/>
  <c r="CE108" i="10"/>
  <c r="BQ163" i="10"/>
  <c r="CI110" i="10"/>
  <c r="CF87" i="10"/>
  <c r="BN140" i="10"/>
  <c r="CC73" i="10"/>
  <c r="BK126" i="10"/>
  <c r="BL135" i="10"/>
  <c r="CD82" i="10"/>
  <c r="CI109" i="10"/>
  <c r="BQ162" i="10"/>
  <c r="CC110" i="10"/>
  <c r="BK163" i="10"/>
  <c r="BQ127" i="10"/>
  <c r="CI74" i="10"/>
  <c r="BK137" i="10"/>
  <c r="CC84" i="10"/>
  <c r="BM159" i="10"/>
  <c r="CE106" i="10"/>
  <c r="BO161" i="10"/>
  <c r="CG108" i="10"/>
  <c r="BP163" i="10"/>
  <c r="CH110" i="10"/>
  <c r="BM162" i="10"/>
  <c r="CE109" i="10"/>
  <c r="CC63" i="10"/>
  <c r="BK116" i="10"/>
  <c r="BM116" i="10"/>
  <c r="CE63" i="10"/>
  <c r="CE64" i="10"/>
  <c r="BM117" i="10"/>
  <c r="CF65" i="10"/>
  <c r="BN118" i="10"/>
  <c r="CG66" i="10"/>
  <c r="BO119" i="10"/>
  <c r="BN117" i="10"/>
  <c r="CF64" i="10"/>
  <c r="BO118" i="10"/>
  <c r="CG65" i="10"/>
  <c r="BP119" i="10"/>
  <c r="CH66" i="10"/>
  <c r="BQ121" i="10"/>
  <c r="CI68" i="10"/>
  <c r="BL124" i="10"/>
  <c r="CD71" i="10"/>
  <c r="BN126" i="10"/>
  <c r="CF73" i="10"/>
  <c r="BP128" i="10"/>
  <c r="CH75" i="10"/>
  <c r="BK131" i="10"/>
  <c r="CC78" i="10"/>
  <c r="BM133" i="10"/>
  <c r="CE80" i="10"/>
  <c r="BO135" i="10"/>
  <c r="CG82" i="10"/>
  <c r="BQ137" i="10"/>
  <c r="CI84" i="10"/>
  <c r="BL140" i="10"/>
  <c r="CD87" i="10"/>
  <c r="BQ141" i="10"/>
  <c r="CI88" i="10"/>
  <c r="BK143" i="10"/>
  <c r="CC90" i="10"/>
  <c r="BL144" i="10"/>
  <c r="CD91" i="10"/>
  <c r="BM145" i="10"/>
  <c r="CE92" i="10"/>
  <c r="BN146" i="10"/>
  <c r="CF93" i="10"/>
  <c r="BO147" i="10"/>
  <c r="CG94" i="10"/>
  <c r="BP148" i="10"/>
  <c r="CH95" i="10"/>
  <c r="BQ149" i="10"/>
  <c r="CI96" i="10"/>
  <c r="BK151" i="10"/>
  <c r="CC98" i="10"/>
  <c r="BL152" i="10"/>
  <c r="CD99" i="10"/>
  <c r="BM153" i="10"/>
  <c r="CE100" i="10"/>
  <c r="BN154" i="10"/>
  <c r="CF101" i="10"/>
  <c r="BO155" i="10"/>
  <c r="CG102" i="10"/>
  <c r="BP156" i="10"/>
  <c r="CH103" i="10"/>
  <c r="BN120" i="10"/>
  <c r="CF67" i="10"/>
  <c r="BP122" i="10"/>
  <c r="CH69" i="10"/>
  <c r="BK125" i="10"/>
  <c r="CC72" i="10"/>
  <c r="BQ131" i="10"/>
  <c r="CI78" i="10"/>
  <c r="BM127" i="10"/>
  <c r="CE74" i="10"/>
  <c r="BO129" i="10"/>
  <c r="CG76" i="10"/>
  <c r="BL134" i="10"/>
  <c r="CD81" i="10"/>
  <c r="BN136" i="10"/>
  <c r="CF83" i="10"/>
  <c r="BP138" i="10"/>
  <c r="CH85" i="10"/>
  <c r="BN153" i="10"/>
  <c r="CF100" i="10"/>
  <c r="BO158" i="10"/>
  <c r="CG105" i="10"/>
  <c r="BP121" i="10"/>
  <c r="CH68" i="10"/>
  <c r="BM126" i="10"/>
  <c r="CE73" i="10"/>
  <c r="BQ130" i="10"/>
  <c r="CI77" i="10"/>
  <c r="BN135" i="10"/>
  <c r="CF82" i="10"/>
  <c r="BP141" i="10"/>
  <c r="CH88" i="10"/>
  <c r="BM146" i="10"/>
  <c r="CE93" i="10"/>
  <c r="BO148" i="10"/>
  <c r="CG95" i="10"/>
  <c r="BO152" i="10"/>
  <c r="CG99" i="10"/>
  <c r="BQ158" i="10"/>
  <c r="CI105" i="10"/>
  <c r="BO122" i="10"/>
  <c r="CG69" i="10"/>
  <c r="BQ140" i="10"/>
  <c r="CI87" i="10"/>
  <c r="BQ161" i="10"/>
  <c r="CI108" i="10"/>
  <c r="CF110" i="10"/>
  <c r="BN163" i="10"/>
  <c r="BO163" i="10"/>
  <c r="CG110" i="10"/>
  <c r="BN129" i="10"/>
  <c r="CF76" i="10"/>
  <c r="BQ159" i="10"/>
  <c r="CI106" i="10"/>
  <c r="BL122" i="10"/>
  <c r="CD69" i="10"/>
  <c r="BL116" i="10"/>
  <c r="CD63" i="10"/>
  <c r="BO116" i="10"/>
  <c r="CG63" i="10"/>
  <c r="BO117" i="10"/>
  <c r="CG64" i="10"/>
  <c r="BP118" i="10"/>
  <c r="CH65" i="10"/>
  <c r="BQ119" i="10"/>
  <c r="CI66" i="10"/>
  <c r="BP117" i="10"/>
  <c r="CH64" i="10"/>
  <c r="BQ118" i="10"/>
  <c r="CI65" i="10"/>
  <c r="CC67" i="10"/>
  <c r="BK120" i="10"/>
  <c r="BM122" i="10"/>
  <c r="CE69" i="10"/>
  <c r="CG71" i="10"/>
  <c r="BO124" i="10"/>
  <c r="BQ126" i="10"/>
  <c r="CI73" i="10"/>
  <c r="CD76" i="10"/>
  <c r="BL129" i="10"/>
  <c r="BN131" i="10"/>
  <c r="CF78" i="10"/>
  <c r="CH80" i="10"/>
  <c r="BP133" i="10"/>
  <c r="BK136" i="10"/>
  <c r="CC83" i="10"/>
  <c r="CE85" i="10"/>
  <c r="BM138" i="10"/>
  <c r="BO140" i="10"/>
  <c r="CG87" i="10"/>
  <c r="CD89" i="10"/>
  <c r="BL142" i="10"/>
  <c r="BM143" i="10"/>
  <c r="CE90" i="10"/>
  <c r="CF91" i="10"/>
  <c r="BN144" i="10"/>
  <c r="BO145" i="10"/>
  <c r="CG92" i="10"/>
  <c r="CH93" i="10"/>
  <c r="BP146" i="10"/>
  <c r="CI94" i="10"/>
  <c r="BQ147" i="10"/>
  <c r="CC96" i="10"/>
  <c r="BK149" i="10"/>
  <c r="CD97" i="10"/>
  <c r="BL150" i="10"/>
  <c r="CE98" i="10"/>
  <c r="BM151" i="10"/>
  <c r="CF99" i="10"/>
  <c r="BN152" i="10"/>
  <c r="BO153" i="10"/>
  <c r="CG100" i="10"/>
  <c r="BP154" i="10"/>
  <c r="CH101" i="10"/>
  <c r="BQ155" i="10"/>
  <c r="CI102" i="10"/>
  <c r="BK157" i="10"/>
  <c r="CC104" i="10"/>
  <c r="BQ120" i="10"/>
  <c r="CI67" i="10"/>
  <c r="BL123" i="10"/>
  <c r="CD70" i="10"/>
  <c r="BN125" i="10"/>
  <c r="CF72" i="10"/>
  <c r="BP127" i="10"/>
  <c r="CH74" i="10"/>
  <c r="BK130" i="10"/>
  <c r="CC77" i="10"/>
  <c r="BM132" i="10"/>
  <c r="CE79" i="10"/>
  <c r="BO134" i="10"/>
  <c r="CG81" i="10"/>
  <c r="BQ136" i="10"/>
  <c r="CI83" i="10"/>
  <c r="BL139" i="10"/>
  <c r="CD86" i="10"/>
  <c r="BQ150" i="10"/>
  <c r="CI97" i="10"/>
  <c r="BK154" i="10"/>
  <c r="CC101" i="10"/>
  <c r="BQ156" i="10"/>
  <c r="CI103" i="10"/>
  <c r="BN159" i="10"/>
  <c r="CF106" i="10"/>
  <c r="BP161" i="10"/>
  <c r="CH108" i="10"/>
  <c r="BN122" i="10"/>
  <c r="CF69" i="10"/>
  <c r="BP124" i="10"/>
  <c r="CH71" i="10"/>
  <c r="BK127" i="10"/>
  <c r="CC74" i="10"/>
  <c r="BM129" i="10"/>
  <c r="CE76" i="10"/>
  <c r="BO131" i="10"/>
  <c r="CG78" i="10"/>
  <c r="BQ133" i="10"/>
  <c r="CI80" i="10"/>
  <c r="BL136" i="10"/>
  <c r="CD83" i="10"/>
  <c r="BN138" i="10"/>
  <c r="CF85" i="10"/>
  <c r="BP140" i="10"/>
  <c r="CH87" i="10"/>
  <c r="BK142" i="10"/>
  <c r="CC89" i="10"/>
  <c r="BL143" i="10"/>
  <c r="CD90" i="10"/>
  <c r="BM144" i="10"/>
  <c r="CE91" i="10"/>
  <c r="BN145" i="10"/>
  <c r="CF92" i="10"/>
  <c r="BO146" i="10"/>
  <c r="CG93" i="10"/>
  <c r="BP147" i="10"/>
  <c r="CH94" i="10"/>
  <c r="BQ148" i="10"/>
  <c r="CI95" i="10"/>
  <c r="BK150" i="10"/>
  <c r="CC97" i="10"/>
  <c r="BN151" i="10"/>
  <c r="CF98" i="10"/>
  <c r="BL153" i="10"/>
  <c r="CD100" i="10"/>
  <c r="BN155" i="10"/>
  <c r="CF102" i="10"/>
  <c r="BL157" i="10"/>
  <c r="CD104" i="10"/>
  <c r="BL159" i="10"/>
  <c r="CD106" i="10"/>
  <c r="BN161" i="10"/>
  <c r="CF108" i="10"/>
  <c r="BO125" i="10"/>
  <c r="CG72" i="10"/>
  <c r="CH81" i="10"/>
  <c r="BP134" i="10"/>
  <c r="CI104" i="10"/>
  <c r="BQ157" i="10"/>
  <c r="BL160" i="10"/>
  <c r="CD107" i="10"/>
  <c r="BP162" i="10"/>
  <c r="CH109" i="10"/>
  <c r="BM128" i="10"/>
  <c r="CE75" i="10"/>
  <c r="BN121" i="10"/>
  <c r="CF68" i="10"/>
  <c r="BO130" i="10"/>
  <c r="CG77" i="10"/>
  <c r="BP139" i="10"/>
  <c r="CH86" i="10"/>
  <c r="BP126" i="10"/>
  <c r="CH73" i="10"/>
  <c r="BM123" i="10"/>
  <c r="CE70" i="10"/>
  <c r="BN132" i="10"/>
  <c r="CF79" i="10"/>
  <c r="BL158" i="10"/>
  <c r="CD105" i="10"/>
  <c r="BN160" i="10"/>
  <c r="CF107" i="10"/>
  <c r="BO162" i="10"/>
  <c r="CG109" i="10"/>
  <c r="BM131" i="10"/>
  <c r="CE78" i="10"/>
  <c r="BK141" i="10"/>
  <c r="CC88" i="10"/>
  <c r="BP155" i="10"/>
  <c r="CH102" i="10"/>
  <c r="BQ160" i="10"/>
  <c r="CI107" i="10"/>
  <c r="BK124" i="10"/>
  <c r="CC71" i="10"/>
  <c r="BO128" i="10"/>
  <c r="CG75" i="10"/>
  <c r="BL133" i="10"/>
  <c r="CD80" i="10"/>
  <c r="BP137" i="10"/>
  <c r="CH84" i="10"/>
  <c r="BK140" i="10"/>
  <c r="CC87" i="10"/>
  <c r="BQ142" i="10"/>
  <c r="CI89" i="10"/>
  <c r="BK144" i="10"/>
  <c r="CC91" i="10"/>
  <c r="BL145" i="10"/>
  <c r="CD92" i="10"/>
  <c r="BN147" i="10"/>
  <c r="CF94" i="10"/>
  <c r="BP149" i="10"/>
  <c r="CH96" i="10"/>
  <c r="BL151" i="10"/>
  <c r="CD98" i="10"/>
  <c r="BQ154" i="10"/>
  <c r="CI101" i="10"/>
  <c r="BO156" i="10"/>
  <c r="CG103" i="10"/>
  <c r="BL161" i="10"/>
  <c r="CD108" i="10"/>
  <c r="CH78" i="10"/>
  <c r="BP131" i="10"/>
  <c r="BO159" i="10"/>
  <c r="CG106" i="10"/>
  <c r="BP123" i="10"/>
  <c r="CH70" i="10"/>
  <c r="BK129" i="10"/>
  <c r="CC76" i="10"/>
  <c r="BL138" i="10"/>
  <c r="CD85" i="10"/>
  <c r="BM120" i="10"/>
  <c r="CE67" i="10"/>
  <c r="CG85" i="10"/>
  <c r="BO138" i="10"/>
  <c r="BL162" i="10"/>
  <c r="CD109" i="10"/>
  <c r="BN116" i="10"/>
  <c r="CF63" i="10"/>
  <c r="BQ116" i="10"/>
  <c r="CI63" i="10"/>
  <c r="BQ117" i="10"/>
  <c r="CI64" i="10"/>
  <c r="BK119" i="10"/>
  <c r="CC66" i="10"/>
  <c r="BL120" i="10"/>
  <c r="CD67" i="10"/>
  <c r="CC65" i="10"/>
  <c r="BK118" i="10"/>
  <c r="BL119" i="10"/>
  <c r="CD66" i="10"/>
  <c r="BP120" i="10"/>
  <c r="CH67" i="10"/>
  <c r="BK123" i="10"/>
  <c r="CC70" i="10"/>
  <c r="BM125" i="10"/>
  <c r="CE72" i="10"/>
  <c r="BO127" i="10"/>
  <c r="CG74" i="10"/>
  <c r="BQ129" i="10"/>
  <c r="CI76" i="10"/>
  <c r="BL132" i="10"/>
  <c r="CD79" i="10"/>
  <c r="BN134" i="10"/>
  <c r="CF81" i="10"/>
  <c r="BP136" i="10"/>
  <c r="CH83" i="10"/>
  <c r="BK139" i="10"/>
  <c r="CC86" i="10"/>
  <c r="BM141" i="10"/>
  <c r="CE88" i="10"/>
  <c r="BN142" i="10"/>
  <c r="CF89" i="10"/>
  <c r="BO143" i="10"/>
  <c r="CG90" i="10"/>
  <c r="BP144" i="10"/>
  <c r="CH91" i="10"/>
  <c r="BQ145" i="10"/>
  <c r="CI92" i="10"/>
  <c r="BK147" i="10"/>
  <c r="CC94" i="10"/>
  <c r="BL148" i="10"/>
  <c r="CD95" i="10"/>
  <c r="CE96" i="10"/>
  <c r="BM149" i="10"/>
  <c r="CF97" i="10"/>
  <c r="BN150" i="10"/>
  <c r="BO151" i="10"/>
  <c r="CG98" i="10"/>
  <c r="BP152" i="10"/>
  <c r="CH99" i="10"/>
  <c r="CI100" i="10"/>
  <c r="BQ153" i="10"/>
  <c r="CC102" i="10"/>
  <c r="BK155" i="10"/>
  <c r="BL156" i="10"/>
  <c r="CD103" i="10"/>
  <c r="BM157" i="10"/>
  <c r="CE104" i="10"/>
  <c r="CG68" i="10"/>
  <c r="BO121" i="10"/>
  <c r="CI70" i="10"/>
  <c r="BQ123" i="10"/>
  <c r="BL126" i="10"/>
  <c r="CD73" i="10"/>
  <c r="BN128" i="10"/>
  <c r="CF75" i="10"/>
  <c r="CH77" i="10"/>
  <c r="BP130" i="10"/>
  <c r="CC80" i="10"/>
  <c r="BK133" i="10"/>
  <c r="BM135" i="10"/>
  <c r="CE82" i="10"/>
  <c r="BO137" i="10"/>
  <c r="CG84" i="10"/>
  <c r="CI86" i="10"/>
  <c r="BQ139" i="10"/>
  <c r="BK152" i="10"/>
  <c r="CC99" i="10"/>
  <c r="BO154" i="10"/>
  <c r="CG101" i="10"/>
  <c r="BN157" i="10"/>
  <c r="CF104" i="10"/>
  <c r="BK160" i="10"/>
  <c r="CC107" i="10"/>
  <c r="CG67" i="10"/>
  <c r="BO120" i="10"/>
  <c r="CI69" i="10"/>
  <c r="BQ122" i="10"/>
  <c r="BL125" i="10"/>
  <c r="CD72" i="10"/>
  <c r="CF74" i="10"/>
  <c r="BN127" i="10"/>
  <c r="CH76" i="10"/>
  <c r="BP129" i="10"/>
  <c r="CC79" i="10"/>
  <c r="BK132" i="10"/>
  <c r="BM134" i="10"/>
  <c r="CE81" i="10"/>
  <c r="CG83" i="10"/>
  <c r="BO136" i="10"/>
  <c r="CI85" i="10"/>
  <c r="BQ138" i="10"/>
  <c r="CD88" i="10"/>
  <c r="BL141" i="10"/>
  <c r="BM142" i="10"/>
  <c r="CE89" i="10"/>
  <c r="CF90" i="10"/>
  <c r="BN143" i="10"/>
  <c r="CG91" i="10"/>
  <c r="BO144" i="10"/>
  <c r="CH92" i="10"/>
  <c r="BP145" i="10"/>
  <c r="BQ146" i="10"/>
  <c r="CI93" i="10"/>
  <c r="CC95" i="10"/>
  <c r="BK148" i="10"/>
  <c r="CD96" i="10"/>
  <c r="BL149" i="10"/>
  <c r="BM150" i="10"/>
  <c r="CE97" i="10"/>
  <c r="BP151" i="10"/>
  <c r="CH98" i="10"/>
  <c r="BP153" i="10"/>
  <c r="CH100" i="10"/>
  <c r="BK156" i="10"/>
  <c r="CC103" i="10"/>
  <c r="BP157" i="10"/>
  <c r="CH104" i="10"/>
  <c r="BP159" i="10"/>
  <c r="CH106" i="10"/>
  <c r="BK162" i="10"/>
  <c r="CC109" i="10"/>
  <c r="BL127" i="10"/>
  <c r="CD74" i="10"/>
  <c r="BM136" i="10"/>
  <c r="CE83" i="10"/>
  <c r="CF105" i="10"/>
  <c r="BN158" i="10"/>
  <c r="CH107" i="10"/>
  <c r="BP160" i="10"/>
  <c r="BL163" i="10"/>
  <c r="CD110" i="10"/>
  <c r="BQ132" i="10"/>
  <c r="CI79" i="10"/>
  <c r="CF71" i="10"/>
  <c r="BN124" i="10"/>
  <c r="BO133" i="10"/>
  <c r="CG80" i="10"/>
  <c r="CF109" i="10"/>
  <c r="BN162" i="10"/>
  <c r="BN137" i="10"/>
  <c r="CF84" i="10"/>
  <c r="BQ124" i="10"/>
  <c r="CI71" i="10"/>
  <c r="BK134" i="10"/>
  <c r="CC81" i="10"/>
  <c r="BP158" i="10"/>
  <c r="CH105" i="10"/>
  <c r="CC108" i="10"/>
  <c r="BK161" i="10"/>
  <c r="BM163" i="10"/>
  <c r="CE110" i="10"/>
  <c r="BQ135" i="10"/>
  <c r="CI82" i="10"/>
  <c r="DQ112" i="10"/>
  <c r="DM112" i="10"/>
  <c r="DN112" i="10"/>
  <c r="DS112" i="10"/>
  <c r="DP112" i="10"/>
  <c r="DO112" i="10"/>
  <c r="DR112" i="10"/>
  <c r="BZ106" i="10"/>
  <c r="BV64" i="10"/>
  <c r="BX66" i="10"/>
  <c r="BX65" i="10"/>
  <c r="BZ68" i="10"/>
  <c r="BW73" i="10"/>
  <c r="BT78" i="10"/>
  <c r="BX82" i="10"/>
  <c r="BU87" i="10"/>
  <c r="BT90" i="10"/>
  <c r="BV92" i="10"/>
  <c r="BX94" i="10"/>
  <c r="BZ96" i="10"/>
  <c r="BV100" i="10"/>
  <c r="BX102" i="10"/>
  <c r="BW67" i="10"/>
  <c r="BT72" i="10"/>
  <c r="BV74" i="10"/>
  <c r="BZ78" i="10"/>
  <c r="BW83" i="10"/>
  <c r="BT88" i="10"/>
  <c r="BY102" i="10"/>
  <c r="BZ107" i="10"/>
  <c r="BT71" i="10"/>
  <c r="BX75" i="10"/>
  <c r="BU80" i="10"/>
  <c r="BY84" i="10"/>
  <c r="BY88" i="10"/>
  <c r="BT91" i="10"/>
  <c r="BV93" i="10"/>
  <c r="BX95" i="10"/>
  <c r="BU98" i="10"/>
  <c r="BZ101" i="10"/>
  <c r="BX103" i="10"/>
  <c r="BU108" i="10"/>
  <c r="BY78" i="10"/>
  <c r="BX106" i="10"/>
  <c r="BY70" i="10"/>
  <c r="BT76" i="10"/>
  <c r="BX110" i="10"/>
  <c r="BW76" i="10"/>
  <c r="BU109" i="10"/>
  <c r="BW65" i="10"/>
  <c r="BW64" i="10"/>
  <c r="BY66" i="10"/>
  <c r="BU71" i="10"/>
  <c r="BY75" i="10"/>
  <c r="BV80" i="10"/>
  <c r="BZ84" i="10"/>
  <c r="BZ88" i="10"/>
  <c r="BU91" i="10"/>
  <c r="BW93" i="10"/>
  <c r="BY95" i="10"/>
  <c r="BT98" i="10"/>
  <c r="BU99" i="10"/>
  <c r="BW101" i="10"/>
  <c r="BY103" i="10"/>
  <c r="BY69" i="10"/>
  <c r="BX76" i="10"/>
  <c r="BU81" i="10"/>
  <c r="BY85" i="10"/>
  <c r="BW100" i="10"/>
  <c r="BX105" i="10"/>
  <c r="BY68" i="10"/>
  <c r="BV73" i="10"/>
  <c r="BZ77" i="10"/>
  <c r="BW82" i="10"/>
  <c r="BT87" i="10"/>
  <c r="BZ89" i="10"/>
  <c r="BU92" i="10"/>
  <c r="BW94" i="10"/>
  <c r="BY96" i="10"/>
  <c r="BX99" i="10"/>
  <c r="BZ105" i="10"/>
  <c r="BX69" i="10"/>
  <c r="BZ87" i="10"/>
  <c r="BZ108" i="10"/>
  <c r="BW110" i="10"/>
  <c r="BU85" i="10"/>
  <c r="BV67" i="10"/>
  <c r="BX85" i="10"/>
  <c r="BU69" i="10"/>
  <c r="BX64" i="10"/>
  <c r="BY65" i="10"/>
  <c r="BZ66" i="10"/>
  <c r="BY64" i="10"/>
  <c r="BZ65" i="10"/>
  <c r="BT67" i="10"/>
  <c r="BV69" i="10"/>
  <c r="BX71" i="10"/>
  <c r="BZ73" i="10"/>
  <c r="BU76" i="10"/>
  <c r="BW78" i="10"/>
  <c r="BY80" i="10"/>
  <c r="BT83" i="10"/>
  <c r="BV85" i="10"/>
  <c r="BX87" i="10"/>
  <c r="BU89" i="10"/>
  <c r="BV90" i="10"/>
  <c r="BW91" i="10"/>
  <c r="BX92" i="10"/>
  <c r="BY93" i="10"/>
  <c r="BZ94" i="10"/>
  <c r="BT96" i="10"/>
  <c r="BU97" i="10"/>
  <c r="BV98" i="10"/>
  <c r="BW99" i="10"/>
  <c r="BX100" i="10"/>
  <c r="BY101" i="10"/>
  <c r="BZ102" i="10"/>
  <c r="BT104" i="10"/>
  <c r="BZ67" i="10"/>
  <c r="BU70" i="10"/>
  <c r="BW72" i="10"/>
  <c r="BY74" i="10"/>
  <c r="BT77" i="10"/>
  <c r="BV79" i="10"/>
  <c r="BX81" i="10"/>
  <c r="BZ83" i="10"/>
  <c r="BU86" i="10"/>
  <c r="BZ97" i="10"/>
  <c r="BT101" i="10"/>
  <c r="BZ103" i="10"/>
  <c r="BW106" i="10"/>
  <c r="BY108" i="10"/>
  <c r="BW69" i="10"/>
  <c r="BY71" i="10"/>
  <c r="BT74" i="10"/>
  <c r="BV76" i="10"/>
  <c r="BX78" i="10"/>
  <c r="BZ80" i="10"/>
  <c r="BU83" i="10"/>
  <c r="BW85" i="10"/>
  <c r="BY87" i="10"/>
  <c r="BT89" i="10"/>
  <c r="BU90" i="10"/>
  <c r="BV91" i="10"/>
  <c r="BW92" i="10"/>
  <c r="BX93" i="10"/>
  <c r="BY94" i="10"/>
  <c r="BZ95" i="10"/>
  <c r="BT97" i="10"/>
  <c r="BW98" i="10"/>
  <c r="BU100" i="10"/>
  <c r="BW102" i="10"/>
  <c r="BU104" i="10"/>
  <c r="BU106" i="10"/>
  <c r="BW108" i="10"/>
  <c r="BX72" i="10"/>
  <c r="BY81" i="10"/>
  <c r="BZ104" i="10"/>
  <c r="BU107" i="10"/>
  <c r="BY109" i="10"/>
  <c r="BV75" i="10"/>
  <c r="BW68" i="10"/>
  <c r="BX77" i="10"/>
  <c r="BY86" i="10"/>
  <c r="BY73" i="10"/>
  <c r="BV70" i="10"/>
  <c r="BW79" i="10"/>
  <c r="BU105" i="10"/>
  <c r="BW107" i="10"/>
  <c r="BX109" i="10"/>
  <c r="BV78" i="10"/>
  <c r="BZ64" i="10"/>
  <c r="BT66" i="10"/>
  <c r="BU67" i="10"/>
  <c r="BT65" i="10"/>
  <c r="BU66" i="10"/>
  <c r="BY67" i="10"/>
  <c r="BT70" i="10"/>
  <c r="BV72" i="10"/>
  <c r="BX74" i="10"/>
  <c r="BZ76" i="10"/>
  <c r="BU79" i="10"/>
  <c r="BW81" i="10"/>
  <c r="BY83" i="10"/>
  <c r="BT86" i="10"/>
  <c r="BV88" i="10"/>
  <c r="BW89" i="10"/>
  <c r="BX90" i="10"/>
  <c r="BY91" i="10"/>
  <c r="BZ92" i="10"/>
  <c r="BT94" i="10"/>
  <c r="BU95" i="10"/>
  <c r="BV96" i="10"/>
  <c r="BW97" i="10"/>
  <c r="BX98" i="10"/>
  <c r="BY99" i="10"/>
  <c r="BZ100" i="10"/>
  <c r="BT102" i="10"/>
  <c r="BU103" i="10"/>
  <c r="BV104" i="10"/>
  <c r="BX68" i="10"/>
  <c r="BZ70" i="10"/>
  <c r="BU73" i="10"/>
  <c r="BW75" i="10"/>
  <c r="BY77" i="10"/>
  <c r="BT80" i="10"/>
  <c r="BV82" i="10"/>
  <c r="BX84" i="10"/>
  <c r="BZ86" i="10"/>
  <c r="BT99" i="10"/>
  <c r="BX101" i="10"/>
  <c r="BW104" i="10"/>
  <c r="BT107" i="10"/>
  <c r="BX67" i="10"/>
  <c r="BZ69" i="10"/>
  <c r="BU72" i="10"/>
  <c r="BW74" i="10"/>
  <c r="BY76" i="10"/>
  <c r="BT79" i="10"/>
  <c r="BV81" i="10"/>
  <c r="BX83" i="10"/>
  <c r="BZ85" i="10"/>
  <c r="BU88" i="10"/>
  <c r="BV89" i="10"/>
  <c r="BW90" i="10"/>
  <c r="BX91" i="10"/>
  <c r="BY92" i="10"/>
  <c r="BZ93" i="10"/>
  <c r="BT95" i="10"/>
  <c r="BU96" i="10"/>
  <c r="BV97" i="10"/>
  <c r="BY98" i="10"/>
  <c r="BY100" i="10"/>
  <c r="BT103" i="10"/>
  <c r="BY104" i="10"/>
  <c r="BY106" i="10"/>
  <c r="BT109" i="10"/>
  <c r="BU74" i="10"/>
  <c r="BV83" i="10"/>
  <c r="BW105" i="10"/>
  <c r="BY107" i="10"/>
  <c r="BU110" i="10"/>
  <c r="BZ79" i="10"/>
  <c r="BW71" i="10"/>
  <c r="BX80" i="10"/>
  <c r="BW109" i="10"/>
  <c r="BW84" i="10"/>
  <c r="BZ71" i="10"/>
  <c r="BT81" i="10"/>
  <c r="BY105" i="10"/>
  <c r="BT108" i="10"/>
  <c r="BV110" i="10"/>
  <c r="BZ82" i="10"/>
  <c r="BT64" i="10"/>
  <c r="BU65" i="10"/>
  <c r="BV66" i="10"/>
  <c r="BU64" i="10"/>
  <c r="BV65" i="10"/>
  <c r="BW66" i="10"/>
  <c r="BU68" i="10"/>
  <c r="BW70" i="10"/>
  <c r="BY72" i="10"/>
  <c r="BT75" i="10"/>
  <c r="BV77" i="10"/>
  <c r="BX79" i="10"/>
  <c r="BZ81" i="10"/>
  <c r="BU84" i="10"/>
  <c r="BW86" i="10"/>
  <c r="BX88" i="10"/>
  <c r="BY89" i="10"/>
  <c r="BZ90" i="10"/>
  <c r="BT92" i="10"/>
  <c r="BU93" i="10"/>
  <c r="BV94" i="10"/>
  <c r="BW95" i="10"/>
  <c r="BX96" i="10"/>
  <c r="BY97" i="10"/>
  <c r="BZ98" i="10"/>
  <c r="BT100" i="10"/>
  <c r="BU101" i="10"/>
  <c r="BV102" i="10"/>
  <c r="BW103" i="10"/>
  <c r="BX104" i="10"/>
  <c r="BT69" i="10"/>
  <c r="BV71" i="10"/>
  <c r="BX73" i="10"/>
  <c r="BZ75" i="10"/>
  <c r="BU78" i="10"/>
  <c r="BW80" i="10"/>
  <c r="BY82" i="10"/>
  <c r="BT85" i="10"/>
  <c r="BV87" i="10"/>
  <c r="BZ99" i="10"/>
  <c r="BU102" i="10"/>
  <c r="BT105" i="10"/>
  <c r="BX107" i="10"/>
  <c r="BV68" i="10"/>
  <c r="BX70" i="10"/>
  <c r="BZ72" i="10"/>
  <c r="BU75" i="10"/>
  <c r="BW77" i="10"/>
  <c r="BY79" i="10"/>
  <c r="BT82" i="10"/>
  <c r="BV84" i="10"/>
  <c r="BX86" i="10"/>
  <c r="BW88" i="10"/>
  <c r="BX89" i="10"/>
  <c r="BY90" i="10"/>
  <c r="BZ91" i="10"/>
  <c r="BT93" i="10"/>
  <c r="BU94" i="10"/>
  <c r="BV95" i="10"/>
  <c r="BW96" i="10"/>
  <c r="BX97" i="10"/>
  <c r="BV99" i="10"/>
  <c r="BV101" i="10"/>
  <c r="BV103" i="10"/>
  <c r="BV105" i="10"/>
  <c r="BV107" i="10"/>
  <c r="BT68" i="10"/>
  <c r="BU77" i="10"/>
  <c r="BV86" i="10"/>
  <c r="BT106" i="10"/>
  <c r="BV108" i="10"/>
  <c r="BZ110" i="10"/>
  <c r="BW87" i="10"/>
  <c r="BT73" i="10"/>
  <c r="BU82" i="10"/>
  <c r="BZ109" i="10"/>
  <c r="BT110" i="10"/>
  <c r="BZ74" i="10"/>
  <c r="BT84" i="10"/>
  <c r="BV106" i="10"/>
  <c r="BX108" i="10"/>
  <c r="BY110" i="10"/>
  <c r="BV109" i="10"/>
  <c r="BV63" i="10"/>
  <c r="BU63" i="10"/>
  <c r="BX63" i="10"/>
  <c r="BY63" i="10"/>
  <c r="BW63" i="10"/>
  <c r="BZ63" i="10"/>
  <c r="BM111" i="10"/>
  <c r="BM112" i="10" s="1"/>
  <c r="BL111" i="10"/>
  <c r="BL112" i="10" s="1"/>
  <c r="BO111" i="10"/>
  <c r="BO112" i="10" s="1"/>
  <c r="BP111" i="10"/>
  <c r="BP112" i="10" s="1"/>
  <c r="BN111" i="10"/>
  <c r="BN112" i="10" s="1"/>
  <c r="BQ111" i="10"/>
  <c r="BQ112" i="10" s="1"/>
  <c r="BT63" i="10"/>
  <c r="BK111" i="10"/>
  <c r="BH51" i="10"/>
  <c r="AJ55" i="10"/>
  <c r="AJ119" i="10"/>
  <c r="AJ56" i="10"/>
  <c r="AF56" i="10"/>
  <c r="AF55" i="10"/>
  <c r="AF119" i="10"/>
  <c r="AI119" i="10"/>
  <c r="AL119" i="10"/>
  <c r="AH119" i="10"/>
  <c r="BM48" i="10"/>
  <c r="BM7" i="10"/>
  <c r="BK46" i="10"/>
  <c r="AK119" i="10"/>
  <c r="AG119" i="10"/>
  <c r="BJ53" i="10"/>
  <c r="BI44" i="10"/>
  <c r="BJ7" i="10"/>
  <c r="BK53" i="10"/>
  <c r="BJ52" i="10"/>
  <c r="BL50" i="10"/>
  <c r="BG49" i="10"/>
  <c r="BI47" i="10"/>
  <c r="BK45" i="10"/>
  <c r="BM43" i="10"/>
  <c r="BH42" i="10"/>
  <c r="BJ40" i="10"/>
  <c r="BI39" i="10"/>
  <c r="BK37" i="10"/>
  <c r="BM35" i="10"/>
  <c r="BK33" i="10"/>
  <c r="BJ32" i="10"/>
  <c r="BL30" i="10"/>
  <c r="BG29" i="10"/>
  <c r="BM27" i="10"/>
  <c r="BH26" i="10"/>
  <c r="BJ24" i="10"/>
  <c r="BL22" i="10"/>
  <c r="BK21" i="10"/>
  <c r="BM19" i="10"/>
  <c r="BH18" i="10"/>
  <c r="BJ16" i="10"/>
  <c r="BL14" i="10"/>
  <c r="BK13" i="10"/>
  <c r="BM11" i="10"/>
  <c r="BK9" i="10"/>
  <c r="BJ8" i="10"/>
  <c r="AG55" i="10"/>
  <c r="AX7" i="10"/>
  <c r="BA52" i="10"/>
  <c r="AZ47" i="10"/>
  <c r="BD43" i="10"/>
  <c r="BB33" i="10"/>
  <c r="AX29" i="10"/>
  <c r="BA24" i="10"/>
  <c r="BD19" i="10"/>
  <c r="BA8" i="10"/>
  <c r="BC43" i="10"/>
  <c r="AY43" i="10"/>
  <c r="BB42" i="10"/>
  <c r="AX42" i="10"/>
  <c r="BA41" i="10"/>
  <c r="BD40" i="10"/>
  <c r="AZ40" i="10"/>
  <c r="BC39" i="10"/>
  <c r="AY39" i="10"/>
  <c r="BB38" i="10"/>
  <c r="AX38" i="10"/>
  <c r="BA37" i="10"/>
  <c r="BD36" i="10"/>
  <c r="AZ36" i="10"/>
  <c r="BC35" i="10"/>
  <c r="AY35" i="10"/>
  <c r="BB34" i="10"/>
  <c r="AX34" i="10"/>
  <c r="BA33" i="10"/>
  <c r="BD32" i="10"/>
  <c r="AZ32" i="10"/>
  <c r="BC31" i="10"/>
  <c r="AY31" i="10"/>
  <c r="BB30" i="10"/>
  <c r="AX30" i="10"/>
  <c r="BA29" i="10"/>
  <c r="BD28" i="10"/>
  <c r="AZ28" i="10"/>
  <c r="BC27" i="10"/>
  <c r="AY27" i="10"/>
  <c r="BB26" i="10"/>
  <c r="AX26" i="10"/>
  <c r="BA25" i="10"/>
  <c r="BD24" i="10"/>
  <c r="AZ24" i="10"/>
  <c r="BC23" i="10"/>
  <c r="AY23" i="10"/>
  <c r="BB22" i="10"/>
  <c r="AX22" i="10"/>
  <c r="BA21" i="10"/>
  <c r="BD20" i="10"/>
  <c r="AZ20" i="10"/>
  <c r="BC19" i="10"/>
  <c r="AY19" i="10"/>
  <c r="BB18" i="10"/>
  <c r="AX18" i="10"/>
  <c r="BA17" i="10"/>
  <c r="BD16" i="10"/>
  <c r="AZ16" i="10"/>
  <c r="BC15" i="10"/>
  <c r="AY15" i="10"/>
  <c r="BB14" i="10"/>
  <c r="AX14" i="10"/>
  <c r="BA13" i="10"/>
  <c r="BD12" i="10"/>
  <c r="AZ12" i="10"/>
  <c r="BC11" i="10"/>
  <c r="AY11" i="10"/>
  <c r="BB10" i="10"/>
  <c r="AX10" i="10"/>
  <c r="BA9" i="10"/>
  <c r="BD8" i="10"/>
  <c r="BI8" i="10"/>
  <c r="AZ8" i="10"/>
  <c r="BD7" i="10"/>
  <c r="AZ7" i="10"/>
  <c r="BB54" i="10"/>
  <c r="AX54" i="10"/>
  <c r="BA53" i="10"/>
  <c r="BD52" i="10"/>
  <c r="AZ52" i="10"/>
  <c r="BC51" i="10"/>
  <c r="AY51" i="10"/>
  <c r="BB50" i="10"/>
  <c r="AX50" i="10"/>
  <c r="BA49" i="10"/>
  <c r="BD48" i="10"/>
  <c r="AZ48" i="10"/>
  <c r="BC47" i="10"/>
  <c r="AY47" i="10"/>
  <c r="BB46" i="10"/>
  <c r="AX46" i="10"/>
  <c r="BA45" i="10"/>
  <c r="BD44" i="10"/>
  <c r="AZ44" i="10"/>
  <c r="AY42" i="10"/>
  <c r="BB37" i="10"/>
  <c r="BC30" i="10"/>
  <c r="AY26" i="10"/>
  <c r="BB21" i="10"/>
  <c r="BC14" i="10"/>
  <c r="BI7" i="10"/>
  <c r="BM52" i="10"/>
  <c r="BK50" i="10"/>
  <c r="BI48" i="10"/>
  <c r="BG46" i="10"/>
  <c r="BL43" i="10"/>
  <c r="BJ41" i="10"/>
  <c r="BH39" i="10"/>
  <c r="BM36" i="10"/>
  <c r="BK34" i="10"/>
  <c r="BI32" i="10"/>
  <c r="BG30" i="10"/>
  <c r="BL27" i="10"/>
  <c r="BJ25" i="10"/>
  <c r="BH23" i="10"/>
  <c r="BM20" i="10"/>
  <c r="BK18" i="10"/>
  <c r="BI16" i="10"/>
  <c r="BG14" i="10"/>
  <c r="BL11" i="10"/>
  <c r="BJ9" i="10"/>
  <c r="BL54" i="10"/>
  <c r="BM51" i="10"/>
  <c r="BH50" i="10"/>
  <c r="BJ48" i="10"/>
  <c r="BL46" i="10"/>
  <c r="BG45" i="10"/>
  <c r="BI43" i="10"/>
  <c r="BK41" i="10"/>
  <c r="BM39" i="10"/>
  <c r="BH38" i="10"/>
  <c r="BJ36" i="10"/>
  <c r="BH34" i="10"/>
  <c r="BM31" i="10"/>
  <c r="BH30" i="10"/>
  <c r="BJ28" i="10"/>
  <c r="BL26" i="10"/>
  <c r="BG25" i="10"/>
  <c r="BI23" i="10"/>
  <c r="BG21" i="10"/>
  <c r="BL18" i="10"/>
  <c r="BG17" i="10"/>
  <c r="BI15" i="10"/>
  <c r="BG13" i="10"/>
  <c r="BL10" i="10"/>
  <c r="BG9" i="10"/>
  <c r="AK56" i="10"/>
  <c r="BA7" i="10"/>
  <c r="AY50" i="10"/>
  <c r="BA40" i="10"/>
  <c r="K56" i="10"/>
  <c r="BL7" i="10"/>
  <c r="BH7" i="10"/>
  <c r="BJ54" i="10"/>
  <c r="BM53" i="10"/>
  <c r="BI53" i="10"/>
  <c r="BL52" i="10"/>
  <c r="BH52" i="10"/>
  <c r="BK51" i="10"/>
  <c r="BG51" i="10"/>
  <c r="BJ50" i="10"/>
  <c r="BM49" i="10"/>
  <c r="BI49" i="10"/>
  <c r="BL48" i="10"/>
  <c r="BH48" i="10"/>
  <c r="BK47" i="10"/>
  <c r="BG47" i="10"/>
  <c r="BJ46" i="10"/>
  <c r="BM45" i="10"/>
  <c r="BI45" i="10"/>
  <c r="BL44" i="10"/>
  <c r="BH44" i="10"/>
  <c r="BK43" i="10"/>
  <c r="BG43" i="10"/>
  <c r="BA42" i="10"/>
  <c r="BJ42" i="10"/>
  <c r="BD41" i="10"/>
  <c r="BM41" i="10"/>
  <c r="AZ41" i="10"/>
  <c r="BI41" i="10"/>
  <c r="BC40" i="10"/>
  <c r="BL40" i="10"/>
  <c r="AY40" i="10"/>
  <c r="BH40" i="10"/>
  <c r="BB39" i="10"/>
  <c r="BK39" i="10"/>
  <c r="AX39" i="10"/>
  <c r="BG39" i="10"/>
  <c r="BA38" i="10"/>
  <c r="BJ38" i="10"/>
  <c r="BD37" i="10"/>
  <c r="BM37" i="10"/>
  <c r="AZ37" i="10"/>
  <c r="BI37" i="10"/>
  <c r="BC36" i="10"/>
  <c r="BL36" i="10"/>
  <c r="AY36" i="10"/>
  <c r="BH36" i="10"/>
  <c r="BB35" i="10"/>
  <c r="BK35" i="10"/>
  <c r="AX35" i="10"/>
  <c r="BG35" i="10"/>
  <c r="BA34" i="10"/>
  <c r="BJ34" i="10"/>
  <c r="BD33" i="10"/>
  <c r="BM33" i="10"/>
  <c r="AZ33" i="10"/>
  <c r="BI33" i="10"/>
  <c r="BC32" i="10"/>
  <c r="BL32" i="10"/>
  <c r="AY32" i="10"/>
  <c r="BH32" i="10"/>
  <c r="BB31" i="10"/>
  <c r="BK31" i="10"/>
  <c r="AX31" i="10"/>
  <c r="BG31" i="10"/>
  <c r="BA30" i="10"/>
  <c r="BJ30" i="10"/>
  <c r="BD29" i="10"/>
  <c r="BM29" i="10"/>
  <c r="AZ29" i="10"/>
  <c r="BI29" i="10"/>
  <c r="BC28" i="10"/>
  <c r="BL28" i="10"/>
  <c r="AY28" i="10"/>
  <c r="BH28" i="10"/>
  <c r="BB27" i="10"/>
  <c r="BK27" i="10"/>
  <c r="AX27" i="10"/>
  <c r="BG27" i="10"/>
  <c r="BA26" i="10"/>
  <c r="BJ26" i="10"/>
  <c r="BD25" i="10"/>
  <c r="BM25" i="10"/>
  <c r="AZ25" i="10"/>
  <c r="BI25" i="10"/>
  <c r="BC24" i="10"/>
  <c r="BL24" i="10"/>
  <c r="AY24" i="10"/>
  <c r="BH24" i="10"/>
  <c r="BB23" i="10"/>
  <c r="BK23" i="10"/>
  <c r="AX23" i="10"/>
  <c r="BG23" i="10"/>
  <c r="BA22" i="10"/>
  <c r="BJ22" i="10"/>
  <c r="BD21" i="10"/>
  <c r="BM21" i="10"/>
  <c r="AZ21" i="10"/>
  <c r="BI21" i="10"/>
  <c r="BC20" i="10"/>
  <c r="BL20" i="10"/>
  <c r="AY20" i="10"/>
  <c r="BH20" i="10"/>
  <c r="BB19" i="10"/>
  <c r="BK19" i="10"/>
  <c r="AX19" i="10"/>
  <c r="BG19" i="10"/>
  <c r="BA18" i="10"/>
  <c r="BJ18" i="10"/>
  <c r="BD17" i="10"/>
  <c r="BM17" i="10"/>
  <c r="AZ17" i="10"/>
  <c r="BI17" i="10"/>
  <c r="BC16" i="10"/>
  <c r="BL16" i="10"/>
  <c r="AY16" i="10"/>
  <c r="BH16" i="10"/>
  <c r="BB15" i="10"/>
  <c r="BK15" i="10"/>
  <c r="AX15" i="10"/>
  <c r="BG15" i="10"/>
  <c r="BA14" i="10"/>
  <c r="BJ14" i="10"/>
  <c r="BD13" i="10"/>
  <c r="BM13" i="10"/>
  <c r="AZ13" i="10"/>
  <c r="BI13" i="10"/>
  <c r="BC12" i="10"/>
  <c r="BL12" i="10"/>
  <c r="AY12" i="10"/>
  <c r="BH12" i="10"/>
  <c r="BB11" i="10"/>
  <c r="BK11" i="10"/>
  <c r="AX11" i="10"/>
  <c r="BG11" i="10"/>
  <c r="BA10" i="10"/>
  <c r="BJ10" i="10"/>
  <c r="BD9" i="10"/>
  <c r="BM9" i="10"/>
  <c r="AZ9" i="10"/>
  <c r="BI9" i="10"/>
  <c r="BC8" i="10"/>
  <c r="BL8" i="10"/>
  <c r="BH8" i="10"/>
  <c r="AY8" i="10"/>
  <c r="AI55" i="10"/>
  <c r="AI56" i="10"/>
  <c r="BC7" i="10"/>
  <c r="AY7" i="10"/>
  <c r="BA54" i="10"/>
  <c r="BD53" i="10"/>
  <c r="AZ53" i="10"/>
  <c r="BC52" i="10"/>
  <c r="AY52" i="10"/>
  <c r="BB51" i="10"/>
  <c r="AX51" i="10"/>
  <c r="BA50" i="10"/>
  <c r="BD49" i="10"/>
  <c r="AZ49" i="10"/>
  <c r="BC48" i="10"/>
  <c r="AY48" i="10"/>
  <c r="BB47" i="10"/>
  <c r="AX47" i="10"/>
  <c r="BA46" i="10"/>
  <c r="BD45" i="10"/>
  <c r="AZ45" i="10"/>
  <c r="BC44" i="10"/>
  <c r="AY44" i="10"/>
  <c r="AZ43" i="10"/>
  <c r="BB41" i="10"/>
  <c r="AZ39" i="10"/>
  <c r="BA32" i="10"/>
  <c r="AY30" i="10"/>
  <c r="BD27" i="10"/>
  <c r="AZ23" i="10"/>
  <c r="AX21" i="10"/>
  <c r="BC18" i="10"/>
  <c r="BA16" i="10"/>
  <c r="BD11" i="10"/>
  <c r="BB9" i="10"/>
  <c r="BK54" i="10"/>
  <c r="BI52" i="10"/>
  <c r="BG50" i="10"/>
  <c r="BL47" i="10"/>
  <c r="BJ45" i="10"/>
  <c r="BH43" i="10"/>
  <c r="BM40" i="10"/>
  <c r="BK38" i="10"/>
  <c r="BI36" i="10"/>
  <c r="BG34" i="10"/>
  <c r="BL31" i="10"/>
  <c r="BJ29" i="10"/>
  <c r="BH27" i="10"/>
  <c r="BM24" i="10"/>
  <c r="BK22" i="10"/>
  <c r="BI20" i="10"/>
  <c r="BG18" i="10"/>
  <c r="BL15" i="10"/>
  <c r="BJ13" i="10"/>
  <c r="BH11" i="10"/>
  <c r="BM8" i="10"/>
  <c r="BH54" i="10"/>
  <c r="BG53" i="10"/>
  <c r="BI51" i="10"/>
  <c r="BK49" i="10"/>
  <c r="BM47" i="10"/>
  <c r="BH46" i="10"/>
  <c r="BJ44" i="10"/>
  <c r="BL42" i="10"/>
  <c r="BG41" i="10"/>
  <c r="BL38" i="10"/>
  <c r="BG37" i="10"/>
  <c r="BI35" i="10"/>
  <c r="BL34" i="10"/>
  <c r="BG33" i="10"/>
  <c r="BI31" i="10"/>
  <c r="BK29" i="10"/>
  <c r="BI27" i="10"/>
  <c r="BK25" i="10"/>
  <c r="BM23" i="10"/>
  <c r="BH22" i="10"/>
  <c r="BJ20" i="10"/>
  <c r="BI19" i="10"/>
  <c r="BK17" i="10"/>
  <c r="BM15" i="10"/>
  <c r="BH14" i="10"/>
  <c r="BJ12" i="10"/>
  <c r="BI11" i="10"/>
  <c r="BH10" i="10"/>
  <c r="AK55" i="10"/>
  <c r="AG56" i="10"/>
  <c r="BC54" i="10"/>
  <c r="BB53" i="10"/>
  <c r="BD51" i="10"/>
  <c r="BC50" i="10"/>
  <c r="AX49" i="10"/>
  <c r="BD47" i="10"/>
  <c r="BC46" i="10"/>
  <c r="BB45" i="10"/>
  <c r="BA44" i="10"/>
  <c r="BC42" i="10"/>
  <c r="BD35" i="10"/>
  <c r="AZ31" i="10"/>
  <c r="BC26" i="10"/>
  <c r="AY22" i="10"/>
  <c r="BB17" i="10"/>
  <c r="AX13" i="10"/>
  <c r="BC10" i="10"/>
  <c r="G56" i="10"/>
  <c r="G59" i="10" s="1"/>
  <c r="G60" i="10" s="1"/>
  <c r="BK7" i="10"/>
  <c r="BM54" i="10"/>
  <c r="BI54" i="10"/>
  <c r="BH53" i="10"/>
  <c r="BK52" i="10"/>
  <c r="BG52" i="10"/>
  <c r="BM50" i="10"/>
  <c r="BI50" i="10"/>
  <c r="BL49" i="10"/>
  <c r="BK48" i="10"/>
  <c r="BG48" i="10"/>
  <c r="BJ47" i="10"/>
  <c r="BI46" i="10"/>
  <c r="BL45" i="10"/>
  <c r="BH45" i="10"/>
  <c r="BG44" i="10"/>
  <c r="BA43" i="10"/>
  <c r="BJ43" i="10"/>
  <c r="BD42" i="10"/>
  <c r="BM42" i="10"/>
  <c r="AZ42" i="10"/>
  <c r="BI42" i="10"/>
  <c r="BC41" i="10"/>
  <c r="BL41" i="10"/>
  <c r="AY41" i="10"/>
  <c r="BH41" i="10"/>
  <c r="BB40" i="10"/>
  <c r="BK40" i="10"/>
  <c r="AX40" i="10"/>
  <c r="BG40" i="10"/>
  <c r="BA39" i="10"/>
  <c r="BJ39" i="10"/>
  <c r="BD38" i="10"/>
  <c r="BM38" i="10"/>
  <c r="AZ38" i="10"/>
  <c r="BI38" i="10"/>
  <c r="BC37" i="10"/>
  <c r="BL37" i="10"/>
  <c r="AY37" i="10"/>
  <c r="BH37" i="10"/>
  <c r="BB36" i="10"/>
  <c r="BK36" i="10"/>
  <c r="AX36" i="10"/>
  <c r="BG36" i="10"/>
  <c r="BA35" i="10"/>
  <c r="BJ35" i="10"/>
  <c r="BD34" i="10"/>
  <c r="BM34" i="10"/>
  <c r="AZ34" i="10"/>
  <c r="BI34" i="10"/>
  <c r="BC33" i="10"/>
  <c r="BL33" i="10"/>
  <c r="AY33" i="10"/>
  <c r="BH33" i="10"/>
  <c r="BB32" i="10"/>
  <c r="BK32" i="10"/>
  <c r="AX32" i="10"/>
  <c r="BG32" i="10"/>
  <c r="BA31" i="10"/>
  <c r="BJ31" i="10"/>
  <c r="BD30" i="10"/>
  <c r="BM30" i="10"/>
  <c r="AZ30" i="10"/>
  <c r="BI30" i="10"/>
  <c r="BC29" i="10"/>
  <c r="BL29" i="10"/>
  <c r="AY29" i="10"/>
  <c r="BH29" i="10"/>
  <c r="BB28" i="10"/>
  <c r="BK28" i="10"/>
  <c r="AX28" i="10"/>
  <c r="BG28" i="10"/>
  <c r="BA27" i="10"/>
  <c r="BJ27" i="10"/>
  <c r="BD26" i="10"/>
  <c r="BM26" i="10"/>
  <c r="AZ26" i="10"/>
  <c r="BI26" i="10"/>
  <c r="BC25" i="10"/>
  <c r="BL25" i="10"/>
  <c r="AY25" i="10"/>
  <c r="BH25" i="10"/>
  <c r="BB24" i="10"/>
  <c r="BK24" i="10"/>
  <c r="AX24" i="10"/>
  <c r="BG24" i="10"/>
  <c r="BA23" i="10"/>
  <c r="BJ23" i="10"/>
  <c r="BD22" i="10"/>
  <c r="BM22" i="10"/>
  <c r="AZ22" i="10"/>
  <c r="BI22" i="10"/>
  <c r="BC21" i="10"/>
  <c r="BL21" i="10"/>
  <c r="AY21" i="10"/>
  <c r="BH21" i="10"/>
  <c r="BB20" i="10"/>
  <c r="BK20" i="10"/>
  <c r="AX20" i="10"/>
  <c r="BG20" i="10"/>
  <c r="BA19" i="10"/>
  <c r="BJ19" i="10"/>
  <c r="BD18" i="10"/>
  <c r="BM18" i="10"/>
  <c r="AZ18" i="10"/>
  <c r="BI18" i="10"/>
  <c r="BC17" i="10"/>
  <c r="BL17" i="10"/>
  <c r="AY17" i="10"/>
  <c r="BH17" i="10"/>
  <c r="BB16" i="10"/>
  <c r="BK16" i="10"/>
  <c r="AX16" i="10"/>
  <c r="BG16" i="10"/>
  <c r="BA15" i="10"/>
  <c r="BJ15" i="10"/>
  <c r="BD14" i="10"/>
  <c r="BM14" i="10"/>
  <c r="AZ14" i="10"/>
  <c r="BI14" i="10"/>
  <c r="BC13" i="10"/>
  <c r="BL13" i="10"/>
  <c r="AY13" i="10"/>
  <c r="BH13" i="10"/>
  <c r="BB12" i="10"/>
  <c r="BK12" i="10"/>
  <c r="AX12" i="10"/>
  <c r="BG12" i="10"/>
  <c r="BA11" i="10"/>
  <c r="BJ11" i="10"/>
  <c r="BD10" i="10"/>
  <c r="BM10" i="10"/>
  <c r="AZ10" i="10"/>
  <c r="BI10" i="10"/>
  <c r="BC9" i="10"/>
  <c r="BL9" i="10"/>
  <c r="AY9" i="10"/>
  <c r="BH9" i="10"/>
  <c r="BB8" i="10"/>
  <c r="BK8" i="10"/>
  <c r="BG8" i="10"/>
  <c r="AX8" i="10"/>
  <c r="AL55" i="10"/>
  <c r="AH55" i="10"/>
  <c r="AL56" i="10"/>
  <c r="AH56" i="10"/>
  <c r="BB7" i="10"/>
  <c r="BD54" i="10"/>
  <c r="AZ54" i="10"/>
  <c r="BC53" i="10"/>
  <c r="AY53" i="10"/>
  <c r="BB52" i="10"/>
  <c r="AX52" i="10"/>
  <c r="BA51" i="10"/>
  <c r="BD50" i="10"/>
  <c r="AZ50" i="10"/>
  <c r="BC49" i="10"/>
  <c r="AY49" i="10"/>
  <c r="BB48" i="10"/>
  <c r="AX48" i="10"/>
  <c r="BA47" i="10"/>
  <c r="BD46" i="10"/>
  <c r="AZ46" i="10"/>
  <c r="BC45" i="10"/>
  <c r="AY45" i="10"/>
  <c r="BB44" i="10"/>
  <c r="AX44" i="10"/>
  <c r="AX43" i="10"/>
  <c r="AX41" i="10"/>
  <c r="BC38" i="10"/>
  <c r="BA36" i="10"/>
  <c r="AY34" i="10"/>
  <c r="BD31" i="10"/>
  <c r="BB29" i="10"/>
  <c r="AZ27" i="10"/>
  <c r="AX25" i="10"/>
  <c r="BC22" i="10"/>
  <c r="BA20" i="10"/>
  <c r="AY18" i="10"/>
  <c r="BD15" i="10"/>
  <c r="BB13" i="10"/>
  <c r="AZ11" i="10"/>
  <c r="AX9" i="10"/>
  <c r="BG54" i="10"/>
  <c r="BL51" i="10"/>
  <c r="BJ49" i="10"/>
  <c r="BH47" i="10"/>
  <c r="BM44" i="10"/>
  <c r="BK42" i="10"/>
  <c r="BI40" i="10"/>
  <c r="BG38" i="10"/>
  <c r="BL35" i="10"/>
  <c r="BJ33" i="10"/>
  <c r="BH31" i="10"/>
  <c r="BM28" i="10"/>
  <c r="BK26" i="10"/>
  <c r="BI24" i="10"/>
  <c r="BG22" i="10"/>
  <c r="BL19" i="10"/>
  <c r="BJ17" i="10"/>
  <c r="BH15" i="10"/>
  <c r="BM12" i="10"/>
  <c r="BK10" i="10"/>
  <c r="J56" i="10"/>
  <c r="J59" i="10" s="1"/>
  <c r="J60" i="10" s="1"/>
  <c r="F56" i="10"/>
  <c r="F59" i="10" s="1"/>
  <c r="F60" i="10" s="1"/>
  <c r="I56" i="10"/>
  <c r="I59" i="10" s="1"/>
  <c r="I60" i="10" s="1"/>
  <c r="E56" i="10"/>
  <c r="L127" i="10"/>
  <c r="L128" i="10"/>
  <c r="D68" i="10"/>
  <c r="L64" i="10"/>
  <c r="E65" i="10"/>
  <c r="L65" i="10" s="1"/>
  <c r="H59" i="10"/>
  <c r="H60" i="10" s="1"/>
  <c r="K59" i="10"/>
  <c r="K60" i="10" s="1"/>
  <c r="AN5" i="8"/>
  <c r="BX5" i="8" s="1"/>
  <c r="AT21" i="8"/>
  <c r="AO20" i="8"/>
  <c r="AN19" i="8"/>
  <c r="AQ5" i="8"/>
  <c r="AS12" i="8"/>
  <c r="AN11" i="8"/>
  <c r="AT9" i="8"/>
  <c r="AO52" i="8"/>
  <c r="AR51" i="8"/>
  <c r="AN51" i="8"/>
  <c r="AQ50" i="8"/>
  <c r="AT49" i="8"/>
  <c r="AP49" i="8"/>
  <c r="AS48" i="8"/>
  <c r="AO48" i="8"/>
  <c r="AR47" i="8"/>
  <c r="AN47" i="8"/>
  <c r="AQ46" i="8"/>
  <c r="AT45" i="8"/>
  <c r="AP45" i="8"/>
  <c r="AS44" i="8"/>
  <c r="AO44" i="8"/>
  <c r="AR43" i="8"/>
  <c r="AN43" i="8"/>
  <c r="AQ42" i="8"/>
  <c r="AT41" i="8"/>
  <c r="AP41" i="8"/>
  <c r="BZ41" i="8" s="1"/>
  <c r="AS40" i="8"/>
  <c r="AO40" i="8"/>
  <c r="AR39" i="8"/>
  <c r="AN39" i="8"/>
  <c r="AQ38" i="8"/>
  <c r="CA38" i="8" s="1"/>
  <c r="AT37" i="8"/>
  <c r="AP37" i="8"/>
  <c r="AS36" i="8"/>
  <c r="AO36" i="8"/>
  <c r="AR35" i="8"/>
  <c r="AN35" i="8"/>
  <c r="AQ34" i="8"/>
  <c r="AT33" i="8"/>
  <c r="AP33" i="8"/>
  <c r="BZ33" i="8" s="1"/>
  <c r="AS32" i="8"/>
  <c r="AO32" i="8"/>
  <c r="AR31" i="8"/>
  <c r="AN31" i="8"/>
  <c r="AQ30" i="8"/>
  <c r="AT29" i="8"/>
  <c r="AP29" i="8"/>
  <c r="BZ29" i="8" s="1"/>
  <c r="AS28" i="8"/>
  <c r="AO28" i="8"/>
  <c r="AR27" i="8"/>
  <c r="AN27" i="8"/>
  <c r="AQ26" i="8"/>
  <c r="AP25" i="8"/>
  <c r="AT25" i="8"/>
  <c r="AS24" i="8"/>
  <c r="AR23" i="8"/>
  <c r="AQ22" i="8"/>
  <c r="AS20" i="8"/>
  <c r="AQ18" i="8"/>
  <c r="AP17" i="8"/>
  <c r="AR15" i="8"/>
  <c r="AQ14" i="8"/>
  <c r="AP13" i="8"/>
  <c r="AR11" i="8"/>
  <c r="AQ10" i="8"/>
  <c r="AO8" i="8"/>
  <c r="AQ6" i="8"/>
  <c r="AO24" i="8"/>
  <c r="AN23" i="8"/>
  <c r="AP21" i="8"/>
  <c r="AR19" i="8"/>
  <c r="AT17" i="8"/>
  <c r="AS16" i="8"/>
  <c r="AN15" i="8"/>
  <c r="AT13" i="8"/>
  <c r="AO12" i="8"/>
  <c r="AP9" i="8"/>
  <c r="AS8" i="8"/>
  <c r="AR7" i="8"/>
  <c r="AR5" i="8"/>
  <c r="BA6" i="8"/>
  <c r="BJ6" i="8" s="1"/>
  <c r="BC23" i="8"/>
  <c r="BL23" i="8" s="1"/>
  <c r="BX53" i="9"/>
  <c r="CB53" i="9"/>
  <c r="AZ48" i="8"/>
  <c r="BI48" i="8" s="1"/>
  <c r="CA48" i="8" s="1"/>
  <c r="CL5" i="9"/>
  <c r="CL53" i="9" s="1"/>
  <c r="CH5" i="9"/>
  <c r="CH53" i="9" s="1"/>
  <c r="CD53" i="9"/>
  <c r="BZ53" i="9"/>
  <c r="AZ40" i="8"/>
  <c r="BI40" i="8" s="1"/>
  <c r="CK5" i="9"/>
  <c r="CK53" i="9" s="1"/>
  <c r="AZ46" i="8"/>
  <c r="BI46" i="8" s="1"/>
  <c r="AZ38" i="8"/>
  <c r="BI38" i="8" s="1"/>
  <c r="BR38" i="8" s="1"/>
  <c r="CJ38" i="8" s="1"/>
  <c r="BB29" i="8"/>
  <c r="BK29" i="8" s="1"/>
  <c r="CC29" i="8" s="1"/>
  <c r="BC21" i="8"/>
  <c r="BL21" i="8" s="1"/>
  <c r="CD21" i="8" s="1"/>
  <c r="BA14" i="8"/>
  <c r="BJ14" i="8" s="1"/>
  <c r="BS14" i="8" s="1"/>
  <c r="CK14" i="8" s="1"/>
  <c r="AX17" i="8"/>
  <c r="BG17" i="8" s="1"/>
  <c r="BP17" i="8" s="1"/>
  <c r="CH17" i="8" s="1"/>
  <c r="AZ44" i="8"/>
  <c r="BI44" i="8" s="1"/>
  <c r="AZ36" i="8"/>
  <c r="BI36" i="8" s="1"/>
  <c r="CA36" i="8" s="1"/>
  <c r="BB27" i="8"/>
  <c r="BK27" i="8" s="1"/>
  <c r="CC27" i="8" s="1"/>
  <c r="BC19" i="8"/>
  <c r="BL19" i="8" s="1"/>
  <c r="CD19" i="8" s="1"/>
  <c r="AZ12" i="8"/>
  <c r="BI12" i="8" s="1"/>
  <c r="CA12" i="8" s="1"/>
  <c r="BB31" i="8"/>
  <c r="BK31" i="8" s="1"/>
  <c r="CC31" i="8" s="1"/>
  <c r="BA50" i="8"/>
  <c r="BJ50" i="8" s="1"/>
  <c r="CB50" i="8" s="1"/>
  <c r="AZ42" i="8"/>
  <c r="BI42" i="8" s="1"/>
  <c r="AZ34" i="8"/>
  <c r="BI34" i="8" s="1"/>
  <c r="BC25" i="8"/>
  <c r="BL25" i="8" s="1"/>
  <c r="BU25" i="8" s="1"/>
  <c r="CM25" i="8" s="1"/>
  <c r="BA18" i="8"/>
  <c r="BJ18" i="8" s="1"/>
  <c r="CB18" i="8" s="1"/>
  <c r="AY9" i="8"/>
  <c r="BH9" i="8" s="1"/>
  <c r="BA52" i="8"/>
  <c r="BJ52" i="8" s="1"/>
  <c r="CB52" i="8" s="1"/>
  <c r="AZ50" i="8"/>
  <c r="BI50" i="8" s="1"/>
  <c r="BC47" i="8"/>
  <c r="BL47" i="8" s="1"/>
  <c r="CD47" i="8" s="1"/>
  <c r="BC45" i="8"/>
  <c r="BL45" i="8" s="1"/>
  <c r="BC43" i="8"/>
  <c r="BL43" i="8" s="1"/>
  <c r="BC41" i="8"/>
  <c r="BL41" i="8" s="1"/>
  <c r="BC39" i="8"/>
  <c r="BL39" i="8" s="1"/>
  <c r="CD39" i="8" s="1"/>
  <c r="BC37" i="8"/>
  <c r="BL37" i="8" s="1"/>
  <c r="BC35" i="8"/>
  <c r="BL35" i="8" s="1"/>
  <c r="BU35" i="8" s="1"/>
  <c r="CM35" i="8" s="1"/>
  <c r="BC33" i="8"/>
  <c r="BL33" i="8" s="1"/>
  <c r="CD33" i="8" s="1"/>
  <c r="AY31" i="8"/>
  <c r="BH31" i="8" s="1"/>
  <c r="BQ31" i="8" s="1"/>
  <c r="CI31" i="8" s="1"/>
  <c r="AY29" i="8"/>
  <c r="BH29" i="8" s="1"/>
  <c r="BQ29" i="8" s="1"/>
  <c r="CI29" i="8" s="1"/>
  <c r="AY27" i="8"/>
  <c r="BH27" i="8" s="1"/>
  <c r="BZ27" i="8" s="1"/>
  <c r="BB25" i="8"/>
  <c r="BK25" i="8" s="1"/>
  <c r="CC25" i="8" s="1"/>
  <c r="BB23" i="8"/>
  <c r="BK23" i="8" s="1"/>
  <c r="CC23" i="8" s="1"/>
  <c r="BB21" i="8"/>
  <c r="BK21" i="8" s="1"/>
  <c r="CC21" i="8" s="1"/>
  <c r="BB19" i="8"/>
  <c r="BK19" i="8" s="1"/>
  <c r="CC19" i="8" s="1"/>
  <c r="BC17" i="8"/>
  <c r="BL17" i="8" s="1"/>
  <c r="BA16" i="8"/>
  <c r="BJ16" i="8" s="1"/>
  <c r="BS16" i="8" s="1"/>
  <c r="CK16" i="8" s="1"/>
  <c r="AZ14" i="8"/>
  <c r="BI14" i="8" s="1"/>
  <c r="AY11" i="8"/>
  <c r="BH11" i="8" s="1"/>
  <c r="BQ11" i="8" s="1"/>
  <c r="CI11" i="8" s="1"/>
  <c r="BA8" i="8"/>
  <c r="BJ8" i="8" s="1"/>
  <c r="CB8" i="8" s="1"/>
  <c r="AZ6" i="8"/>
  <c r="BI6" i="8" s="1"/>
  <c r="BR6" i="8" s="1"/>
  <c r="CJ6" i="8" s="1"/>
  <c r="AZ52" i="8"/>
  <c r="BI52" i="8" s="1"/>
  <c r="CA52" i="8" s="1"/>
  <c r="AY49" i="8"/>
  <c r="BH49" i="8" s="1"/>
  <c r="BQ49" i="8" s="1"/>
  <c r="CI49" i="8" s="1"/>
  <c r="AY47" i="8"/>
  <c r="BH47" i="8" s="1"/>
  <c r="BZ47" i="8" s="1"/>
  <c r="AY45" i="8"/>
  <c r="BH45" i="8" s="1"/>
  <c r="AY43" i="8"/>
  <c r="BH43" i="8" s="1"/>
  <c r="BZ43" i="8" s="1"/>
  <c r="AY41" i="8"/>
  <c r="BH41" i="8" s="1"/>
  <c r="BQ41" i="8" s="1"/>
  <c r="CI41" i="8" s="1"/>
  <c r="AY39" i="8"/>
  <c r="BH39" i="8" s="1"/>
  <c r="BQ39" i="8" s="1"/>
  <c r="CI39" i="8" s="1"/>
  <c r="AY37" i="8"/>
  <c r="BH37" i="8" s="1"/>
  <c r="AY35" i="8"/>
  <c r="BH35" i="8" s="1"/>
  <c r="BQ35" i="8" s="1"/>
  <c r="CI35" i="8" s="1"/>
  <c r="AY33" i="8"/>
  <c r="BH33" i="8" s="1"/>
  <c r="BQ33" i="8" s="1"/>
  <c r="CI33" i="8" s="1"/>
  <c r="AX31" i="8"/>
  <c r="BG31" i="8" s="1"/>
  <c r="BY31" i="8" s="1"/>
  <c r="AX29" i="8"/>
  <c r="BG29" i="8" s="1"/>
  <c r="BY29" i="8" s="1"/>
  <c r="AX27" i="8"/>
  <c r="BG27" i="8" s="1"/>
  <c r="BY27" i="8" s="1"/>
  <c r="AY25" i="8"/>
  <c r="BH25" i="8" s="1"/>
  <c r="AY23" i="8"/>
  <c r="BH23" i="8" s="1"/>
  <c r="BZ23" i="8" s="1"/>
  <c r="AY21" i="8"/>
  <c r="BH21" i="8" s="1"/>
  <c r="AY19" i="8"/>
  <c r="BH19" i="8" s="1"/>
  <c r="BZ19" i="8" s="1"/>
  <c r="BB17" i="8"/>
  <c r="BK17" i="8" s="1"/>
  <c r="AZ16" i="8"/>
  <c r="BI16" i="8" s="1"/>
  <c r="BR16" i="8" s="1"/>
  <c r="CJ16" i="8" s="1"/>
  <c r="AY13" i="8"/>
  <c r="BH13" i="8" s="1"/>
  <c r="BA10" i="8"/>
  <c r="BJ10" i="8" s="1"/>
  <c r="CB10" i="8" s="1"/>
  <c r="AZ8" i="8"/>
  <c r="BI8" i="8" s="1"/>
  <c r="CA8" i="8" s="1"/>
  <c r="AY5" i="8"/>
  <c r="BH5" i="8" s="1"/>
  <c r="BP38" i="9"/>
  <c r="CH38" i="9" s="1"/>
  <c r="BR53" i="9"/>
  <c r="AY51" i="8"/>
  <c r="BH51" i="8" s="1"/>
  <c r="BZ51" i="8" s="1"/>
  <c r="BA48" i="8"/>
  <c r="BJ48" i="8" s="1"/>
  <c r="CB48" i="8" s="1"/>
  <c r="BA46" i="8"/>
  <c r="BJ46" i="8" s="1"/>
  <c r="BS46" i="8" s="1"/>
  <c r="CK46" i="8" s="1"/>
  <c r="BA44" i="8"/>
  <c r="BJ44" i="8" s="1"/>
  <c r="CB44" i="8" s="1"/>
  <c r="BA42" i="8"/>
  <c r="BJ42" i="8" s="1"/>
  <c r="BS42" i="8" s="1"/>
  <c r="CK42" i="8" s="1"/>
  <c r="BA40" i="8"/>
  <c r="BJ40" i="8" s="1"/>
  <c r="BS40" i="8" s="1"/>
  <c r="CK40" i="8" s="1"/>
  <c r="BA38" i="8"/>
  <c r="BJ38" i="8" s="1"/>
  <c r="BS38" i="8" s="1"/>
  <c r="CK38" i="8" s="1"/>
  <c r="BA36" i="8"/>
  <c r="BJ36" i="8" s="1"/>
  <c r="CB36" i="8" s="1"/>
  <c r="BA34" i="8"/>
  <c r="BJ34" i="8" s="1"/>
  <c r="BS34" i="8" s="1"/>
  <c r="CK34" i="8" s="1"/>
  <c r="BC31" i="8"/>
  <c r="BL31" i="8" s="1"/>
  <c r="CD31" i="8" s="1"/>
  <c r="BC29" i="8"/>
  <c r="BL29" i="8" s="1"/>
  <c r="BC27" i="8"/>
  <c r="BL27" i="8" s="1"/>
  <c r="CD27" i="8" s="1"/>
  <c r="BA26" i="8"/>
  <c r="BJ26" i="8" s="1"/>
  <c r="BS26" i="8" s="1"/>
  <c r="CK26" i="8" s="1"/>
  <c r="AX25" i="8"/>
  <c r="BG25" i="8" s="1"/>
  <c r="BY25" i="8" s="1"/>
  <c r="AX23" i="8"/>
  <c r="BG23" i="8" s="1"/>
  <c r="BP23" i="8" s="1"/>
  <c r="CH23" i="8" s="1"/>
  <c r="AX21" i="8"/>
  <c r="BG21" i="8" s="1"/>
  <c r="BY21" i="8" s="1"/>
  <c r="AY17" i="8"/>
  <c r="BH17" i="8" s="1"/>
  <c r="BQ17" i="8" s="1"/>
  <c r="CI17" i="8" s="1"/>
  <c r="AY15" i="8"/>
  <c r="BH15" i="8" s="1"/>
  <c r="BZ15" i="8" s="1"/>
  <c r="BA12" i="8"/>
  <c r="BJ12" i="8" s="1"/>
  <c r="CB12" i="8" s="1"/>
  <c r="AZ10" i="8"/>
  <c r="BI10" i="8" s="1"/>
  <c r="BR10" i="8" s="1"/>
  <c r="CJ10" i="8" s="1"/>
  <c r="CJ35" i="9"/>
  <c r="CB6" i="8"/>
  <c r="BS6" i="8"/>
  <c r="CK6" i="8" s="1"/>
  <c r="BQ18" i="8"/>
  <c r="CI18" i="8" s="1"/>
  <c r="BZ18" i="8"/>
  <c r="CB22" i="8"/>
  <c r="BS22" i="8"/>
  <c r="CK22" i="8" s="1"/>
  <c r="CA17" i="8"/>
  <c r="BR17" i="8"/>
  <c r="CJ17" i="8" s="1"/>
  <c r="CC6" i="8"/>
  <c r="BT6" i="8"/>
  <c r="CL6" i="8" s="1"/>
  <c r="BY17" i="8"/>
  <c r="BZ7" i="8"/>
  <c r="BQ7" i="8"/>
  <c r="CI7" i="8" s="1"/>
  <c r="BY19" i="8"/>
  <c r="BP19" i="8"/>
  <c r="CH19" i="8" s="1"/>
  <c r="BR33" i="8"/>
  <c r="CJ33" i="8" s="1"/>
  <c r="CA33" i="8"/>
  <c r="CB34" i="8"/>
  <c r="BA32" i="8"/>
  <c r="BJ32" i="8" s="1"/>
  <c r="BA24" i="8"/>
  <c r="BJ24" i="8" s="1"/>
  <c r="CA40" i="8"/>
  <c r="BR40" i="8"/>
  <c r="CJ40" i="8" s="1"/>
  <c r="BI5" i="8"/>
  <c r="BQ34" i="8"/>
  <c r="CI34" i="8" s="1"/>
  <c r="BZ34" i="8"/>
  <c r="BA30" i="8"/>
  <c r="BJ30" i="8" s="1"/>
  <c r="BQ27" i="8"/>
  <c r="CI27" i="8" s="1"/>
  <c r="CD23" i="8"/>
  <c r="BU23" i="8"/>
  <c r="CM23" i="8" s="1"/>
  <c r="CC17" i="8"/>
  <c r="BT17" i="8"/>
  <c r="CL17" i="8" s="1"/>
  <c r="BR12" i="8"/>
  <c r="CJ12" i="8" s="1"/>
  <c r="BR42" i="8"/>
  <c r="CJ42" i="8" s="1"/>
  <c r="BR34" i="8"/>
  <c r="CJ34" i="8" s="1"/>
  <c r="BZ17" i="8"/>
  <c r="BO36" i="9"/>
  <c r="CG36" i="9" s="1"/>
  <c r="BA17" i="8"/>
  <c r="BJ17" i="8" s="1"/>
  <c r="BA19" i="8"/>
  <c r="BJ19" i="8" s="1"/>
  <c r="BA21" i="8"/>
  <c r="BJ21" i="8" s="1"/>
  <c r="BA23" i="8"/>
  <c r="BJ23" i="8" s="1"/>
  <c r="BA25" i="8"/>
  <c r="BJ25" i="8" s="1"/>
  <c r="BA27" i="8"/>
  <c r="BJ27" i="8" s="1"/>
  <c r="BA29" i="8"/>
  <c r="BJ29" i="8" s="1"/>
  <c r="BA31" i="8"/>
  <c r="BJ31" i="8" s="1"/>
  <c r="BQ38" i="9"/>
  <c r="CI38" i="9" s="1"/>
  <c r="BC6" i="8"/>
  <c r="BL6" i="8" s="1"/>
  <c r="BC8" i="8"/>
  <c r="BL8" i="8" s="1"/>
  <c r="BC10" i="8"/>
  <c r="BL10" i="8" s="1"/>
  <c r="BC12" i="8"/>
  <c r="BL12" i="8" s="1"/>
  <c r="BC14" i="8"/>
  <c r="BL14" i="8" s="1"/>
  <c r="BC16" i="8"/>
  <c r="BL16" i="8" s="1"/>
  <c r="BC50" i="8"/>
  <c r="BL50" i="8" s="1"/>
  <c r="BC52" i="8"/>
  <c r="BL52" i="8" s="1"/>
  <c r="AY6" i="8"/>
  <c r="BH6" i="8" s="1"/>
  <c r="AY8" i="8"/>
  <c r="BH8" i="8" s="1"/>
  <c r="AY10" i="8"/>
  <c r="BH10" i="8" s="1"/>
  <c r="AY12" i="8"/>
  <c r="BH12" i="8" s="1"/>
  <c r="AY14" i="8"/>
  <c r="BH14" i="8" s="1"/>
  <c r="AY16" i="8"/>
  <c r="BH16" i="8" s="1"/>
  <c r="AY50" i="8"/>
  <c r="BH50" i="8" s="1"/>
  <c r="AY52" i="8"/>
  <c r="BH52" i="8" s="1"/>
  <c r="BP37" i="9"/>
  <c r="CH37" i="9" s="1"/>
  <c r="BB34" i="8"/>
  <c r="BK34" i="8" s="1"/>
  <c r="BB36" i="8"/>
  <c r="BK36" i="8" s="1"/>
  <c r="BB38" i="8"/>
  <c r="BK38" i="8" s="1"/>
  <c r="BB40" i="8"/>
  <c r="BK40" i="8" s="1"/>
  <c r="BB42" i="8"/>
  <c r="BK42" i="8" s="1"/>
  <c r="BB44" i="8"/>
  <c r="BK44" i="8" s="1"/>
  <c r="BB46" i="8"/>
  <c r="BK46" i="8" s="1"/>
  <c r="BB48" i="8"/>
  <c r="BK48" i="8" s="1"/>
  <c r="BB33" i="8"/>
  <c r="BK33" i="8" s="1"/>
  <c r="BB39" i="8"/>
  <c r="BK39" i="8" s="1"/>
  <c r="BB41" i="8"/>
  <c r="BK41" i="8" s="1"/>
  <c r="BB47" i="8"/>
  <c r="BK47" i="8" s="1"/>
  <c r="BB35" i="8"/>
  <c r="BK35" i="8" s="1"/>
  <c r="BB37" i="8"/>
  <c r="BK37" i="8" s="1"/>
  <c r="BB43" i="8"/>
  <c r="BK43" i="8" s="1"/>
  <c r="BB45" i="8"/>
  <c r="BK45" i="8" s="1"/>
  <c r="CM37" i="9"/>
  <c r="AX34" i="8"/>
  <c r="BG34" i="8" s="1"/>
  <c r="AX36" i="8"/>
  <c r="BG36" i="8" s="1"/>
  <c r="AX38" i="8"/>
  <c r="BG38" i="8" s="1"/>
  <c r="AX40" i="8"/>
  <c r="BG40" i="8" s="1"/>
  <c r="AX42" i="8"/>
  <c r="BG42" i="8" s="1"/>
  <c r="AX44" i="8"/>
  <c r="BG44" i="8" s="1"/>
  <c r="AX46" i="8"/>
  <c r="BG46" i="8" s="1"/>
  <c r="AX48" i="8"/>
  <c r="BG48" i="8" s="1"/>
  <c r="AX35" i="8"/>
  <c r="BG35" i="8" s="1"/>
  <c r="AX37" i="8"/>
  <c r="BG37" i="8" s="1"/>
  <c r="AX43" i="8"/>
  <c r="BG43" i="8" s="1"/>
  <c r="AX45" i="8"/>
  <c r="BG45" i="8" s="1"/>
  <c r="AX33" i="8"/>
  <c r="BG33" i="8" s="1"/>
  <c r="AX39" i="8"/>
  <c r="BG39" i="8" s="1"/>
  <c r="AX41" i="8"/>
  <c r="BG41" i="8" s="1"/>
  <c r="AX47" i="8"/>
  <c r="BG47" i="8" s="1"/>
  <c r="BC51" i="8"/>
  <c r="BL51" i="8" s="1"/>
  <c r="BC49" i="8"/>
  <c r="BL49" i="8" s="1"/>
  <c r="CD43" i="8"/>
  <c r="BU43" i="8"/>
  <c r="CM43" i="8" s="1"/>
  <c r="BU37" i="8"/>
  <c r="CM37" i="8" s="1"/>
  <c r="CD35" i="8"/>
  <c r="BA28" i="8"/>
  <c r="BJ28" i="8" s="1"/>
  <c r="BA20" i="8"/>
  <c r="BJ20" i="8" s="1"/>
  <c r="BC15" i="8"/>
  <c r="BL15" i="8" s="1"/>
  <c r="BC13" i="8"/>
  <c r="BL13" i="8" s="1"/>
  <c r="BC11" i="8"/>
  <c r="BL11" i="8" s="1"/>
  <c r="BC9" i="8"/>
  <c r="BL9" i="8" s="1"/>
  <c r="BC7" i="8"/>
  <c r="BL7" i="8" s="1"/>
  <c r="BC5" i="8"/>
  <c r="CA44" i="8"/>
  <c r="BR44" i="8"/>
  <c r="CJ44" i="8" s="1"/>
  <c r="BP27" i="8"/>
  <c r="CH27" i="8" s="1"/>
  <c r="AX51" i="8"/>
  <c r="BG51" i="8" s="1"/>
  <c r="BB49" i="8"/>
  <c r="BK49" i="8" s="1"/>
  <c r="AZ30" i="8"/>
  <c r="BI30" i="8" s="1"/>
  <c r="AZ22" i="8"/>
  <c r="BI22" i="8" s="1"/>
  <c r="AZ18" i="8"/>
  <c r="BI18" i="8" s="1"/>
  <c r="BB15" i="8"/>
  <c r="BK15" i="8" s="1"/>
  <c r="BB13" i="8"/>
  <c r="BK13" i="8" s="1"/>
  <c r="AX11" i="8"/>
  <c r="BG11" i="8" s="1"/>
  <c r="BB9" i="8"/>
  <c r="BK9" i="8" s="1"/>
  <c r="BB7" i="8"/>
  <c r="BK7" i="8" s="1"/>
  <c r="BB5" i="8"/>
  <c r="AW16" i="8"/>
  <c r="BF16" i="8" s="1"/>
  <c r="CL38" i="9"/>
  <c r="BA51" i="8"/>
  <c r="BJ51" i="8" s="1"/>
  <c r="BA49" i="8"/>
  <c r="BJ49" i="8" s="1"/>
  <c r="BC48" i="8"/>
  <c r="BL48" i="8" s="1"/>
  <c r="AY48" i="8"/>
  <c r="BH48" i="8" s="1"/>
  <c r="BA47" i="8"/>
  <c r="BJ47" i="8" s="1"/>
  <c r="BC46" i="8"/>
  <c r="BL46" i="8" s="1"/>
  <c r="AY46" i="8"/>
  <c r="BH46" i="8" s="1"/>
  <c r="BA45" i="8"/>
  <c r="BJ45" i="8" s="1"/>
  <c r="BC44" i="8"/>
  <c r="BL44" i="8" s="1"/>
  <c r="AY44" i="8"/>
  <c r="BH44" i="8" s="1"/>
  <c r="BA43" i="8"/>
  <c r="BJ43" i="8" s="1"/>
  <c r="BC42" i="8"/>
  <c r="BL42" i="8" s="1"/>
  <c r="AY42" i="8"/>
  <c r="BH42" i="8" s="1"/>
  <c r="BA41" i="8"/>
  <c r="BJ41" i="8" s="1"/>
  <c r="BC40" i="8"/>
  <c r="BL40" i="8" s="1"/>
  <c r="AY40" i="8"/>
  <c r="BH40" i="8" s="1"/>
  <c r="BA39" i="8"/>
  <c r="BJ39" i="8" s="1"/>
  <c r="BC38" i="8"/>
  <c r="BL38" i="8" s="1"/>
  <c r="AY38" i="8"/>
  <c r="BH38" i="8" s="1"/>
  <c r="BA37" i="8"/>
  <c r="BJ37" i="8" s="1"/>
  <c r="BC36" i="8"/>
  <c r="BL36" i="8" s="1"/>
  <c r="AY36" i="8"/>
  <c r="BH36" i="8" s="1"/>
  <c r="BA35" i="8"/>
  <c r="BJ35" i="8" s="1"/>
  <c r="BC34" i="8"/>
  <c r="BL34" i="8" s="1"/>
  <c r="BA33" i="8"/>
  <c r="BJ33" i="8" s="1"/>
  <c r="BC32" i="8"/>
  <c r="BL32" i="8" s="1"/>
  <c r="AY32" i="8"/>
  <c r="BH32" i="8" s="1"/>
  <c r="BC30" i="8"/>
  <c r="BL30" i="8" s="1"/>
  <c r="AY30" i="8"/>
  <c r="BH30" i="8" s="1"/>
  <c r="BC28" i="8"/>
  <c r="BL28" i="8" s="1"/>
  <c r="AY28" i="8"/>
  <c r="BH28" i="8" s="1"/>
  <c r="BC26" i="8"/>
  <c r="BL26" i="8" s="1"/>
  <c r="AY26" i="8"/>
  <c r="BH26" i="8" s="1"/>
  <c r="BC24" i="8"/>
  <c r="BL24" i="8" s="1"/>
  <c r="AY24" i="8"/>
  <c r="BH24" i="8" s="1"/>
  <c r="BC22" i="8"/>
  <c r="BL22" i="8" s="1"/>
  <c r="AY22" i="8"/>
  <c r="BH22" i="8" s="1"/>
  <c r="BC20" i="8"/>
  <c r="BL20" i="8" s="1"/>
  <c r="AY20" i="8"/>
  <c r="BH20" i="8" s="1"/>
  <c r="BC18" i="8"/>
  <c r="BL18" i="8" s="1"/>
  <c r="BA15" i="8"/>
  <c r="BJ15" i="8" s="1"/>
  <c r="BA13" i="8"/>
  <c r="BJ13" i="8" s="1"/>
  <c r="BA11" i="8"/>
  <c r="BJ11" i="8" s="1"/>
  <c r="BA9" i="8"/>
  <c r="BJ9" i="8" s="1"/>
  <c r="BA7" i="8"/>
  <c r="BJ7" i="8" s="1"/>
  <c r="BA5" i="8"/>
  <c r="AW18" i="8"/>
  <c r="BF18" i="8" s="1"/>
  <c r="CL36" i="9"/>
  <c r="AW34" i="8"/>
  <c r="BF34" i="8" s="1"/>
  <c r="CL37" i="9"/>
  <c r="BB51" i="8"/>
  <c r="BK51" i="8" s="1"/>
  <c r="AX49" i="8"/>
  <c r="BG49" i="8" s="1"/>
  <c r="AZ32" i="8"/>
  <c r="BI32" i="8" s="1"/>
  <c r="AZ28" i="8"/>
  <c r="BI28" i="8" s="1"/>
  <c r="AZ26" i="8"/>
  <c r="BI26" i="8" s="1"/>
  <c r="AZ24" i="8"/>
  <c r="BI24" i="8" s="1"/>
  <c r="AZ20" i="8"/>
  <c r="BI20" i="8" s="1"/>
  <c r="AX15" i="8"/>
  <c r="BG15" i="8" s="1"/>
  <c r="AX13" i="8"/>
  <c r="BG13" i="8" s="1"/>
  <c r="BB11" i="8"/>
  <c r="BK11" i="8" s="1"/>
  <c r="AX9" i="8"/>
  <c r="BG9" i="8" s="1"/>
  <c r="AX7" i="8"/>
  <c r="BG7" i="8" s="1"/>
  <c r="AX5" i="8"/>
  <c r="J74" i="9"/>
  <c r="CM39" i="9" s="1"/>
  <c r="CM36" i="9"/>
  <c r="BB52" i="8"/>
  <c r="BK52" i="8" s="1"/>
  <c r="AX52" i="8"/>
  <c r="BG52" i="8" s="1"/>
  <c r="AZ51" i="8"/>
  <c r="BI51" i="8" s="1"/>
  <c r="BB50" i="8"/>
  <c r="BK50" i="8" s="1"/>
  <c r="AX50" i="8"/>
  <c r="BG50" i="8" s="1"/>
  <c r="AZ49" i="8"/>
  <c r="BI49" i="8" s="1"/>
  <c r="AZ47" i="8"/>
  <c r="BI47" i="8" s="1"/>
  <c r="AZ45" i="8"/>
  <c r="BI45" i="8" s="1"/>
  <c r="AZ43" i="8"/>
  <c r="BI43" i="8" s="1"/>
  <c r="AZ41" i="8"/>
  <c r="BI41" i="8" s="1"/>
  <c r="AZ39" i="8"/>
  <c r="BI39" i="8" s="1"/>
  <c r="AZ37" i="8"/>
  <c r="BI37" i="8" s="1"/>
  <c r="AZ35" i="8"/>
  <c r="BI35" i="8" s="1"/>
  <c r="BB32" i="8"/>
  <c r="BK32" i="8" s="1"/>
  <c r="AX32" i="8"/>
  <c r="BG32" i="8" s="1"/>
  <c r="AZ31" i="8"/>
  <c r="BI31" i="8" s="1"/>
  <c r="BB30" i="8"/>
  <c r="BK30" i="8" s="1"/>
  <c r="AX30" i="8"/>
  <c r="BG30" i="8" s="1"/>
  <c r="AZ29" i="8"/>
  <c r="BI29" i="8" s="1"/>
  <c r="BB28" i="8"/>
  <c r="BK28" i="8" s="1"/>
  <c r="AX28" i="8"/>
  <c r="BG28" i="8" s="1"/>
  <c r="AZ27" i="8"/>
  <c r="BI27" i="8" s="1"/>
  <c r="BB26" i="8"/>
  <c r="BK26" i="8" s="1"/>
  <c r="AX26" i="8"/>
  <c r="BG26" i="8" s="1"/>
  <c r="AZ25" i="8"/>
  <c r="BI25" i="8" s="1"/>
  <c r="BB24" i="8"/>
  <c r="BK24" i="8" s="1"/>
  <c r="AX24" i="8"/>
  <c r="BG24" i="8" s="1"/>
  <c r="AZ23" i="8"/>
  <c r="BI23" i="8" s="1"/>
  <c r="BB22" i="8"/>
  <c r="BK22" i="8" s="1"/>
  <c r="AX22" i="8"/>
  <c r="BG22" i="8" s="1"/>
  <c r="AZ21" i="8"/>
  <c r="BI21" i="8" s="1"/>
  <c r="BB20" i="8"/>
  <c r="BK20" i="8" s="1"/>
  <c r="AX20" i="8"/>
  <c r="BG20" i="8" s="1"/>
  <c r="AZ19" i="8"/>
  <c r="BI19" i="8" s="1"/>
  <c r="BB18" i="8"/>
  <c r="BK18" i="8" s="1"/>
  <c r="AX18" i="8"/>
  <c r="BG18" i="8" s="1"/>
  <c r="BB16" i="8"/>
  <c r="BK16" i="8" s="1"/>
  <c r="AX16" i="8"/>
  <c r="BG16" i="8" s="1"/>
  <c r="AZ15" i="8"/>
  <c r="BI15" i="8" s="1"/>
  <c r="BB14" i="8"/>
  <c r="BK14" i="8" s="1"/>
  <c r="AX14" i="8"/>
  <c r="BG14" i="8" s="1"/>
  <c r="AZ13" i="8"/>
  <c r="BI13" i="8" s="1"/>
  <c r="BB12" i="8"/>
  <c r="BK12" i="8" s="1"/>
  <c r="AX12" i="8"/>
  <c r="BG12" i="8" s="1"/>
  <c r="AZ11" i="8"/>
  <c r="BI11" i="8" s="1"/>
  <c r="BB10" i="8"/>
  <c r="BK10" i="8" s="1"/>
  <c r="AX10" i="8"/>
  <c r="BG10" i="8" s="1"/>
  <c r="AZ9" i="8"/>
  <c r="BI9" i="8" s="1"/>
  <c r="BB8" i="8"/>
  <c r="BK8" i="8" s="1"/>
  <c r="AX8" i="8"/>
  <c r="BG8" i="8" s="1"/>
  <c r="AZ7" i="8"/>
  <c r="BI7" i="8" s="1"/>
  <c r="AX6" i="8"/>
  <c r="BG6" i="8" s="1"/>
  <c r="AW29" i="8"/>
  <c r="BF29" i="8" s="1"/>
  <c r="AW45" i="8"/>
  <c r="BF45" i="8" s="1"/>
  <c r="AW25" i="8"/>
  <c r="BF25" i="8" s="1"/>
  <c r="AW41" i="8"/>
  <c r="BF41" i="8" s="1"/>
  <c r="AW21" i="8"/>
  <c r="BF21" i="8" s="1"/>
  <c r="AW37" i="8"/>
  <c r="BF37" i="8" s="1"/>
  <c r="AW17" i="8"/>
  <c r="BF17" i="8" s="1"/>
  <c r="AW33" i="8"/>
  <c r="BF33" i="8" s="1"/>
  <c r="AW5" i="8"/>
  <c r="AW49" i="8"/>
  <c r="BF49" i="8" s="1"/>
  <c r="AW13" i="8"/>
  <c r="BF13" i="8" s="1"/>
  <c r="AW32" i="8"/>
  <c r="BF32" i="8" s="1"/>
  <c r="AW28" i="8"/>
  <c r="BF28" i="8" s="1"/>
  <c r="AW24" i="8"/>
  <c r="BF24" i="8" s="1"/>
  <c r="AW20" i="8"/>
  <c r="BF20" i="8" s="1"/>
  <c r="AW48" i="8"/>
  <c r="BF48" i="8" s="1"/>
  <c r="AW44" i="8"/>
  <c r="BF44" i="8" s="1"/>
  <c r="AW40" i="8"/>
  <c r="BF40" i="8" s="1"/>
  <c r="AW36" i="8"/>
  <c r="BF36" i="8" s="1"/>
  <c r="AW52" i="8"/>
  <c r="BF52" i="8" s="1"/>
  <c r="AW6" i="8"/>
  <c r="BF6" i="8" s="1"/>
  <c r="AW10" i="8"/>
  <c r="BF10" i="8" s="1"/>
  <c r="AW14" i="8"/>
  <c r="BF14" i="8" s="1"/>
  <c r="AW9" i="8"/>
  <c r="BF9" i="8" s="1"/>
  <c r="AW31" i="8"/>
  <c r="BF31" i="8" s="1"/>
  <c r="AW27" i="8"/>
  <c r="BF27" i="8" s="1"/>
  <c r="AW23" i="8"/>
  <c r="BF23" i="8" s="1"/>
  <c r="AW19" i="8"/>
  <c r="BF19" i="8" s="1"/>
  <c r="AW47" i="8"/>
  <c r="BF47" i="8" s="1"/>
  <c r="AW43" i="8"/>
  <c r="BF43" i="8" s="1"/>
  <c r="AW39" i="8"/>
  <c r="BF39" i="8" s="1"/>
  <c r="AW35" i="8"/>
  <c r="BF35" i="8" s="1"/>
  <c r="AW51" i="8"/>
  <c r="BF51" i="8" s="1"/>
  <c r="AW7" i="8"/>
  <c r="BF7" i="8" s="1"/>
  <c r="AW11" i="8"/>
  <c r="BF11" i="8" s="1"/>
  <c r="AW15" i="8"/>
  <c r="BF15" i="8" s="1"/>
  <c r="AW30" i="8"/>
  <c r="BF30" i="8" s="1"/>
  <c r="AW26" i="8"/>
  <c r="BF26" i="8" s="1"/>
  <c r="AW22" i="8"/>
  <c r="BF22" i="8" s="1"/>
  <c r="AW46" i="8"/>
  <c r="BF46" i="8" s="1"/>
  <c r="AW42" i="8"/>
  <c r="BF42" i="8" s="1"/>
  <c r="AW38" i="8"/>
  <c r="BF38" i="8" s="1"/>
  <c r="AW50" i="8"/>
  <c r="BF50" i="8" s="1"/>
  <c r="AW8" i="8"/>
  <c r="BF8" i="8" s="1"/>
  <c r="AW12" i="8"/>
  <c r="BF12" i="8" s="1"/>
  <c r="N74" i="9"/>
  <c r="BP39" i="9" s="1"/>
  <c r="CH39" i="9" s="1"/>
  <c r="M74" i="9"/>
  <c r="BO39" i="9" s="1"/>
  <c r="CG39" i="9" s="1"/>
  <c r="I74" i="9"/>
  <c r="CL39" i="9" s="1"/>
  <c r="K74" i="9"/>
  <c r="L74" i="9"/>
  <c r="O74" i="9"/>
  <c r="BQ39" i="9" s="1"/>
  <c r="CI39" i="9" s="1"/>
  <c r="AT42" i="6"/>
  <c r="AT45" i="6"/>
  <c r="AT48" i="6"/>
  <c r="AX49" i="6"/>
  <c r="AT51" i="6"/>
  <c r="AJ59" i="6"/>
  <c r="AT6" i="6"/>
  <c r="AO58" i="6"/>
  <c r="AY33" i="6"/>
  <c r="AO76" i="6"/>
  <c r="B18" i="6"/>
  <c r="C18" i="6" s="1"/>
  <c r="B5" i="6"/>
  <c r="C5" i="6" s="1"/>
  <c r="B9" i="6"/>
  <c r="C9" i="6" s="1"/>
  <c r="B10" i="6"/>
  <c r="C10" i="6" s="1"/>
  <c r="B12" i="6"/>
  <c r="C12" i="6" s="1"/>
  <c r="B14" i="6"/>
  <c r="C14" i="6" s="1"/>
  <c r="B16" i="6"/>
  <c r="C16" i="6" s="1"/>
  <c r="B21" i="6"/>
  <c r="C21" i="6" s="1"/>
  <c r="B7" i="6"/>
  <c r="C7" i="6" s="1"/>
  <c r="B11" i="6"/>
  <c r="C11" i="6" s="1"/>
  <c r="B13" i="6"/>
  <c r="C13" i="6" s="1"/>
  <c r="B22" i="6"/>
  <c r="C22" i="6" s="1"/>
  <c r="B20" i="6"/>
  <c r="C20" i="6" s="1"/>
  <c r="AT47" i="6"/>
  <c r="AK58" i="6"/>
  <c r="B23" i="6"/>
  <c r="C23" i="6" s="1"/>
  <c r="B19" i="6"/>
  <c r="C19" i="6" s="1"/>
  <c r="B6" i="6"/>
  <c r="C6" i="6" s="1"/>
  <c r="B8" i="6"/>
  <c r="C8" i="6" s="1"/>
  <c r="B15" i="6"/>
  <c r="C15" i="6" s="1"/>
  <c r="B17" i="6"/>
  <c r="C17" i="6" s="1"/>
  <c r="B4" i="6"/>
  <c r="C4" i="6" s="1"/>
  <c r="AT5" i="6"/>
  <c r="B24" i="6"/>
  <c r="C24" i="6" s="1"/>
  <c r="AT38" i="6"/>
  <c r="AK62" i="6"/>
  <c r="AT8" i="6"/>
  <c r="AX8" i="6"/>
  <c r="AK65" i="6"/>
  <c r="AT11" i="6"/>
  <c r="AX12" i="6"/>
  <c r="AK67" i="6"/>
  <c r="AK70" i="6"/>
  <c r="AT27" i="6"/>
  <c r="AT39" i="6"/>
  <c r="AO74" i="6"/>
  <c r="AK73" i="6"/>
  <c r="AX21" i="6"/>
  <c r="AT24" i="6"/>
  <c r="AT44" i="6"/>
  <c r="AL52" i="4"/>
  <c r="AN52" i="4"/>
  <c r="AK52" i="4"/>
  <c r="AP52" i="4"/>
  <c r="AM52" i="4"/>
  <c r="AM60" i="4" s="1"/>
  <c r="AO52" i="4"/>
  <c r="AJ52" i="4"/>
  <c r="B5" i="4"/>
  <c r="C5" i="4" s="1"/>
  <c r="B4" i="4"/>
  <c r="C4" i="4" s="1"/>
  <c r="B22" i="4"/>
  <c r="C22" i="4" s="1"/>
  <c r="B13" i="4"/>
  <c r="C13" i="4" s="1"/>
  <c r="B23" i="4"/>
  <c r="C23" i="4" s="1"/>
  <c r="B24" i="4"/>
  <c r="C24" i="4" s="1"/>
  <c r="AI7" i="4"/>
  <c r="B11" i="4"/>
  <c r="C11" i="4" s="1"/>
  <c r="B12" i="4"/>
  <c r="C12" i="4" s="1"/>
  <c r="B18" i="4"/>
  <c r="C18" i="4" s="1"/>
  <c r="B19" i="4"/>
  <c r="C19" i="4" s="1"/>
  <c r="B20" i="4"/>
  <c r="C20" i="4" s="1"/>
  <c r="AL60" i="4"/>
  <c r="B21" i="4"/>
  <c r="C21" i="4" s="1"/>
  <c r="B14" i="4"/>
  <c r="C14" i="4" s="1"/>
  <c r="B15" i="4"/>
  <c r="C15" i="4" s="1"/>
  <c r="B16" i="4"/>
  <c r="C16" i="4" s="1"/>
  <c r="AJ78" i="4"/>
  <c r="AJ64" i="4"/>
  <c r="AJ72" i="4"/>
  <c r="AJ76" i="4"/>
  <c r="AK81" i="4"/>
  <c r="B6" i="4"/>
  <c r="C6" i="4" s="1"/>
  <c r="B7" i="4"/>
  <c r="C7" i="4" s="1"/>
  <c r="B8" i="4"/>
  <c r="C8" i="4" s="1"/>
  <c r="AJ62" i="4"/>
  <c r="B9" i="4"/>
  <c r="C9" i="4" s="1"/>
  <c r="B10" i="4"/>
  <c r="C10" i="4" s="1"/>
  <c r="B17" i="4"/>
  <c r="C17" i="4" s="1"/>
  <c r="AK65" i="4"/>
  <c r="AK75" i="4"/>
  <c r="AJ80" i="4"/>
  <c r="B8" i="3"/>
  <c r="B18" i="3"/>
  <c r="AI19" i="3"/>
  <c r="AI20" i="3" s="1"/>
  <c r="AN17" i="3"/>
  <c r="AP5" i="3"/>
  <c r="AP4" i="3"/>
  <c r="AO5" i="3"/>
  <c r="AO21" i="3"/>
  <c r="AN15" i="3"/>
  <c r="AP24" i="3"/>
  <c r="AN8" i="3"/>
  <c r="AO8" i="3"/>
  <c r="B10" i="3"/>
  <c r="AN10" i="3"/>
  <c r="B12" i="3"/>
  <c r="AN14" i="3"/>
  <c r="B22" i="3"/>
  <c r="I53" i="3"/>
  <c r="N53" i="3"/>
  <c r="W53" i="3"/>
  <c r="AF53" i="3"/>
  <c r="B20" i="3"/>
  <c r="AM19" i="3"/>
  <c r="AL19" i="3"/>
  <c r="AK28" i="3"/>
  <c r="AM28" i="3"/>
  <c r="AM35" i="3"/>
  <c r="AO39" i="3"/>
  <c r="AL14" i="1"/>
  <c r="AK15" i="1"/>
  <c r="AO14" i="1" s="1"/>
  <c r="AK21" i="1"/>
  <c r="AO20" i="1" s="1"/>
  <c r="B4" i="3"/>
  <c r="C4" i="3" s="1"/>
  <c r="J53" i="3"/>
  <c r="O53" i="3"/>
  <c r="S53" i="3"/>
  <c r="X53" i="3"/>
  <c r="AC53" i="3"/>
  <c r="AG53" i="3"/>
  <c r="T53" i="3"/>
  <c r="B7" i="3"/>
  <c r="AJ7" i="3"/>
  <c r="AN7" i="3"/>
  <c r="AK7" i="3"/>
  <c r="AO7" i="3"/>
  <c r="B9" i="3"/>
  <c r="AJ9" i="3"/>
  <c r="AN9" i="3"/>
  <c r="AK9" i="3"/>
  <c r="AO9" i="3"/>
  <c r="B11" i="3"/>
  <c r="AJ11" i="3"/>
  <c r="AN11" i="3"/>
  <c r="AK11" i="3"/>
  <c r="AO11" i="3"/>
  <c r="B13" i="3"/>
  <c r="AK17" i="3"/>
  <c r="AM17" i="3"/>
  <c r="AL17" i="3"/>
  <c r="AP17" i="3"/>
  <c r="AO24" i="3"/>
  <c r="F53" i="3"/>
  <c r="AJ5" i="3"/>
  <c r="AN6" i="3"/>
  <c r="AN12" i="3"/>
  <c r="B14" i="3"/>
  <c r="AO13" i="3"/>
  <c r="AN13" i="3"/>
  <c r="AO20" i="3"/>
  <c r="B23" i="3"/>
  <c r="B5" i="3"/>
  <c r="C5" i="3" s="1"/>
  <c r="R53" i="3"/>
  <c r="AB53" i="3"/>
  <c r="B6" i="3"/>
  <c r="C6" i="3" s="1"/>
  <c r="AK19" i="3"/>
  <c r="AJ28" i="3"/>
  <c r="AK35" i="3"/>
  <c r="AO35" i="3"/>
  <c r="AN4" i="3"/>
  <c r="G53" i="3"/>
  <c r="K53" i="3"/>
  <c r="P53" i="3"/>
  <c r="AO4" i="3"/>
  <c r="U53" i="3"/>
  <c r="Y53" i="3"/>
  <c r="AD53" i="3"/>
  <c r="M53" i="3"/>
  <c r="AO15" i="3"/>
  <c r="B16" i="3"/>
  <c r="AO14" i="3"/>
  <c r="AN16" i="3"/>
  <c r="AO23" i="3"/>
  <c r="B24" i="3"/>
  <c r="AO22" i="3"/>
  <c r="AJ25" i="3"/>
  <c r="AL25" i="3"/>
  <c r="AO27" i="3"/>
  <c r="AP39" i="3"/>
  <c r="AJ45" i="1"/>
  <c r="AK51" i="1"/>
  <c r="AO50" i="1" s="1"/>
  <c r="AN51" i="1"/>
  <c r="H53" i="3"/>
  <c r="L53" i="3"/>
  <c r="Q53" i="3"/>
  <c r="V53" i="3"/>
  <c r="Z53" i="3"/>
  <c r="AE53" i="3"/>
  <c r="AA53" i="3"/>
  <c r="B15" i="3"/>
  <c r="B17" i="3"/>
  <c r="B19" i="3"/>
  <c r="B21" i="3"/>
  <c r="AP26" i="3"/>
  <c r="AJ27" i="3"/>
  <c r="AM29" i="3"/>
  <c r="AJ30" i="3"/>
  <c r="AP30" i="3"/>
  <c r="AP31" i="3"/>
  <c r="AJ33" i="3"/>
  <c r="AL33" i="3"/>
  <c r="AP33" i="3"/>
  <c r="AO33" i="3"/>
  <c r="AO36" i="3"/>
  <c r="AM14" i="3"/>
  <c r="AM16" i="3"/>
  <c r="AM18" i="3"/>
  <c r="AM20" i="3"/>
  <c r="AM22" i="3"/>
  <c r="AP21" i="3" s="1"/>
  <c r="AM24" i="3"/>
  <c r="AP37" i="3"/>
  <c r="AP41" i="3"/>
  <c r="AL29" i="3"/>
  <c r="AP29" i="3"/>
  <c r="AJ35" i="3"/>
  <c r="AJ40" i="3"/>
  <c r="AL40" i="3"/>
  <c r="AJ42" i="3"/>
  <c r="AL47" i="3"/>
  <c r="AP47" i="3"/>
  <c r="AK30" i="3"/>
  <c r="AO30" i="3"/>
  <c r="AJ31" i="3"/>
  <c r="AL36" i="3"/>
  <c r="AP36" i="3"/>
  <c r="AK38" i="3"/>
  <c r="AO38" i="3"/>
  <c r="AK41" i="3"/>
  <c r="AO40" i="3" s="1"/>
  <c r="AM41" i="3"/>
  <c r="AO41" i="3"/>
  <c r="AK48" i="3"/>
  <c r="AO47" i="3" s="1"/>
  <c r="AO49" i="3"/>
  <c r="AP43" i="3"/>
  <c r="AO45" i="3"/>
  <c r="AM46" i="3"/>
  <c r="AM47" i="3"/>
  <c r="AP46" i="3" s="1"/>
  <c r="AK49" i="3"/>
  <c r="AO48" i="3" s="1"/>
  <c r="AL44" i="3"/>
  <c r="AP44" i="3"/>
  <c r="AK44" i="3"/>
  <c r="AO44" i="3"/>
  <c r="AJ45" i="3"/>
  <c r="AJ46" i="3"/>
  <c r="AK6" i="1"/>
  <c r="AO5" i="1" s="1"/>
  <c r="AL6" i="1"/>
  <c r="AL27" i="1"/>
  <c r="AL43" i="1"/>
  <c r="AJ46" i="1"/>
  <c r="AL46" i="1"/>
  <c r="AK46" i="1"/>
  <c r="AO45" i="1" s="1"/>
  <c r="AM46" i="1"/>
  <c r="AP45" i="1" s="1"/>
  <c r="AJ48" i="1"/>
  <c r="AL48" i="1"/>
  <c r="AK11" i="1"/>
  <c r="AO10" i="1" s="1"/>
  <c r="AL34" i="1"/>
  <c r="AJ36" i="1"/>
  <c r="AJ5" i="1"/>
  <c r="AK27" i="1"/>
  <c r="AO26" i="1" s="1"/>
  <c r="AM27" i="1"/>
  <c r="AP26" i="1" s="1"/>
  <c r="AJ27" i="1"/>
  <c r="AK29" i="1"/>
  <c r="AO28" i="1" s="1"/>
  <c r="AM29" i="1"/>
  <c r="AP28" i="1" s="1"/>
  <c r="AK30" i="1"/>
  <c r="AO29" i="1" s="1"/>
  <c r="AM30" i="1"/>
  <c r="AP29" i="1" s="1"/>
  <c r="AJ30" i="1"/>
  <c r="AL30" i="1"/>
  <c r="AM40" i="1"/>
  <c r="AP39" i="1" s="1"/>
  <c r="H53" i="1"/>
  <c r="Q53" i="1"/>
  <c r="V53" i="1"/>
  <c r="Z53" i="1"/>
  <c r="AE53" i="1"/>
  <c r="AJ8" i="1"/>
  <c r="AJ9" i="1"/>
  <c r="AM20" i="1"/>
  <c r="AP19" i="1" s="1"/>
  <c r="AK24" i="1"/>
  <c r="AO23" i="1" s="1"/>
  <c r="AJ25" i="1"/>
  <c r="AL25" i="1"/>
  <c r="AK35" i="1"/>
  <c r="AO34" i="1" s="1"/>
  <c r="AK42" i="1"/>
  <c r="AO41" i="1" s="1"/>
  <c r="AM42" i="1"/>
  <c r="AP41" i="1" s="1"/>
  <c r="AL47" i="1"/>
  <c r="AJ49" i="1"/>
  <c r="AL49" i="1"/>
  <c r="AK8" i="1"/>
  <c r="AO7" i="1" s="1"/>
  <c r="AL8" i="1"/>
  <c r="AM13" i="1"/>
  <c r="AP12" i="1" s="1"/>
  <c r="AM19" i="1"/>
  <c r="AP18" i="1" s="1"/>
  <c r="AK23" i="1"/>
  <c r="AO22" i="1" s="1"/>
  <c r="AJ31" i="1"/>
  <c r="AM33" i="1"/>
  <c r="AP32" i="1" s="1"/>
  <c r="AL38" i="1"/>
  <c r="AK41" i="1"/>
  <c r="AO40" i="1" s="1"/>
  <c r="AM41" i="1"/>
  <c r="AP40" i="1" s="1"/>
  <c r="AJ41" i="1"/>
  <c r="AL41" i="1"/>
  <c r="AK48" i="1"/>
  <c r="AO47" i="1" s="1"/>
  <c r="AJ6" i="1"/>
  <c r="AJ7" i="1"/>
  <c r="AJ10" i="1"/>
  <c r="AL10" i="1"/>
  <c r="AJ17" i="1"/>
  <c r="AL17" i="1"/>
  <c r="AK17" i="1"/>
  <c r="AO16" i="1" s="1"/>
  <c r="AM17" i="1"/>
  <c r="AP16" i="1" s="1"/>
  <c r="AK22" i="1"/>
  <c r="AO21" i="1" s="1"/>
  <c r="AJ39" i="1"/>
  <c r="AK39" i="1"/>
  <c r="AO38" i="1" s="1"/>
  <c r="AK49" i="1"/>
  <c r="AO48" i="1" s="1"/>
  <c r="AM49" i="1"/>
  <c r="AP48" i="1" s="1"/>
  <c r="AM6" i="1"/>
  <c r="AP5" i="1" s="1"/>
  <c r="AM8" i="1"/>
  <c r="AP7" i="1" s="1"/>
  <c r="AL13" i="1"/>
  <c r="AJ15" i="1"/>
  <c r="AL15" i="1"/>
  <c r="AM15" i="1"/>
  <c r="AP14" i="1" s="1"/>
  <c r="AL16" i="1"/>
  <c r="AK16" i="1"/>
  <c r="AO15" i="1" s="1"/>
  <c r="AM16" i="1"/>
  <c r="AP15" i="1" s="1"/>
  <c r="AK19" i="1"/>
  <c r="AO18" i="1" s="1"/>
  <c r="AJ20" i="1"/>
  <c r="AL20" i="1"/>
  <c r="AM21" i="1"/>
  <c r="AP20" i="1" s="1"/>
  <c r="AJ22" i="1"/>
  <c r="AL22" i="1"/>
  <c r="AM23" i="1"/>
  <c r="AP22" i="1" s="1"/>
  <c r="AM24" i="1"/>
  <c r="AP23" i="1" s="1"/>
  <c r="AK44" i="1"/>
  <c r="AO43" i="1" s="1"/>
  <c r="AM44" i="1"/>
  <c r="AP43" i="1" s="1"/>
  <c r="AL45" i="1"/>
  <c r="AK47" i="1"/>
  <c r="AO46" i="1" s="1"/>
  <c r="AM47" i="1"/>
  <c r="AP46" i="1" s="1"/>
  <c r="AJ47" i="1"/>
  <c r="B5" i="1"/>
  <c r="C5" i="1" s="1"/>
  <c r="AK5" i="1"/>
  <c r="AO4" i="1" s="1"/>
  <c r="AA53" i="1"/>
  <c r="AL5" i="1"/>
  <c r="AK7" i="1"/>
  <c r="AO6" i="1" s="1"/>
  <c r="AL7" i="1"/>
  <c r="AK9" i="1"/>
  <c r="AO8" i="1" s="1"/>
  <c r="AL9" i="1"/>
  <c r="AM10" i="1"/>
  <c r="AP9" i="1" s="1"/>
  <c r="AJ11" i="1"/>
  <c r="AL11" i="1"/>
  <c r="AM11" i="1"/>
  <c r="AP10" i="1" s="1"/>
  <c r="AL12" i="1"/>
  <c r="AK12" i="1"/>
  <c r="AO11" i="1" s="1"/>
  <c r="AM12" i="1"/>
  <c r="AP11" i="1" s="1"/>
  <c r="AK14" i="1"/>
  <c r="AO13" i="1" s="1"/>
  <c r="AM14" i="1"/>
  <c r="AP13" i="1" s="1"/>
  <c r="AJ29" i="1"/>
  <c r="AL29" i="1"/>
  <c r="AK33" i="1"/>
  <c r="AO32" i="1" s="1"/>
  <c r="AL35" i="1"/>
  <c r="AJ37" i="1"/>
  <c r="AL37" i="1"/>
  <c r="AM37" i="1"/>
  <c r="AP36" i="1" s="1"/>
  <c r="AM39" i="1"/>
  <c r="AP38" i="1" s="1"/>
  <c r="AL39" i="1"/>
  <c r="AK43" i="1"/>
  <c r="AO42" i="1" s="1"/>
  <c r="AM43" i="1"/>
  <c r="AP42" i="1" s="1"/>
  <c r="AJ43" i="1"/>
  <c r="AM48" i="1"/>
  <c r="AP47" i="1" s="1"/>
  <c r="AK50" i="1"/>
  <c r="AO49" i="1" s="1"/>
  <c r="AM50" i="1"/>
  <c r="AP49" i="1" s="1"/>
  <c r="AJ50" i="1"/>
  <c r="AL50" i="1"/>
  <c r="AM5" i="1"/>
  <c r="AP4" i="1" s="1"/>
  <c r="AM7" i="1"/>
  <c r="AP6" i="1" s="1"/>
  <c r="AM9" i="1"/>
  <c r="AP8" i="1" s="1"/>
  <c r="AK10" i="1"/>
  <c r="AO9" i="1" s="1"/>
  <c r="AK13" i="1"/>
  <c r="AO12" i="1" s="1"/>
  <c r="AK18" i="1"/>
  <c r="AO17" i="1" s="1"/>
  <c r="AM18" i="1"/>
  <c r="AP17" i="1" s="1"/>
  <c r="AJ19" i="1"/>
  <c r="AL19" i="1"/>
  <c r="AK20" i="1"/>
  <c r="AO19" i="1" s="1"/>
  <c r="AJ21" i="1"/>
  <c r="AL21" i="1"/>
  <c r="AM22" i="1"/>
  <c r="AP21" i="1" s="1"/>
  <c r="AJ23" i="1"/>
  <c r="AL23" i="1"/>
  <c r="AJ26" i="1"/>
  <c r="AK26" i="1"/>
  <c r="AO25" i="1" s="1"/>
  <c r="AM26" i="1"/>
  <c r="AP25" i="1" s="1"/>
  <c r="AK28" i="1"/>
  <c r="AO27" i="1" s="1"/>
  <c r="AM28" i="1"/>
  <c r="AP27" i="1" s="1"/>
  <c r="AL31" i="1"/>
  <c r="AK31" i="1"/>
  <c r="AO30" i="1" s="1"/>
  <c r="AJ32" i="1"/>
  <c r="AL32" i="1"/>
  <c r="AM32" i="1"/>
  <c r="AP31" i="1" s="1"/>
  <c r="AJ33" i="1"/>
  <c r="AL33" i="1"/>
  <c r="AK34" i="1"/>
  <c r="AO33" i="1" s="1"/>
  <c r="AM34" i="1"/>
  <c r="AP33" i="1" s="1"/>
  <c r="AJ34" i="1"/>
  <c r="AM35" i="1"/>
  <c r="AP34" i="1" s="1"/>
  <c r="AJ35" i="1"/>
  <c r="AL36" i="1"/>
  <c r="AK36" i="1"/>
  <c r="AO35" i="1" s="1"/>
  <c r="AM36" i="1"/>
  <c r="AP35" i="1" s="1"/>
  <c r="AK38" i="1"/>
  <c r="AO37" i="1" s="1"/>
  <c r="AM38" i="1"/>
  <c r="AP37" i="1" s="1"/>
  <c r="AJ38" i="1"/>
  <c r="AK40" i="1"/>
  <c r="AO39" i="1" s="1"/>
  <c r="AJ44" i="1"/>
  <c r="AL44" i="1"/>
  <c r="AK45" i="1"/>
  <c r="AO44" i="1" s="1"/>
  <c r="AM45" i="1"/>
  <c r="AP44" i="1" s="1"/>
  <c r="AM51" i="1"/>
  <c r="AP50" i="1" s="1"/>
  <c r="AJ51" i="1"/>
  <c r="AL51" i="1"/>
  <c r="AK4" i="1"/>
  <c r="L53" i="1"/>
  <c r="AM4" i="1"/>
  <c r="AL4" i="1"/>
  <c r="B10" i="1"/>
  <c r="C10" i="1" s="1"/>
  <c r="B8" i="1"/>
  <c r="C8" i="1" s="1"/>
  <c r="B7" i="1"/>
  <c r="C7" i="1" s="1"/>
  <c r="B6" i="1"/>
  <c r="C6" i="1" s="1"/>
  <c r="B9" i="1"/>
  <c r="C9" i="1" s="1"/>
  <c r="B4" i="1"/>
  <c r="C4" i="1" s="1"/>
  <c r="AI7" i="1"/>
  <c r="AN5" i="1"/>
  <c r="I53" i="1"/>
  <c r="N53" i="1"/>
  <c r="R53" i="1"/>
  <c r="W53" i="1"/>
  <c r="AB53" i="1"/>
  <c r="AF53" i="1"/>
  <c r="T53" i="1"/>
  <c r="B12" i="1"/>
  <c r="C12" i="1" s="1"/>
  <c r="AJ12" i="1"/>
  <c r="B16" i="1"/>
  <c r="C16" i="1" s="1"/>
  <c r="AJ16" i="1"/>
  <c r="AJ24" i="1"/>
  <c r="AL24" i="1"/>
  <c r="B11" i="1"/>
  <c r="C11" i="1" s="1"/>
  <c r="O53" i="1"/>
  <c r="X53" i="1"/>
  <c r="B13" i="1"/>
  <c r="C13" i="1" s="1"/>
  <c r="B17" i="1"/>
  <c r="C17" i="1" s="1"/>
  <c r="B18" i="1"/>
  <c r="C18" i="1" s="1"/>
  <c r="AJ18" i="1"/>
  <c r="AL18" i="1"/>
  <c r="B20" i="1"/>
  <c r="C20" i="1" s="1"/>
  <c r="B21" i="1"/>
  <c r="C21" i="1" s="1"/>
  <c r="B22" i="1"/>
  <c r="C22" i="1" s="1"/>
  <c r="B23" i="1"/>
  <c r="C23" i="1" s="1"/>
  <c r="B24" i="1"/>
  <c r="C24" i="1" s="1"/>
  <c r="AK25" i="1"/>
  <c r="AO24" i="1" s="1"/>
  <c r="AM25" i="1"/>
  <c r="AP24" i="1" s="1"/>
  <c r="AJ28" i="1"/>
  <c r="AL28" i="1"/>
  <c r="B15" i="1"/>
  <c r="C15" i="1" s="1"/>
  <c r="B19" i="1"/>
  <c r="C19" i="1" s="1"/>
  <c r="J53" i="1"/>
  <c r="S53" i="1"/>
  <c r="AC53" i="1"/>
  <c r="AG53" i="1"/>
  <c r="M53" i="1"/>
  <c r="AJ13" i="1"/>
  <c r="AN4" i="1"/>
  <c r="G53" i="1"/>
  <c r="K53" i="1"/>
  <c r="P53" i="1"/>
  <c r="U53" i="1"/>
  <c r="Y53" i="1"/>
  <c r="AD53" i="1"/>
  <c r="F53" i="1"/>
  <c r="B14" i="1"/>
  <c r="C14" i="1" s="1"/>
  <c r="AJ14" i="1"/>
  <c r="AL26" i="1"/>
  <c r="AM31" i="1"/>
  <c r="AK32" i="1"/>
  <c r="AK37" i="1"/>
  <c r="AO36" i="1" s="1"/>
  <c r="AJ40" i="1"/>
  <c r="AL40" i="1"/>
  <c r="AJ42" i="1"/>
  <c r="AL42" i="1"/>
  <c r="CN64" i="10" a="1"/>
  <c r="CO73" i="10" a="1"/>
  <c r="CL90" i="10" a="1"/>
  <c r="CN100" i="10" a="1"/>
  <c r="CN74" i="10" a="1"/>
  <c r="CQ102" i="10" a="1"/>
  <c r="CM80" i="10" a="1"/>
  <c r="CN93" i="10" a="1"/>
  <c r="CP103" i="10" a="1"/>
  <c r="CQ70" i="10" a="1"/>
  <c r="CM109" i="10" a="1"/>
  <c r="CM71" i="10" a="1"/>
  <c r="CR88" i="10" a="1"/>
  <c r="CL98" i="10" a="1"/>
  <c r="CQ69" i="10" a="1"/>
  <c r="CO100" i="10" a="1"/>
  <c r="CR77" i="10" a="1"/>
  <c r="CM92" i="10" a="1"/>
  <c r="CR105" i="10" a="1"/>
  <c r="CO110" i="10" a="1"/>
  <c r="CM69" i="10" a="1"/>
  <c r="CQ64" i="10" a="1"/>
  <c r="CP71" i="10" a="1"/>
  <c r="CQ80" i="10" a="1"/>
  <c r="CM89" i="10" a="1"/>
  <c r="CQ93" i="10" a="1"/>
  <c r="CN98" i="10" a="1"/>
  <c r="CR102" i="10" a="1"/>
  <c r="CO72" i="10" a="1"/>
  <c r="CP81" i="10" a="1"/>
  <c r="CL101" i="10" a="1"/>
  <c r="CO69" i="10" a="1"/>
  <c r="CP78" i="10" a="1"/>
  <c r="CQ87" i="10" a="1"/>
  <c r="CO92" i="10" a="1"/>
  <c r="CL97" i="10" a="1"/>
  <c r="CM104" i="10" a="1"/>
  <c r="CQ81" i="10" a="1"/>
  <c r="CN75" i="10" a="1"/>
  <c r="CQ73" i="10" a="1"/>
  <c r="CO107" i="10" a="1"/>
  <c r="CL66" i="10" a="1"/>
  <c r="CQ67" i="10" a="1"/>
  <c r="CR76" i="10" a="1"/>
  <c r="CL86" i="10" a="1"/>
  <c r="CQ91" i="10" a="1"/>
  <c r="CN96" i="10" a="1"/>
  <c r="CR100" i="10" a="1"/>
  <c r="CP68" i="10" a="1"/>
  <c r="CQ77" i="10" a="1"/>
  <c r="CR86" i="10" a="1"/>
  <c r="CL107" i="10" a="1"/>
  <c r="CO74" i="10" a="1"/>
  <c r="CP83" i="10" a="1"/>
  <c r="CO90" i="10" a="1"/>
  <c r="CL95" i="10" a="1"/>
  <c r="CQ100" i="10" a="1"/>
  <c r="CL109" i="10" a="1"/>
  <c r="CQ107" i="10" a="1"/>
  <c r="CP80" i="10" a="1"/>
  <c r="CL81" i="10" a="1"/>
  <c r="CR82" i="10" a="1"/>
  <c r="CM64" i="10" a="1"/>
  <c r="CO70" i="10" a="1"/>
  <c r="CP79" i="10" a="1"/>
  <c r="CP88" i="10" a="1"/>
  <c r="CM93" i="10" a="1"/>
  <c r="CQ97" i="10" a="1"/>
  <c r="CN102" i="10" a="1"/>
  <c r="CN71" i="10" a="1"/>
  <c r="CO80" i="10" a="1"/>
  <c r="CR99" i="10" a="1"/>
  <c r="CN68" i="10" a="1"/>
  <c r="CO77" i="10" a="1"/>
  <c r="CP86" i="10" a="1"/>
  <c r="CR91" i="10" a="1"/>
  <c r="CO96" i="10" a="1"/>
  <c r="CN103" i="10" a="1"/>
  <c r="CM77" i="10" a="1"/>
  <c r="CR110" i="10" a="1"/>
  <c r="CR109" i="10" a="1"/>
  <c r="CN106" i="10" a="1"/>
  <c r="CN63" i="10" a="1"/>
  <c r="CO63" i="10" a="1"/>
  <c r="CL63" i="10" a="1"/>
  <c r="CP66" i="10" a="1"/>
  <c r="CL78" i="10" a="1"/>
  <c r="CN92" i="10" a="1"/>
  <c r="CP102" i="10" a="1"/>
  <c r="CR78" i="10" a="1"/>
  <c r="CR107" i="10" a="1"/>
  <c r="CQ84" i="10" a="1"/>
  <c r="CP95" i="10" a="1"/>
  <c r="CM108" i="10" a="1"/>
  <c r="CL76" i="10" a="1"/>
  <c r="CO65" i="10" a="1"/>
  <c r="CQ75" i="10" a="1"/>
  <c r="CM91" i="10" a="1"/>
  <c r="CM99" i="10" a="1"/>
  <c r="CP76" i="10" a="1"/>
  <c r="CP105" i="10" a="1"/>
  <c r="CO82" i="10" a="1"/>
  <c r="CO94" i="10" a="1"/>
  <c r="CP69" i="10" a="1"/>
  <c r="CM85" i="10" a="1"/>
  <c r="CP64" i="10" a="1"/>
  <c r="CR65" i="10" a="1"/>
  <c r="CR73" i="10" a="1"/>
  <c r="CL83" i="10" a="1"/>
  <c r="CN90" i="10" a="1"/>
  <c r="CR94" i="10" a="1"/>
  <c r="CO99" i="10" a="1"/>
  <c r="CL104" i="10" a="1"/>
  <c r="CQ74" i="10" a="1"/>
  <c r="CR83" i="10" a="1"/>
  <c r="CR103" i="10" a="1"/>
  <c r="CQ71" i="10" a="1"/>
  <c r="CR80" i="10" a="1"/>
  <c r="CL89" i="10" a="1"/>
  <c r="CP93" i="10" a="1"/>
  <c r="CO98" i="10" a="1"/>
  <c r="CM106" i="10" a="1"/>
  <c r="CR104" i="10" a="1"/>
  <c r="CO68" i="10" a="1"/>
  <c r="CN70" i="10" a="1"/>
  <c r="CP109" i="10" a="1"/>
  <c r="CM67" i="10" a="1"/>
  <c r="CL70" i="10" a="1"/>
  <c r="CM79" i="10" a="1"/>
  <c r="CN88" i="10" a="1"/>
  <c r="CR92" i="10" a="1"/>
  <c r="CO97" i="10" a="1"/>
  <c r="CL102" i="10" a="1"/>
  <c r="CR70" i="10" a="1"/>
  <c r="CL80" i="10" a="1"/>
  <c r="CL99" i="10" a="1"/>
  <c r="CP67" i="10" a="1"/>
  <c r="CQ76" i="10" a="1"/>
  <c r="CR85" i="10" a="1"/>
  <c r="CP91" i="10" a="1"/>
  <c r="CM96" i="10" a="1"/>
  <c r="CL103" i="10" a="1"/>
  <c r="CM74" i="10" a="1"/>
  <c r="CM110" i="10" a="1"/>
  <c r="CO109" i="10" a="1"/>
  <c r="CQ105" i="10" a="1"/>
  <c r="CL64" i="10" a="1"/>
  <c r="CN65" i="10" a="1"/>
  <c r="CQ72" i="10" a="1"/>
  <c r="CR81" i="10" a="1"/>
  <c r="CQ89" i="10" a="1"/>
  <c r="CN94" i="10" a="1"/>
  <c r="CR98" i="10" a="1"/>
  <c r="CO103" i="10" a="1"/>
  <c r="CP73" i="10" a="1"/>
  <c r="CQ82" i="10" a="1"/>
  <c r="CM102" i="10" a="1"/>
  <c r="CP70" i="10" a="1"/>
  <c r="CQ79" i="10" a="1"/>
  <c r="CO88" i="10" a="1"/>
  <c r="CL93" i="10" a="1"/>
  <c r="CP97" i="10" a="1"/>
  <c r="CN105" i="10" a="1"/>
  <c r="CN86" i="10" a="1"/>
  <c r="CO87" i="10" a="1"/>
  <c r="CL110" i="10" a="1"/>
  <c r="CP108" i="10" a="1"/>
  <c r="CM63" i="10" a="1"/>
  <c r="CR63" i="10" a="1"/>
  <c r="CP65" i="10" a="1"/>
  <c r="CP82" i="10" a="1"/>
  <c r="CP94" i="10" a="1"/>
  <c r="CO67" i="10" a="1"/>
  <c r="CO83" i="10" a="1"/>
  <c r="CL71" i="10" a="1"/>
  <c r="CQ88" i="10" a="1"/>
  <c r="CM98" i="10" a="1"/>
  <c r="CQ78" i="10" a="1"/>
  <c r="CP110" i="10" a="1"/>
  <c r="CO64" i="10" a="1"/>
  <c r="CN80" i="10" a="1"/>
  <c r="CO93" i="10" a="1"/>
  <c r="CO101" i="10" a="1"/>
  <c r="CM81" i="10" a="1"/>
  <c r="CQ68" i="10" a="1"/>
  <c r="CL87" i="10" a="1"/>
  <c r="CQ96" i="10" a="1"/>
  <c r="CR87" i="10" a="1"/>
  <c r="CN67" i="10" a="1"/>
  <c r="CQ65" i="10" a="1"/>
  <c r="CL67" i="10" a="1"/>
  <c r="CM76" i="10" a="1"/>
  <c r="CN85" i="10" a="1"/>
  <c r="CO91" i="10" a="1"/>
  <c r="CL96" i="10" a="1"/>
  <c r="CP100" i="10" a="1"/>
  <c r="CR67" i="10" a="1"/>
  <c r="CL77" i="10" a="1"/>
  <c r="CM86" i="10" a="1"/>
  <c r="CO106" i="10" a="1"/>
  <c r="CL74" i="10" a="1"/>
  <c r="CM83" i="10" a="1"/>
  <c r="CM90" i="10" a="1"/>
  <c r="CQ94" i="10" a="1"/>
  <c r="CM100" i="10" a="1"/>
  <c r="CO108" i="10" a="1"/>
  <c r="CM107" i="10" a="1"/>
  <c r="CP77" i="10" a="1"/>
  <c r="CO79" i="10" a="1"/>
  <c r="CN78" i="10" a="1"/>
  <c r="CL65" i="10" a="1"/>
  <c r="CN72" i="10" a="1"/>
  <c r="CO81" i="10" a="1"/>
  <c r="CO89" i="10" a="1"/>
  <c r="CL94" i="10" a="1"/>
  <c r="CP98" i="10" a="1"/>
  <c r="CM103" i="10" a="1"/>
  <c r="CM73" i="10" a="1"/>
  <c r="CN82" i="10" a="1"/>
  <c r="CP101" i="10" a="1"/>
  <c r="CR69" i="10" a="1"/>
  <c r="CL79" i="10" a="1"/>
  <c r="CM88" i="10" a="1"/>
  <c r="CQ92" i="10" a="1"/>
  <c r="CN97" i="10" a="1"/>
  <c r="CQ104" i="10" a="1"/>
  <c r="CN83" i="10" a="1"/>
  <c r="CR79" i="10" a="1"/>
  <c r="CO84" i="10" a="1"/>
  <c r="CL108" i="10" a="1"/>
  <c r="CM65" i="10" a="1"/>
  <c r="CO66" i="10" a="1"/>
  <c r="CL75" i="10" a="1"/>
  <c r="CM84" i="10" a="1"/>
  <c r="CR90" i="10" a="1"/>
  <c r="CO95" i="10" a="1"/>
  <c r="CL100" i="10" a="1"/>
  <c r="CP104" i="10" a="1"/>
  <c r="CR75" i="10" a="1"/>
  <c r="CL85" i="10" a="1"/>
  <c r="CL105" i="10" a="1"/>
  <c r="CR72" i="10" a="1"/>
  <c r="CL82" i="10" a="1"/>
  <c r="CP89" i="10" a="1"/>
  <c r="CM94" i="10" a="1"/>
  <c r="CN99" i="10" a="1"/>
  <c r="CN107" i="10" a="1"/>
  <c r="CL106" i="10" a="1"/>
  <c r="CL73" i="10" a="1"/>
  <c r="CR74" i="10" a="1"/>
  <c r="CQ110" i="10" a="1"/>
  <c r="CP63" i="10" a="1"/>
  <c r="CR106" i="10" a="1"/>
  <c r="CR68" i="10" a="1"/>
  <c r="CM87" i="10" a="1"/>
  <c r="CR96" i="10" a="1"/>
  <c r="CL72" i="10" a="1"/>
  <c r="CL88" i="10" a="1"/>
  <c r="CP75" i="10" a="1"/>
  <c r="CL91" i="10" a="1"/>
  <c r="CR101" i="10" a="1"/>
  <c r="CP106" i="10" a="1"/>
  <c r="CO76" i="10" a="1"/>
  <c r="CQ66" i="10" a="1"/>
  <c r="CR84" i="10" a="1"/>
  <c r="CQ95" i="10" a="1"/>
  <c r="CQ103" i="10" a="1"/>
  <c r="CQ85" i="10" a="1"/>
  <c r="CN73" i="10" a="1"/>
  <c r="CR89" i="10" a="1"/>
  <c r="CP99" i="10" a="1"/>
  <c r="CR108" i="10" a="1"/>
  <c r="CP85" i="10" a="1"/>
  <c r="CR66" i="10" a="1"/>
  <c r="CN69" i="10" a="1"/>
  <c r="CO78" i="10" a="1"/>
  <c r="CP87" i="10" a="1"/>
  <c r="CP92" i="10" a="1"/>
  <c r="CM97" i="10" a="1"/>
  <c r="CQ101" i="10" a="1"/>
  <c r="CM70" i="10" a="1"/>
  <c r="CN79" i="10" a="1"/>
  <c r="CR97" i="10" a="1"/>
  <c r="CQ108" i="10" a="1"/>
  <c r="CN76" i="10" a="1"/>
  <c r="CO85" i="10" a="1"/>
  <c r="CN91" i="10" a="1"/>
  <c r="CR95" i="10" a="1"/>
  <c r="CO102" i="10" a="1"/>
  <c r="CP72" i="10" a="1"/>
  <c r="CQ109" i="10" a="1"/>
  <c r="CQ86" i="10" a="1"/>
  <c r="CM105" i="10" a="1"/>
  <c r="CR64" i="10" a="1"/>
  <c r="CM66" i="10" a="1"/>
  <c r="CP74" i="10" a="1"/>
  <c r="CQ83" i="10" a="1"/>
  <c r="CP90" i="10" a="1"/>
  <c r="CM95" i="10" a="1"/>
  <c r="CQ99" i="10" a="1"/>
  <c r="CN104" i="10" a="1"/>
  <c r="CO75" i="10" a="1"/>
  <c r="CP84" i="10" a="1"/>
  <c r="CO104" i="10" a="1"/>
  <c r="CM72" i="10" a="1"/>
  <c r="CN81" i="10" a="1"/>
  <c r="CN89" i="10" a="1"/>
  <c r="CR93" i="10" a="1"/>
  <c r="CQ98" i="10" a="1"/>
  <c r="CQ106" i="10" a="1"/>
  <c r="CO105" i="10" a="1"/>
  <c r="CO71" i="10" a="1"/>
  <c r="CR71" i="10" a="1"/>
  <c r="CN110" i="10" a="1"/>
  <c r="CN66" i="10" a="1"/>
  <c r="CM68" i="10" a="1"/>
  <c r="CN77" i="10" a="1"/>
  <c r="CO86" i="10" a="1"/>
  <c r="CL92" i="10" a="1"/>
  <c r="CP96" i="10" a="1"/>
  <c r="CM101" i="10" a="1"/>
  <c r="CL69" i="10" a="1"/>
  <c r="CM78" i="10" a="1"/>
  <c r="CN87" i="10" a="1"/>
  <c r="CP107" i="10" a="1"/>
  <c r="CM75" i="10" a="1"/>
  <c r="CN84" i="10" a="1"/>
  <c r="CQ90" i="10" a="1"/>
  <c r="CN95" i="10" a="1"/>
  <c r="CN101" i="10" a="1"/>
  <c r="CL68" i="10" a="1"/>
  <c r="CN108" i="10" a="1"/>
  <c r="CM82" i="10" a="1"/>
  <c r="CL84" i="10" a="1"/>
  <c r="CN109" i="10" a="1"/>
  <c r="CQ63" i="10" a="1"/>
  <c r="CQ63" i="10" l="1"/>
  <c r="CN109" i="10"/>
  <c r="CW109" i="10" s="1"/>
  <c r="CL84" i="10"/>
  <c r="CU84" i="10" s="1"/>
  <c r="CM82" i="10"/>
  <c r="CV82" i="10" s="1"/>
  <c r="CN108" i="10"/>
  <c r="CW108" i="10" s="1"/>
  <c r="CL68" i="10"/>
  <c r="CU68" i="10" s="1"/>
  <c r="CN101" i="10"/>
  <c r="CW101" i="10" s="1"/>
  <c r="CN95" i="10"/>
  <c r="CW95" i="10" s="1"/>
  <c r="CQ90" i="10"/>
  <c r="CZ90" i="10" s="1"/>
  <c r="CN84" i="10"/>
  <c r="CW84" i="10" s="1"/>
  <c r="CM75" i="10"/>
  <c r="CV75" i="10" s="1"/>
  <c r="CP107" i="10"/>
  <c r="CY107" i="10" s="1"/>
  <c r="CN87" i="10"/>
  <c r="CW87" i="10" s="1"/>
  <c r="CM78" i="10"/>
  <c r="CV78" i="10" s="1"/>
  <c r="CL69" i="10"/>
  <c r="CU69" i="10" s="1"/>
  <c r="CM101" i="10"/>
  <c r="CV101" i="10" s="1"/>
  <c r="CP96" i="10"/>
  <c r="CY96" i="10" s="1"/>
  <c r="CL92" i="10"/>
  <c r="CU92" i="10" s="1"/>
  <c r="CO86" i="10"/>
  <c r="CX86" i="10" s="1"/>
  <c r="CN77" i="10"/>
  <c r="CW77" i="10" s="1"/>
  <c r="CM68" i="10"/>
  <c r="CV68" i="10" s="1"/>
  <c r="CN66" i="10"/>
  <c r="CW66" i="10" s="1"/>
  <c r="CN110" i="10"/>
  <c r="CW110" i="10" s="1"/>
  <c r="CR71" i="10"/>
  <c r="DA71" i="10" s="1"/>
  <c r="CO71" i="10"/>
  <c r="CX71" i="10" s="1"/>
  <c r="CO105" i="10"/>
  <c r="CX105" i="10" s="1"/>
  <c r="CQ106" i="10"/>
  <c r="CZ106" i="10" s="1"/>
  <c r="CQ98" i="10"/>
  <c r="CZ98" i="10" s="1"/>
  <c r="CR93" i="10"/>
  <c r="DA93" i="10" s="1"/>
  <c r="CN89" i="10"/>
  <c r="CW89" i="10" s="1"/>
  <c r="CN81" i="10"/>
  <c r="CW81" i="10" s="1"/>
  <c r="CM72" i="10"/>
  <c r="CV72" i="10" s="1"/>
  <c r="CO104" i="10"/>
  <c r="CX104" i="10" s="1"/>
  <c r="CP84" i="10"/>
  <c r="CY84" i="10" s="1"/>
  <c r="CO75" i="10"/>
  <c r="CX75" i="10" s="1"/>
  <c r="CN104" i="10"/>
  <c r="CW104" i="10" s="1"/>
  <c r="CQ99" i="10"/>
  <c r="CZ99" i="10" s="1"/>
  <c r="CM95" i="10"/>
  <c r="CV95" i="10" s="1"/>
  <c r="CP90" i="10"/>
  <c r="CY90" i="10" s="1"/>
  <c r="CQ83" i="10"/>
  <c r="CZ83" i="10" s="1"/>
  <c r="CP74" i="10"/>
  <c r="CY74" i="10" s="1"/>
  <c r="CM66" i="10"/>
  <c r="CV66" i="10" s="1"/>
  <c r="CR64" i="10"/>
  <c r="DA64" i="10" s="1"/>
  <c r="CM105" i="10"/>
  <c r="CV105" i="10" s="1"/>
  <c r="CQ86" i="10"/>
  <c r="CZ86" i="10" s="1"/>
  <c r="CQ109" i="10"/>
  <c r="CZ109" i="10" s="1"/>
  <c r="CP72" i="10"/>
  <c r="CY72" i="10" s="1"/>
  <c r="CO102" i="10"/>
  <c r="CX102" i="10" s="1"/>
  <c r="CR95" i="10"/>
  <c r="DA95" i="10" s="1"/>
  <c r="CN91" i="10"/>
  <c r="CW91" i="10" s="1"/>
  <c r="CO85" i="10"/>
  <c r="CX85" i="10" s="1"/>
  <c r="CN76" i="10"/>
  <c r="CW76" i="10" s="1"/>
  <c r="CQ108" i="10"/>
  <c r="CZ108" i="10" s="1"/>
  <c r="CR97" i="10"/>
  <c r="DA97" i="10" s="1"/>
  <c r="CN79" i="10"/>
  <c r="CW79" i="10" s="1"/>
  <c r="CM70" i="10"/>
  <c r="CV70" i="10" s="1"/>
  <c r="CQ101" i="10"/>
  <c r="CZ101" i="10" s="1"/>
  <c r="CM97" i="10"/>
  <c r="CV97" i="10" s="1"/>
  <c r="CP92" i="10"/>
  <c r="CY92" i="10" s="1"/>
  <c r="CP87" i="10"/>
  <c r="CY87" i="10" s="1"/>
  <c r="CO78" i="10"/>
  <c r="CX78" i="10" s="1"/>
  <c r="CN69" i="10"/>
  <c r="CW69" i="10" s="1"/>
  <c r="CR66" i="10"/>
  <c r="DA66" i="10" s="1"/>
  <c r="CP85" i="10"/>
  <c r="CY85" i="10" s="1"/>
  <c r="CR108" i="10"/>
  <c r="DA108" i="10" s="1"/>
  <c r="CP99" i="10"/>
  <c r="CY99" i="10" s="1"/>
  <c r="CR89" i="10"/>
  <c r="DA89" i="10" s="1"/>
  <c r="CN73" i="10"/>
  <c r="CW73" i="10" s="1"/>
  <c r="CQ85" i="10"/>
  <c r="CZ85" i="10" s="1"/>
  <c r="CQ103" i="10"/>
  <c r="CZ103" i="10" s="1"/>
  <c r="CQ95" i="10"/>
  <c r="CZ95" i="10" s="1"/>
  <c r="CR84" i="10"/>
  <c r="DA84" i="10" s="1"/>
  <c r="CQ66" i="10"/>
  <c r="CZ66" i="10" s="1"/>
  <c r="CO76" i="10"/>
  <c r="CX76" i="10" s="1"/>
  <c r="CP106" i="10"/>
  <c r="CY106" i="10" s="1"/>
  <c r="CR101" i="10"/>
  <c r="DA101" i="10" s="1"/>
  <c r="CL91" i="10"/>
  <c r="CU91" i="10" s="1"/>
  <c r="CP75" i="10"/>
  <c r="CY75" i="10" s="1"/>
  <c r="CL88" i="10"/>
  <c r="CU88" i="10" s="1"/>
  <c r="CL72" i="10"/>
  <c r="CU72" i="10" s="1"/>
  <c r="CR96" i="10"/>
  <c r="DA96" i="10" s="1"/>
  <c r="CM87" i="10"/>
  <c r="CV87" i="10" s="1"/>
  <c r="CR68" i="10"/>
  <c r="DA68" i="10" s="1"/>
  <c r="CR106" i="10"/>
  <c r="DA106" i="10" s="1"/>
  <c r="CP63" i="10"/>
  <c r="CQ110" i="10"/>
  <c r="CZ110" i="10" s="1"/>
  <c r="CR74" i="10"/>
  <c r="DA74" i="10" s="1"/>
  <c r="CL73" i="10"/>
  <c r="CU73" i="10" s="1"/>
  <c r="CL106" i="10"/>
  <c r="CU106" i="10" s="1"/>
  <c r="CN107" i="10"/>
  <c r="CW107" i="10" s="1"/>
  <c r="CN99" i="10"/>
  <c r="CW99" i="10" s="1"/>
  <c r="CM94" i="10"/>
  <c r="CV94" i="10" s="1"/>
  <c r="CP89" i="10"/>
  <c r="CY89" i="10" s="1"/>
  <c r="CL82" i="10"/>
  <c r="CU82" i="10" s="1"/>
  <c r="CR72" i="10"/>
  <c r="DA72" i="10" s="1"/>
  <c r="CL105" i="10"/>
  <c r="CU105" i="10" s="1"/>
  <c r="CL85" i="10"/>
  <c r="CU85" i="10" s="1"/>
  <c r="CR75" i="10"/>
  <c r="DA75" i="10" s="1"/>
  <c r="CP104" i="10"/>
  <c r="CY104" i="10" s="1"/>
  <c r="CL100" i="10"/>
  <c r="CU100" i="10" s="1"/>
  <c r="CO95" i="10"/>
  <c r="CX95" i="10" s="1"/>
  <c r="CR90" i="10"/>
  <c r="DA90" i="10" s="1"/>
  <c r="CM84" i="10"/>
  <c r="CV84" i="10" s="1"/>
  <c r="CL75" i="10"/>
  <c r="CU75" i="10" s="1"/>
  <c r="CO66" i="10"/>
  <c r="CX66" i="10" s="1"/>
  <c r="CM65" i="10"/>
  <c r="CV65" i="10" s="1"/>
  <c r="CL108" i="10"/>
  <c r="CU108" i="10" s="1"/>
  <c r="CO84" i="10"/>
  <c r="CX84" i="10" s="1"/>
  <c r="CR79" i="10"/>
  <c r="DA79" i="10" s="1"/>
  <c r="CN83" i="10"/>
  <c r="CW83" i="10" s="1"/>
  <c r="CQ104" i="10"/>
  <c r="CZ104" i="10" s="1"/>
  <c r="CN97" i="10"/>
  <c r="CW97" i="10" s="1"/>
  <c r="CQ92" i="10"/>
  <c r="CZ92" i="10" s="1"/>
  <c r="CM88" i="10"/>
  <c r="CV88" i="10" s="1"/>
  <c r="CL79" i="10"/>
  <c r="CU79" i="10" s="1"/>
  <c r="CR69" i="10"/>
  <c r="DA69" i="10" s="1"/>
  <c r="CP101" i="10"/>
  <c r="CY101" i="10" s="1"/>
  <c r="CN82" i="10"/>
  <c r="CW82" i="10" s="1"/>
  <c r="CM73" i="10"/>
  <c r="CV73" i="10" s="1"/>
  <c r="CM103" i="10"/>
  <c r="CV103" i="10" s="1"/>
  <c r="CP98" i="10"/>
  <c r="CY98" i="10" s="1"/>
  <c r="CL94" i="10"/>
  <c r="CU94" i="10" s="1"/>
  <c r="CO89" i="10"/>
  <c r="CX89" i="10" s="1"/>
  <c r="CO81" i="10"/>
  <c r="CX81" i="10" s="1"/>
  <c r="CN72" i="10"/>
  <c r="CW72" i="10" s="1"/>
  <c r="CL65" i="10"/>
  <c r="CU65" i="10" s="1"/>
  <c r="CN78" i="10"/>
  <c r="CW78" i="10" s="1"/>
  <c r="CO79" i="10"/>
  <c r="CX79" i="10" s="1"/>
  <c r="CP77" i="10"/>
  <c r="CY77" i="10" s="1"/>
  <c r="CM107" i="10"/>
  <c r="CV107" i="10" s="1"/>
  <c r="CO108" i="10"/>
  <c r="CX108" i="10" s="1"/>
  <c r="CM100" i="10"/>
  <c r="CV100" i="10" s="1"/>
  <c r="CQ94" i="10"/>
  <c r="CZ94" i="10" s="1"/>
  <c r="CM90" i="10"/>
  <c r="CV90" i="10" s="1"/>
  <c r="CM83" i="10"/>
  <c r="CV83" i="10" s="1"/>
  <c r="CL74" i="10"/>
  <c r="CU74" i="10" s="1"/>
  <c r="CO106" i="10"/>
  <c r="CX106" i="10" s="1"/>
  <c r="CM86" i="10"/>
  <c r="CV86" i="10" s="1"/>
  <c r="CL77" i="10"/>
  <c r="CU77" i="10" s="1"/>
  <c r="CR67" i="10"/>
  <c r="DA67" i="10" s="1"/>
  <c r="CP100" i="10"/>
  <c r="CY100" i="10" s="1"/>
  <c r="CL96" i="10"/>
  <c r="CU96" i="10" s="1"/>
  <c r="CO91" i="10"/>
  <c r="CX91" i="10" s="1"/>
  <c r="CN85" i="10"/>
  <c r="CW85" i="10" s="1"/>
  <c r="CM76" i="10"/>
  <c r="CV76" i="10" s="1"/>
  <c r="CL67" i="10"/>
  <c r="CU67" i="10" s="1"/>
  <c r="CQ65" i="10"/>
  <c r="CZ65" i="10" s="1"/>
  <c r="CN67" i="10"/>
  <c r="CW67" i="10" s="1"/>
  <c r="CR87" i="10"/>
  <c r="DA87" i="10" s="1"/>
  <c r="CQ96" i="10"/>
  <c r="CZ96" i="10" s="1"/>
  <c r="CL87" i="10"/>
  <c r="CU87" i="10" s="1"/>
  <c r="CQ68" i="10"/>
  <c r="CZ68" i="10" s="1"/>
  <c r="CM81" i="10"/>
  <c r="CV81" i="10" s="1"/>
  <c r="CO101" i="10"/>
  <c r="CX101" i="10" s="1"/>
  <c r="CO93" i="10"/>
  <c r="CX93" i="10" s="1"/>
  <c r="CN80" i="10"/>
  <c r="CW80" i="10" s="1"/>
  <c r="CO64" i="10"/>
  <c r="CX64" i="10" s="1"/>
  <c r="CP110" i="10"/>
  <c r="CY110" i="10" s="1"/>
  <c r="CQ78" i="10"/>
  <c r="CZ78" i="10" s="1"/>
  <c r="CM98" i="10"/>
  <c r="CV98" i="10" s="1"/>
  <c r="CQ88" i="10"/>
  <c r="CZ88" i="10" s="1"/>
  <c r="CL71" i="10"/>
  <c r="CU71" i="10" s="1"/>
  <c r="CO83" i="10"/>
  <c r="CX83" i="10" s="1"/>
  <c r="CO67" i="10"/>
  <c r="CX67" i="10" s="1"/>
  <c r="CP94" i="10"/>
  <c r="CY94" i="10" s="1"/>
  <c r="CP82" i="10"/>
  <c r="CY82" i="10" s="1"/>
  <c r="CP65" i="10"/>
  <c r="CY65" i="10" s="1"/>
  <c r="CR63" i="10"/>
  <c r="CM63" i="10"/>
  <c r="CP108" i="10"/>
  <c r="CY108" i="10" s="1"/>
  <c r="CL110" i="10"/>
  <c r="CU110" i="10" s="1"/>
  <c r="CO87" i="10"/>
  <c r="CX87" i="10" s="1"/>
  <c r="CN86" i="10"/>
  <c r="CW86" i="10" s="1"/>
  <c r="CN105" i="10"/>
  <c r="CW105" i="10" s="1"/>
  <c r="CP97" i="10"/>
  <c r="CY97" i="10" s="1"/>
  <c r="CL93" i="10"/>
  <c r="CU93" i="10" s="1"/>
  <c r="CO88" i="10"/>
  <c r="CX88" i="10" s="1"/>
  <c r="CQ79" i="10"/>
  <c r="CZ79" i="10" s="1"/>
  <c r="CP70" i="10"/>
  <c r="CY70" i="10" s="1"/>
  <c r="CM102" i="10"/>
  <c r="CV102" i="10" s="1"/>
  <c r="CQ82" i="10"/>
  <c r="CZ82" i="10" s="1"/>
  <c r="CP73" i="10"/>
  <c r="CY73" i="10" s="1"/>
  <c r="CO103" i="10"/>
  <c r="CX103" i="10" s="1"/>
  <c r="CR98" i="10"/>
  <c r="DA98" i="10" s="1"/>
  <c r="CN94" i="10"/>
  <c r="CW94" i="10" s="1"/>
  <c r="CQ89" i="10"/>
  <c r="CZ89" i="10" s="1"/>
  <c r="CR81" i="10"/>
  <c r="DA81" i="10" s="1"/>
  <c r="CQ72" i="10"/>
  <c r="CZ72" i="10" s="1"/>
  <c r="CN65" i="10"/>
  <c r="CW65" i="10" s="1"/>
  <c r="CL64" i="10"/>
  <c r="CU64" i="10" s="1"/>
  <c r="CQ105" i="10"/>
  <c r="CZ105" i="10" s="1"/>
  <c r="CO109" i="10"/>
  <c r="CX109" i="10" s="1"/>
  <c r="CM110" i="10"/>
  <c r="CV110" i="10" s="1"/>
  <c r="CM74" i="10"/>
  <c r="CV74" i="10" s="1"/>
  <c r="CL103" i="10"/>
  <c r="CU103" i="10" s="1"/>
  <c r="CM96" i="10"/>
  <c r="CV96" i="10" s="1"/>
  <c r="CP91" i="10"/>
  <c r="CY91" i="10" s="1"/>
  <c r="CR85" i="10"/>
  <c r="DA85" i="10" s="1"/>
  <c r="CQ76" i="10"/>
  <c r="CZ76" i="10" s="1"/>
  <c r="CP67" i="10"/>
  <c r="CY67" i="10" s="1"/>
  <c r="CL99" i="10"/>
  <c r="CU99" i="10" s="1"/>
  <c r="CL80" i="10"/>
  <c r="CU80" i="10" s="1"/>
  <c r="CR70" i="10"/>
  <c r="DA70" i="10" s="1"/>
  <c r="CL102" i="10"/>
  <c r="CU102" i="10" s="1"/>
  <c r="CO97" i="10"/>
  <c r="CX97" i="10" s="1"/>
  <c r="CR92" i="10"/>
  <c r="DA92" i="10" s="1"/>
  <c r="CN88" i="10"/>
  <c r="CW88" i="10" s="1"/>
  <c r="CM79" i="10"/>
  <c r="CV79" i="10" s="1"/>
  <c r="CL70" i="10"/>
  <c r="CU70" i="10" s="1"/>
  <c r="CM67" i="10"/>
  <c r="CV67" i="10" s="1"/>
  <c r="CP109" i="10"/>
  <c r="CY109" i="10" s="1"/>
  <c r="CN70" i="10"/>
  <c r="CW70" i="10" s="1"/>
  <c r="CO68" i="10"/>
  <c r="CX68" i="10" s="1"/>
  <c r="CR104" i="10"/>
  <c r="DA104" i="10" s="1"/>
  <c r="CM106" i="10"/>
  <c r="CV106" i="10" s="1"/>
  <c r="CO98" i="10"/>
  <c r="CX98" i="10" s="1"/>
  <c r="CP93" i="10"/>
  <c r="CY93" i="10" s="1"/>
  <c r="CL89" i="10"/>
  <c r="CU89" i="10" s="1"/>
  <c r="CR80" i="10"/>
  <c r="DA80" i="10" s="1"/>
  <c r="CQ71" i="10"/>
  <c r="CZ71" i="10" s="1"/>
  <c r="CR103" i="10"/>
  <c r="DA103" i="10" s="1"/>
  <c r="CR83" i="10"/>
  <c r="DA83" i="10" s="1"/>
  <c r="CQ74" i="10"/>
  <c r="CZ74" i="10" s="1"/>
  <c r="CL104" i="10"/>
  <c r="CU104" i="10" s="1"/>
  <c r="CO99" i="10"/>
  <c r="CX99" i="10" s="1"/>
  <c r="CR94" i="10"/>
  <c r="DA94" i="10" s="1"/>
  <c r="CN90" i="10"/>
  <c r="CW90" i="10" s="1"/>
  <c r="CL83" i="10"/>
  <c r="CU83" i="10" s="1"/>
  <c r="CR73" i="10"/>
  <c r="DA73" i="10" s="1"/>
  <c r="CR65" i="10"/>
  <c r="DA65" i="10" s="1"/>
  <c r="CP64" i="10"/>
  <c r="CY64" i="10" s="1"/>
  <c r="CM85" i="10"/>
  <c r="CV85" i="10" s="1"/>
  <c r="CP69" i="10"/>
  <c r="CY69" i="10" s="1"/>
  <c r="CO94" i="10"/>
  <c r="CX94" i="10" s="1"/>
  <c r="CO82" i="10"/>
  <c r="CX82" i="10" s="1"/>
  <c r="CP105" i="10"/>
  <c r="CY105" i="10" s="1"/>
  <c r="CP76" i="10"/>
  <c r="CY76" i="10" s="1"/>
  <c r="CM99" i="10"/>
  <c r="CV99" i="10" s="1"/>
  <c r="CM91" i="10"/>
  <c r="CV91" i="10" s="1"/>
  <c r="CQ75" i="10"/>
  <c r="CZ75" i="10" s="1"/>
  <c r="CO65" i="10"/>
  <c r="CX65" i="10" s="1"/>
  <c r="CL76" i="10"/>
  <c r="CU76" i="10" s="1"/>
  <c r="CM108" i="10"/>
  <c r="CV108" i="10" s="1"/>
  <c r="CP95" i="10"/>
  <c r="CY95" i="10" s="1"/>
  <c r="CQ84" i="10"/>
  <c r="CZ84" i="10" s="1"/>
  <c r="CR107" i="10"/>
  <c r="DA107" i="10" s="1"/>
  <c r="CR78" i="10"/>
  <c r="DA78" i="10" s="1"/>
  <c r="CP102" i="10"/>
  <c r="CY102" i="10" s="1"/>
  <c r="CN92" i="10"/>
  <c r="CW92" i="10" s="1"/>
  <c r="CL78" i="10"/>
  <c r="CU78" i="10" s="1"/>
  <c r="CP66" i="10"/>
  <c r="CY66" i="10" s="1"/>
  <c r="CL63" i="10"/>
  <c r="CO63" i="10"/>
  <c r="CN63" i="10"/>
  <c r="CN106" i="10"/>
  <c r="CW106" i="10" s="1"/>
  <c r="CR109" i="10"/>
  <c r="DA109" i="10" s="1"/>
  <c r="CR110" i="10"/>
  <c r="DA110" i="10" s="1"/>
  <c r="CM77" i="10"/>
  <c r="CV77" i="10" s="1"/>
  <c r="CN103" i="10"/>
  <c r="CW103" i="10" s="1"/>
  <c r="CO96" i="10"/>
  <c r="CX96" i="10" s="1"/>
  <c r="CR91" i="10"/>
  <c r="DA91" i="10" s="1"/>
  <c r="CP86" i="10"/>
  <c r="CY86" i="10" s="1"/>
  <c r="CO77" i="10"/>
  <c r="CX77" i="10" s="1"/>
  <c r="CN68" i="10"/>
  <c r="CW68" i="10" s="1"/>
  <c r="CR99" i="10"/>
  <c r="DA99" i="10" s="1"/>
  <c r="CO80" i="10"/>
  <c r="CX80" i="10" s="1"/>
  <c r="CN71" i="10"/>
  <c r="CW71" i="10" s="1"/>
  <c r="CN102" i="10"/>
  <c r="CW102" i="10" s="1"/>
  <c r="CQ97" i="10"/>
  <c r="CZ97" i="10" s="1"/>
  <c r="CM93" i="10"/>
  <c r="CV93" i="10" s="1"/>
  <c r="CP88" i="10"/>
  <c r="CY88" i="10" s="1"/>
  <c r="CP79" i="10"/>
  <c r="CY79" i="10" s="1"/>
  <c r="CO70" i="10"/>
  <c r="CX70" i="10" s="1"/>
  <c r="CM64" i="10"/>
  <c r="CV64" i="10" s="1"/>
  <c r="CR82" i="10"/>
  <c r="DA82" i="10" s="1"/>
  <c r="CL81" i="10"/>
  <c r="CU81" i="10" s="1"/>
  <c r="CP80" i="10"/>
  <c r="CY80" i="10" s="1"/>
  <c r="CQ107" i="10"/>
  <c r="CZ107" i="10" s="1"/>
  <c r="CL109" i="10"/>
  <c r="CU109" i="10" s="1"/>
  <c r="CQ100" i="10"/>
  <c r="CZ100" i="10" s="1"/>
  <c r="CL95" i="10"/>
  <c r="CU95" i="10" s="1"/>
  <c r="CO90" i="10"/>
  <c r="CX90" i="10" s="1"/>
  <c r="CP83" i="10"/>
  <c r="CY83" i="10" s="1"/>
  <c r="CO74" i="10"/>
  <c r="CX74" i="10" s="1"/>
  <c r="CL107" i="10"/>
  <c r="CU107" i="10" s="1"/>
  <c r="CR86" i="10"/>
  <c r="DA86" i="10" s="1"/>
  <c r="CQ77" i="10"/>
  <c r="CZ77" i="10" s="1"/>
  <c r="CP68" i="10"/>
  <c r="CY68" i="10" s="1"/>
  <c r="CR100" i="10"/>
  <c r="DA100" i="10" s="1"/>
  <c r="CN96" i="10"/>
  <c r="CW96" i="10" s="1"/>
  <c r="CQ91" i="10"/>
  <c r="CZ91" i="10" s="1"/>
  <c r="CL86" i="10"/>
  <c r="CU86" i="10" s="1"/>
  <c r="CR76" i="10"/>
  <c r="DA76" i="10" s="1"/>
  <c r="CQ67" i="10"/>
  <c r="CZ67" i="10" s="1"/>
  <c r="CL66" i="10"/>
  <c r="CU66" i="10" s="1"/>
  <c r="CO107" i="10"/>
  <c r="CX107" i="10" s="1"/>
  <c r="CQ73" i="10"/>
  <c r="CZ73" i="10" s="1"/>
  <c r="CN75" i="10"/>
  <c r="CW75" i="10" s="1"/>
  <c r="CQ81" i="10"/>
  <c r="CZ81" i="10" s="1"/>
  <c r="CM104" i="10"/>
  <c r="CV104" i="10" s="1"/>
  <c r="CL97" i="10"/>
  <c r="CU97" i="10" s="1"/>
  <c r="CO92" i="10"/>
  <c r="CX92" i="10" s="1"/>
  <c r="CQ87" i="10"/>
  <c r="CZ87" i="10" s="1"/>
  <c r="CP78" i="10"/>
  <c r="CY78" i="10" s="1"/>
  <c r="CO69" i="10"/>
  <c r="CX69" i="10" s="1"/>
  <c r="CL101" i="10"/>
  <c r="CU101" i="10" s="1"/>
  <c r="CP81" i="10"/>
  <c r="CY81" i="10" s="1"/>
  <c r="CO72" i="10"/>
  <c r="CX72" i="10" s="1"/>
  <c r="CR102" i="10"/>
  <c r="DA102" i="10" s="1"/>
  <c r="CN98" i="10"/>
  <c r="CW98" i="10" s="1"/>
  <c r="CQ93" i="10"/>
  <c r="CZ93" i="10" s="1"/>
  <c r="CM89" i="10"/>
  <c r="CV89" i="10" s="1"/>
  <c r="CQ80" i="10"/>
  <c r="CZ80" i="10" s="1"/>
  <c r="CP71" i="10"/>
  <c r="CY71" i="10" s="1"/>
  <c r="CQ64" i="10"/>
  <c r="CZ64" i="10" s="1"/>
  <c r="CM69" i="10"/>
  <c r="CV69" i="10" s="1"/>
  <c r="CO110" i="10"/>
  <c r="CX110" i="10" s="1"/>
  <c r="CR105" i="10"/>
  <c r="DA105" i="10" s="1"/>
  <c r="CM92" i="10"/>
  <c r="CV92" i="10" s="1"/>
  <c r="CR77" i="10"/>
  <c r="DA77" i="10" s="1"/>
  <c r="CO100" i="10"/>
  <c r="CX100" i="10" s="1"/>
  <c r="CQ69" i="10"/>
  <c r="CZ69" i="10" s="1"/>
  <c r="CL98" i="10"/>
  <c r="CU98" i="10" s="1"/>
  <c r="CR88" i="10"/>
  <c r="DA88" i="10" s="1"/>
  <c r="CM71" i="10"/>
  <c r="CV71" i="10" s="1"/>
  <c r="CM109" i="10"/>
  <c r="CV109" i="10" s="1"/>
  <c r="CQ70" i="10"/>
  <c r="CZ70" i="10" s="1"/>
  <c r="CP103" i="10"/>
  <c r="CY103" i="10" s="1"/>
  <c r="CN93" i="10"/>
  <c r="CW93" i="10" s="1"/>
  <c r="CM80" i="10"/>
  <c r="CV80" i="10" s="1"/>
  <c r="CQ102" i="10"/>
  <c r="CZ102" i="10" s="1"/>
  <c r="CN74" i="10"/>
  <c r="CW74" i="10" s="1"/>
  <c r="CN100" i="10"/>
  <c r="CW100" i="10" s="1"/>
  <c r="CL90" i="10"/>
  <c r="CU90" i="10" s="1"/>
  <c r="CO73" i="10"/>
  <c r="CX73" i="10" s="1"/>
  <c r="CN64" i="10"/>
  <c r="CW64" i="10" s="1"/>
  <c r="CI111" i="10"/>
  <c r="CI112" i="10" s="1"/>
  <c r="CD111" i="10"/>
  <c r="CD112" i="10" s="1"/>
  <c r="CE111" i="10"/>
  <c r="CE112" i="10" s="1"/>
  <c r="CF111" i="10"/>
  <c r="CF112" i="10" s="1"/>
  <c r="CG111" i="10"/>
  <c r="CG112" i="10" s="1"/>
  <c r="CH111" i="10"/>
  <c r="CH112" i="10" s="1"/>
  <c r="CC111" i="10"/>
  <c r="CC112" i="10" s="1"/>
  <c r="BP164" i="10"/>
  <c r="BY111" i="10"/>
  <c r="BY112" i="10" s="1"/>
  <c r="BO164" i="10"/>
  <c r="BX111" i="10"/>
  <c r="BX112" i="10" s="1"/>
  <c r="BZ111" i="10"/>
  <c r="BZ112" i="10" s="1"/>
  <c r="BQ164" i="10"/>
  <c r="BL164" i="10"/>
  <c r="BU111" i="10"/>
  <c r="BU112" i="10" s="1"/>
  <c r="BK164" i="10"/>
  <c r="BT111" i="10"/>
  <c r="BT112" i="10" s="1"/>
  <c r="BN164" i="10"/>
  <c r="BW111" i="10"/>
  <c r="BW112" i="10" s="1"/>
  <c r="BV111" i="10"/>
  <c r="BV112" i="10" s="1"/>
  <c r="BM164" i="10"/>
  <c r="BK112" i="10"/>
  <c r="BR112" i="10" s="1"/>
  <c r="BR111" i="10"/>
  <c r="C56" i="10"/>
  <c r="AM56" i="10"/>
  <c r="BK55" i="10"/>
  <c r="AY55" i="10"/>
  <c r="G119" i="10"/>
  <c r="H122" i="10" s="1"/>
  <c r="H123" i="10" s="1"/>
  <c r="J119" i="10"/>
  <c r="K122" i="10" s="1"/>
  <c r="K123" i="10" s="1"/>
  <c r="AM55" i="10"/>
  <c r="BL55" i="10"/>
  <c r="BH55" i="10"/>
  <c r="BC55" i="10"/>
  <c r="BI55" i="10"/>
  <c r="BA55" i="10"/>
  <c r="BD55" i="10"/>
  <c r="AX55" i="10"/>
  <c r="BA4" i="10"/>
  <c r="AS3" i="10" s="1"/>
  <c r="BG55" i="10"/>
  <c r="BJ55" i="10"/>
  <c r="BM55" i="10"/>
  <c r="BB55" i="10"/>
  <c r="AZ55" i="10"/>
  <c r="D119" i="10"/>
  <c r="E122" i="10" s="1"/>
  <c r="E123" i="10" s="1"/>
  <c r="H119" i="10"/>
  <c r="I122" i="10" s="1"/>
  <c r="I119" i="10"/>
  <c r="J122" i="10" s="1"/>
  <c r="J123" i="10" s="1"/>
  <c r="F119" i="10"/>
  <c r="G122" i="10" s="1"/>
  <c r="G123" i="10" s="1"/>
  <c r="E119" i="10"/>
  <c r="F122" i="10" s="1"/>
  <c r="F123" i="10" s="1"/>
  <c r="E59" i="10"/>
  <c r="L59" i="10" s="1"/>
  <c r="BZ21" i="8"/>
  <c r="CA14" i="8"/>
  <c r="AQ53" i="8"/>
  <c r="BZ13" i="8"/>
  <c r="BZ45" i="8"/>
  <c r="CD45" i="8"/>
  <c r="BZ37" i="8"/>
  <c r="CA46" i="8"/>
  <c r="CD29" i="8"/>
  <c r="AP53" i="8"/>
  <c r="CA50" i="8"/>
  <c r="AS53" i="8"/>
  <c r="CA34" i="8"/>
  <c r="CD41" i="8"/>
  <c r="BZ25" i="8"/>
  <c r="AO53" i="8"/>
  <c r="CD37" i="8"/>
  <c r="CA42" i="8"/>
  <c r="AT53" i="8"/>
  <c r="AR53" i="8"/>
  <c r="BZ9" i="8"/>
  <c r="CD17" i="8"/>
  <c r="CB42" i="8"/>
  <c r="BZ49" i="8"/>
  <c r="CA10" i="8"/>
  <c r="CB26" i="8"/>
  <c r="BQ51" i="8"/>
  <c r="CI51" i="8" s="1"/>
  <c r="BS10" i="8"/>
  <c r="CK10" i="8" s="1"/>
  <c r="BS8" i="8"/>
  <c r="CK8" i="8" s="1"/>
  <c r="BQ21" i="8"/>
  <c r="CI21" i="8" s="1"/>
  <c r="BR46" i="8"/>
  <c r="CJ46" i="8" s="1"/>
  <c r="BZ31" i="8"/>
  <c r="BP29" i="8"/>
  <c r="CH29" i="8" s="1"/>
  <c r="BY23" i="8"/>
  <c r="CB46" i="8"/>
  <c r="BS18" i="8"/>
  <c r="CK18" i="8" s="1"/>
  <c r="CB14" i="8"/>
  <c r="BU39" i="8"/>
  <c r="CM39" i="8" s="1"/>
  <c r="BS12" i="8"/>
  <c r="CK12" i="8" s="1"/>
  <c r="CB38" i="8"/>
  <c r="BS50" i="8"/>
  <c r="CK50" i="8" s="1"/>
  <c r="BQ37" i="8"/>
  <c r="CI37" i="8" s="1"/>
  <c r="BU29" i="8"/>
  <c r="CM29" i="8" s="1"/>
  <c r="CB16" i="8"/>
  <c r="BQ13" i="8"/>
  <c r="CI13" i="8" s="1"/>
  <c r="BQ45" i="8"/>
  <c r="CI45" i="8" s="1"/>
  <c r="BU45" i="8"/>
  <c r="CM45" i="8" s="1"/>
  <c r="BQ19" i="8"/>
  <c r="CI19" i="8" s="1"/>
  <c r="BR48" i="8"/>
  <c r="CJ48" i="8" s="1"/>
  <c r="BQ9" i="8"/>
  <c r="CI9" i="8" s="1"/>
  <c r="BU19" i="8"/>
  <c r="CM19" i="8" s="1"/>
  <c r="BT23" i="8"/>
  <c r="CL23" i="8" s="1"/>
  <c r="BU47" i="8"/>
  <c r="CM47" i="8" s="1"/>
  <c r="CA6" i="8"/>
  <c r="BR14" i="8"/>
  <c r="CJ14" i="8" s="1"/>
  <c r="BT27" i="8"/>
  <c r="CL27" i="8" s="1"/>
  <c r="BZ35" i="8"/>
  <c r="BR50" i="8"/>
  <c r="CJ50" i="8" s="1"/>
  <c r="BP31" i="8"/>
  <c r="CH31" i="8" s="1"/>
  <c r="CA16" i="8"/>
  <c r="BT31" i="8"/>
  <c r="CL31" i="8" s="1"/>
  <c r="BU31" i="8"/>
  <c r="CM31" i="8" s="1"/>
  <c r="BQ25" i="8"/>
  <c r="CI25" i="8" s="1"/>
  <c r="BT19" i="8"/>
  <c r="CL19" i="8" s="1"/>
  <c r="BS52" i="8"/>
  <c r="CK52" i="8" s="1"/>
  <c r="BR8" i="8"/>
  <c r="CJ8" i="8" s="1"/>
  <c r="BT29" i="8"/>
  <c r="CL29" i="8" s="1"/>
  <c r="BZ11" i="8"/>
  <c r="BQ23" i="8"/>
  <c r="CI23" i="8" s="1"/>
  <c r="BZ39" i="8"/>
  <c r="CD25" i="8"/>
  <c r="CB40" i="8"/>
  <c r="BU21" i="8"/>
  <c r="CM21" i="8" s="1"/>
  <c r="BU41" i="8"/>
  <c r="CM41" i="8" s="1"/>
  <c r="BT25" i="8"/>
  <c r="CL25" i="8" s="1"/>
  <c r="BS48" i="8"/>
  <c r="CK48" i="8" s="1"/>
  <c r="BQ47" i="8"/>
  <c r="CI47" i="8" s="1"/>
  <c r="BR36" i="8"/>
  <c r="CJ36" i="8" s="1"/>
  <c r="BU33" i="8"/>
  <c r="CM33" i="8" s="1"/>
  <c r="BU17" i="8"/>
  <c r="CM17" i="8" s="1"/>
  <c r="BQ15" i="8"/>
  <c r="CI15" i="8" s="1"/>
  <c r="BP25" i="8"/>
  <c r="CH25" i="8" s="1"/>
  <c r="BQ43" i="8"/>
  <c r="CI43" i="8" s="1"/>
  <c r="BU27" i="8"/>
  <c r="CM27" i="8" s="1"/>
  <c r="BR52" i="8"/>
  <c r="CJ52" i="8" s="1"/>
  <c r="BP21" i="8"/>
  <c r="CH21" i="8" s="1"/>
  <c r="BT21" i="8"/>
  <c r="CL21" i="8" s="1"/>
  <c r="BS36" i="8"/>
  <c r="CK36" i="8" s="1"/>
  <c r="BS44" i="8"/>
  <c r="CK44" i="8" s="1"/>
  <c r="BX50" i="8"/>
  <c r="BO50" i="8"/>
  <c r="CG50" i="8" s="1"/>
  <c r="BX22" i="8"/>
  <c r="BO22" i="8"/>
  <c r="CG22" i="8" s="1"/>
  <c r="BX39" i="8"/>
  <c r="BO39" i="8"/>
  <c r="CG39" i="8" s="1"/>
  <c r="BX23" i="8"/>
  <c r="BO23" i="8"/>
  <c r="CG23" i="8" s="1"/>
  <c r="BX36" i="8"/>
  <c r="BO36" i="8"/>
  <c r="CG36" i="8" s="1"/>
  <c r="BX13" i="8"/>
  <c r="BO13" i="8"/>
  <c r="CG13" i="8" s="1"/>
  <c r="BX25" i="8"/>
  <c r="BO25" i="8"/>
  <c r="CG25" i="8" s="1"/>
  <c r="CA7" i="8"/>
  <c r="BR7" i="8"/>
  <c r="CJ7" i="8" s="1"/>
  <c r="CC12" i="8"/>
  <c r="BT12" i="8"/>
  <c r="CL12" i="8" s="1"/>
  <c r="BR21" i="8"/>
  <c r="CJ21" i="8" s="1"/>
  <c r="CA21" i="8"/>
  <c r="BP24" i="8"/>
  <c r="CH24" i="8" s="1"/>
  <c r="BY24" i="8"/>
  <c r="BR29" i="8"/>
  <c r="CJ29" i="8" s="1"/>
  <c r="CA29" i="8"/>
  <c r="CA39" i="8"/>
  <c r="BR39" i="8"/>
  <c r="CJ39" i="8" s="1"/>
  <c r="CA47" i="8"/>
  <c r="BR47" i="8"/>
  <c r="CJ47" i="8" s="1"/>
  <c r="CA51" i="8"/>
  <c r="BR51" i="8"/>
  <c r="CJ51" i="8" s="1"/>
  <c r="BT11" i="8"/>
  <c r="CL11" i="8" s="1"/>
  <c r="CC11" i="8"/>
  <c r="CA24" i="8"/>
  <c r="BR24" i="8"/>
  <c r="CJ24" i="8" s="1"/>
  <c r="BY49" i="8"/>
  <c r="BP49" i="8"/>
  <c r="CH49" i="8" s="1"/>
  <c r="CB9" i="8"/>
  <c r="BS9" i="8"/>
  <c r="CK9" i="8" s="1"/>
  <c r="BU22" i="8"/>
  <c r="CM22" i="8" s="1"/>
  <c r="CD22" i="8"/>
  <c r="BU30" i="8"/>
  <c r="CM30" i="8" s="1"/>
  <c r="CD30" i="8"/>
  <c r="BU34" i="8"/>
  <c r="CM34" i="8" s="1"/>
  <c r="CD34" i="8"/>
  <c r="BQ40" i="8"/>
  <c r="CI40" i="8" s="1"/>
  <c r="BZ40" i="8"/>
  <c r="CC9" i="8"/>
  <c r="BT9" i="8"/>
  <c r="CL9" i="8" s="1"/>
  <c r="BY51" i="8"/>
  <c r="BP51" i="8"/>
  <c r="CH51" i="8" s="1"/>
  <c r="CD15" i="8"/>
  <c r="BU15" i="8"/>
  <c r="CM15" i="8" s="1"/>
  <c r="CD51" i="8"/>
  <c r="BU51" i="8"/>
  <c r="CM51" i="8" s="1"/>
  <c r="BY33" i="8"/>
  <c r="BP33" i="8"/>
  <c r="CH33" i="8" s="1"/>
  <c r="BY42" i="8"/>
  <c r="BP42" i="8"/>
  <c r="CH42" i="8" s="1"/>
  <c r="CC37" i="8"/>
  <c r="BT37" i="8"/>
  <c r="CL37" i="8" s="1"/>
  <c r="CC36" i="8"/>
  <c r="BT36" i="8"/>
  <c r="CL36" i="8" s="1"/>
  <c r="BZ10" i="8"/>
  <c r="BQ10" i="8"/>
  <c r="CI10" i="8" s="1"/>
  <c r="BU50" i="8"/>
  <c r="CM50" i="8" s="1"/>
  <c r="CD50" i="8"/>
  <c r="CD10" i="8"/>
  <c r="BU10" i="8"/>
  <c r="CM10" i="8" s="1"/>
  <c r="BS31" i="8"/>
  <c r="CK31" i="8" s="1"/>
  <c r="CB31" i="8"/>
  <c r="BS23" i="8"/>
  <c r="CK23" i="8" s="1"/>
  <c r="CB23" i="8"/>
  <c r="AZ53" i="8"/>
  <c r="AY53" i="8"/>
  <c r="BX38" i="8"/>
  <c r="BO38" i="8"/>
  <c r="CG38" i="8" s="1"/>
  <c r="BO26" i="8"/>
  <c r="CG26" i="8" s="1"/>
  <c r="BX7" i="8"/>
  <c r="BO7" i="8"/>
  <c r="CG7" i="8" s="1"/>
  <c r="BX43" i="8"/>
  <c r="BO43" i="8"/>
  <c r="CG43" i="8" s="1"/>
  <c r="BX27" i="8"/>
  <c r="BO27" i="8"/>
  <c r="CG27" i="8" s="1"/>
  <c r="BO10" i="8"/>
  <c r="CG10" i="8" s="1"/>
  <c r="BX10" i="8"/>
  <c r="BX40" i="8"/>
  <c r="BO40" i="8"/>
  <c r="CG40" i="8" s="1"/>
  <c r="BO24" i="8"/>
  <c r="BO49" i="8"/>
  <c r="CG49" i="8" s="1"/>
  <c r="BX49" i="8"/>
  <c r="BX37" i="8"/>
  <c r="BO37" i="8"/>
  <c r="CG37" i="8" s="1"/>
  <c r="BX45" i="8"/>
  <c r="BO45" i="8"/>
  <c r="CG45" i="8" s="1"/>
  <c r="BY8" i="8"/>
  <c r="BP8" i="8"/>
  <c r="CH8" i="8" s="1"/>
  <c r="CC10" i="8"/>
  <c r="BT10" i="8"/>
  <c r="CL10" i="8" s="1"/>
  <c r="BR13" i="8"/>
  <c r="CJ13" i="8" s="1"/>
  <c r="CA13" i="8"/>
  <c r="BP16" i="8"/>
  <c r="CH16" i="8" s="1"/>
  <c r="BY16" i="8"/>
  <c r="CA19" i="8"/>
  <c r="BR19" i="8"/>
  <c r="CJ19" i="8" s="1"/>
  <c r="BY22" i="8"/>
  <c r="BP22" i="8"/>
  <c r="CH22" i="8" s="1"/>
  <c r="CC24" i="8"/>
  <c r="BT24" i="8"/>
  <c r="CL24" i="8" s="1"/>
  <c r="CA27" i="8"/>
  <c r="BR27" i="8"/>
  <c r="CJ27" i="8" s="1"/>
  <c r="BY30" i="8"/>
  <c r="BP30" i="8"/>
  <c r="CH30" i="8" s="1"/>
  <c r="CC32" i="8"/>
  <c r="BT32" i="8"/>
  <c r="CL32" i="8" s="1"/>
  <c r="CA41" i="8"/>
  <c r="BR41" i="8"/>
  <c r="CJ41" i="8" s="1"/>
  <c r="CA49" i="8"/>
  <c r="BR49" i="8"/>
  <c r="CJ49" i="8" s="1"/>
  <c r="BY52" i="8"/>
  <c r="BP52" i="8"/>
  <c r="CH52" i="8" s="1"/>
  <c r="BG5" i="8"/>
  <c r="AX53" i="8"/>
  <c r="BY13" i="8"/>
  <c r="BP13" i="8"/>
  <c r="CH13" i="8" s="1"/>
  <c r="CA26" i="8"/>
  <c r="BR26" i="8"/>
  <c r="CJ26" i="8" s="1"/>
  <c r="CC51" i="8"/>
  <c r="BT51" i="8"/>
  <c r="CL51" i="8" s="1"/>
  <c r="BX18" i="8"/>
  <c r="BO18" i="8"/>
  <c r="CG18" i="8" s="1"/>
  <c r="CB11" i="8"/>
  <c r="BS11" i="8"/>
  <c r="CK11" i="8" s="1"/>
  <c r="BQ20" i="8"/>
  <c r="CI20" i="8" s="1"/>
  <c r="BZ20" i="8"/>
  <c r="BQ24" i="8"/>
  <c r="CI24" i="8" s="1"/>
  <c r="BZ24" i="8"/>
  <c r="BQ28" i="8"/>
  <c r="CI28" i="8" s="1"/>
  <c r="BZ28" i="8"/>
  <c r="BQ32" i="8"/>
  <c r="CI32" i="8" s="1"/>
  <c r="BZ32" i="8"/>
  <c r="BS35" i="8"/>
  <c r="CK35" i="8" s="1"/>
  <c r="CB35" i="8"/>
  <c r="BZ38" i="8"/>
  <c r="BQ38" i="8"/>
  <c r="CI38" i="8" s="1"/>
  <c r="CD40" i="8"/>
  <c r="BU40" i="8"/>
  <c r="CM40" i="8" s="1"/>
  <c r="CB43" i="8"/>
  <c r="BS43" i="8"/>
  <c r="CK43" i="8" s="1"/>
  <c r="BZ46" i="8"/>
  <c r="BQ46" i="8"/>
  <c r="CI46" i="8" s="1"/>
  <c r="CD48" i="8"/>
  <c r="BU48" i="8"/>
  <c r="CM48" i="8" s="1"/>
  <c r="BX16" i="8"/>
  <c r="BO16" i="8"/>
  <c r="CG16" i="8" s="1"/>
  <c r="BY11" i="8"/>
  <c r="BP11" i="8"/>
  <c r="CH11" i="8" s="1"/>
  <c r="CA22" i="8"/>
  <c r="BR22" i="8"/>
  <c r="CJ22" i="8" s="1"/>
  <c r="CD9" i="8"/>
  <c r="BU9" i="8"/>
  <c r="CM9" i="8" s="1"/>
  <c r="CB20" i="8"/>
  <c r="BS20" i="8"/>
  <c r="CK20" i="8" s="1"/>
  <c r="BY47" i="8"/>
  <c r="BP47" i="8"/>
  <c r="CH47" i="8" s="1"/>
  <c r="BY45" i="8"/>
  <c r="BP45" i="8"/>
  <c r="CH45" i="8" s="1"/>
  <c r="BY48" i="8"/>
  <c r="BP48" i="8"/>
  <c r="CH48" i="8" s="1"/>
  <c r="BY40" i="8"/>
  <c r="BP40" i="8"/>
  <c r="CH40" i="8" s="1"/>
  <c r="CC35" i="8"/>
  <c r="BT35" i="8"/>
  <c r="CL35" i="8" s="1"/>
  <c r="CC33" i="8"/>
  <c r="BT33" i="8"/>
  <c r="CL33" i="8" s="1"/>
  <c r="CC42" i="8"/>
  <c r="BT42" i="8"/>
  <c r="CL42" i="8" s="1"/>
  <c r="CC34" i="8"/>
  <c r="BT34" i="8"/>
  <c r="CL34" i="8" s="1"/>
  <c r="BQ16" i="8"/>
  <c r="CI16" i="8" s="1"/>
  <c r="BZ16" i="8"/>
  <c r="BZ8" i="8"/>
  <c r="BQ8" i="8"/>
  <c r="CI8" i="8" s="1"/>
  <c r="BU16" i="8"/>
  <c r="CM16" i="8" s="1"/>
  <c r="CD16" i="8"/>
  <c r="CD8" i="8"/>
  <c r="BU8" i="8"/>
  <c r="CM8" i="8" s="1"/>
  <c r="BS29" i="8"/>
  <c r="CK29" i="8" s="1"/>
  <c r="CB29" i="8"/>
  <c r="BS21" i="8"/>
  <c r="CK21" i="8" s="1"/>
  <c r="CB21" i="8"/>
  <c r="CA5" i="8"/>
  <c r="BR5" i="8"/>
  <c r="BI53" i="8"/>
  <c r="BZ5" i="8"/>
  <c r="BH53" i="8"/>
  <c r="BQ5" i="8"/>
  <c r="BX11" i="8"/>
  <c r="BO11" i="8"/>
  <c r="CG11" i="8" s="1"/>
  <c r="BX14" i="8"/>
  <c r="BO14" i="8"/>
  <c r="CG14" i="8" s="1"/>
  <c r="BX20" i="8"/>
  <c r="BO20" i="8"/>
  <c r="CG20" i="8" s="1"/>
  <c r="BX17" i="8"/>
  <c r="BO17" i="8"/>
  <c r="CG17" i="8" s="1"/>
  <c r="BY10" i="8"/>
  <c r="BP10" i="8"/>
  <c r="CH10" i="8" s="1"/>
  <c r="CA15" i="8"/>
  <c r="BR15" i="8"/>
  <c r="CJ15" i="8" s="1"/>
  <c r="BT18" i="8"/>
  <c r="CL18" i="8" s="1"/>
  <c r="CC18" i="8"/>
  <c r="BT26" i="8"/>
  <c r="CL26" i="8" s="1"/>
  <c r="CC26" i="8"/>
  <c r="BP32" i="8"/>
  <c r="CH32" i="8" s="1"/>
  <c r="BY32" i="8"/>
  <c r="BU18" i="8"/>
  <c r="CM18" i="8" s="1"/>
  <c r="CD18" i="8"/>
  <c r="BU26" i="8"/>
  <c r="CM26" i="8" s="1"/>
  <c r="CD26" i="8"/>
  <c r="BS37" i="8"/>
  <c r="CK37" i="8" s="1"/>
  <c r="CB37" i="8"/>
  <c r="BU42" i="8"/>
  <c r="CM42" i="8" s="1"/>
  <c r="CD42" i="8"/>
  <c r="BS45" i="8"/>
  <c r="CK45" i="8" s="1"/>
  <c r="CB45" i="8"/>
  <c r="BQ48" i="8"/>
  <c r="CI48" i="8" s="1"/>
  <c r="BZ48" i="8"/>
  <c r="CA18" i="8"/>
  <c r="BR18" i="8"/>
  <c r="CJ18" i="8" s="1"/>
  <c r="CD7" i="8"/>
  <c r="BU7" i="8"/>
  <c r="CM7" i="8" s="1"/>
  <c r="BY35" i="8"/>
  <c r="BP35" i="8"/>
  <c r="CH35" i="8" s="1"/>
  <c r="BY34" i="8"/>
  <c r="BP34" i="8"/>
  <c r="CH34" i="8" s="1"/>
  <c r="CC39" i="8"/>
  <c r="BT39" i="8"/>
  <c r="CL39" i="8" s="1"/>
  <c r="CC44" i="8"/>
  <c r="BT44" i="8"/>
  <c r="CL44" i="8" s="1"/>
  <c r="BZ50" i="8"/>
  <c r="BQ50" i="8"/>
  <c r="CI50" i="8" s="1"/>
  <c r="BX12" i="8"/>
  <c r="BO12" i="8"/>
  <c r="CG12" i="8" s="1"/>
  <c r="BX42" i="8"/>
  <c r="BO42" i="8"/>
  <c r="CG42" i="8" s="1"/>
  <c r="BX30" i="8"/>
  <c r="BO30" i="8"/>
  <c r="CG30" i="8" s="1"/>
  <c r="BX51" i="8"/>
  <c r="BO51" i="8"/>
  <c r="CG51" i="8" s="1"/>
  <c r="BX47" i="8"/>
  <c r="BO47" i="8"/>
  <c r="CG47" i="8" s="1"/>
  <c r="BX31" i="8"/>
  <c r="BO31" i="8"/>
  <c r="CG31" i="8" s="1"/>
  <c r="BX6" i="8"/>
  <c r="BO6" i="8"/>
  <c r="CG6" i="8" s="1"/>
  <c r="BX44" i="8"/>
  <c r="BO44" i="8"/>
  <c r="CG44" i="8" s="1"/>
  <c r="BX28" i="8"/>
  <c r="BO28" i="8"/>
  <c r="CG28" i="8" s="1"/>
  <c r="AW53" i="8"/>
  <c r="BX21" i="8"/>
  <c r="BO21" i="8"/>
  <c r="CG21" i="8" s="1"/>
  <c r="BX29" i="8"/>
  <c r="BO29" i="8"/>
  <c r="CG29" i="8" s="1"/>
  <c r="CC8" i="8"/>
  <c r="BT8" i="8"/>
  <c r="CL8" i="8" s="1"/>
  <c r="CA11" i="8"/>
  <c r="BR11" i="8"/>
  <c r="CJ11" i="8" s="1"/>
  <c r="BY14" i="8"/>
  <c r="BP14" i="8"/>
  <c r="CH14" i="8" s="1"/>
  <c r="CC16" i="8"/>
  <c r="BT16" i="8"/>
  <c r="CL16" i="8" s="1"/>
  <c r="BY20" i="8"/>
  <c r="BP20" i="8"/>
  <c r="CH20" i="8" s="1"/>
  <c r="CC22" i="8"/>
  <c r="BT22" i="8"/>
  <c r="CL22" i="8" s="1"/>
  <c r="CA25" i="8"/>
  <c r="BR25" i="8"/>
  <c r="CJ25" i="8" s="1"/>
  <c r="BY28" i="8"/>
  <c r="BP28" i="8"/>
  <c r="CH28" i="8" s="1"/>
  <c r="CC30" i="8"/>
  <c r="BT30" i="8"/>
  <c r="CL30" i="8" s="1"/>
  <c r="CA35" i="8"/>
  <c r="BR35" i="8"/>
  <c r="CJ35" i="8" s="1"/>
  <c r="CA43" i="8"/>
  <c r="BR43" i="8"/>
  <c r="CJ43" i="8" s="1"/>
  <c r="BY50" i="8"/>
  <c r="BP50" i="8"/>
  <c r="CH50" i="8" s="1"/>
  <c r="CC52" i="8"/>
  <c r="BT52" i="8"/>
  <c r="CL52" i="8" s="1"/>
  <c r="BY7" i="8"/>
  <c r="BP7" i="8"/>
  <c r="CH7" i="8" s="1"/>
  <c r="BY15" i="8"/>
  <c r="BP15" i="8"/>
  <c r="CH15" i="8" s="1"/>
  <c r="CA28" i="8"/>
  <c r="BR28" i="8"/>
  <c r="CJ28" i="8" s="1"/>
  <c r="BJ5" i="8"/>
  <c r="BA53" i="8"/>
  <c r="BS13" i="8"/>
  <c r="CK13" i="8" s="1"/>
  <c r="CB13" i="8"/>
  <c r="BU20" i="8"/>
  <c r="CM20" i="8" s="1"/>
  <c r="CD20" i="8"/>
  <c r="BU24" i="8"/>
  <c r="CM24" i="8" s="1"/>
  <c r="CD24" i="8"/>
  <c r="BU28" i="8"/>
  <c r="CM28" i="8" s="1"/>
  <c r="CD28" i="8"/>
  <c r="BU32" i="8"/>
  <c r="CM32" i="8" s="1"/>
  <c r="CD32" i="8"/>
  <c r="BQ36" i="8"/>
  <c r="CI36" i="8" s="1"/>
  <c r="BZ36" i="8"/>
  <c r="BU38" i="8"/>
  <c r="CM38" i="8" s="1"/>
  <c r="CD38" i="8"/>
  <c r="BS41" i="8"/>
  <c r="CK41" i="8" s="1"/>
  <c r="CB41" i="8"/>
  <c r="BQ44" i="8"/>
  <c r="CI44" i="8" s="1"/>
  <c r="BZ44" i="8"/>
  <c r="BU46" i="8"/>
  <c r="CM46" i="8" s="1"/>
  <c r="CD46" i="8"/>
  <c r="BS49" i="8"/>
  <c r="CK49" i="8" s="1"/>
  <c r="CB49" i="8"/>
  <c r="BB53" i="8"/>
  <c r="BK5" i="8"/>
  <c r="CC13" i="8"/>
  <c r="BT13" i="8"/>
  <c r="CL13" i="8" s="1"/>
  <c r="CA30" i="8"/>
  <c r="BR30" i="8"/>
  <c r="CJ30" i="8" s="1"/>
  <c r="CD11" i="8"/>
  <c r="BU11" i="8"/>
  <c r="CM11" i="8" s="1"/>
  <c r="CB28" i="8"/>
  <c r="BS28" i="8"/>
  <c r="CK28" i="8" s="1"/>
  <c r="BY41" i="8"/>
  <c r="BP41" i="8"/>
  <c r="CH41" i="8" s="1"/>
  <c r="BY43" i="8"/>
  <c r="BP43" i="8"/>
  <c r="CH43" i="8" s="1"/>
  <c r="BY46" i="8"/>
  <c r="BP46" i="8"/>
  <c r="CH46" i="8" s="1"/>
  <c r="BY38" i="8"/>
  <c r="BP38" i="8"/>
  <c r="CH38" i="8" s="1"/>
  <c r="CC45" i="8"/>
  <c r="BT45" i="8"/>
  <c r="CL45" i="8" s="1"/>
  <c r="CC47" i="8"/>
  <c r="BT47" i="8"/>
  <c r="CL47" i="8" s="1"/>
  <c r="CC48" i="8"/>
  <c r="BT48" i="8"/>
  <c r="CL48" i="8" s="1"/>
  <c r="CC40" i="8"/>
  <c r="BT40" i="8"/>
  <c r="CL40" i="8" s="1"/>
  <c r="BQ14" i="8"/>
  <c r="CI14" i="8" s="1"/>
  <c r="BZ14" i="8"/>
  <c r="BZ6" i="8"/>
  <c r="BQ6" i="8"/>
  <c r="CI6" i="8" s="1"/>
  <c r="BU14" i="8"/>
  <c r="CM14" i="8" s="1"/>
  <c r="CD14" i="8"/>
  <c r="CD6" i="8"/>
  <c r="BU6" i="8"/>
  <c r="CM6" i="8" s="1"/>
  <c r="BS27" i="8"/>
  <c r="CK27" i="8" s="1"/>
  <c r="CB27" i="8"/>
  <c r="BS19" i="8"/>
  <c r="CK19" i="8" s="1"/>
  <c r="CB19" i="8"/>
  <c r="CB24" i="8"/>
  <c r="BS24" i="8"/>
  <c r="CK24" i="8" s="1"/>
  <c r="BX8" i="8"/>
  <c r="BO8" i="8"/>
  <c r="CG8" i="8" s="1"/>
  <c r="BX46" i="8"/>
  <c r="BO46" i="8"/>
  <c r="CG46" i="8" s="1"/>
  <c r="BX15" i="8"/>
  <c r="BO15" i="8"/>
  <c r="CG15" i="8" s="1"/>
  <c r="BX35" i="8"/>
  <c r="BO35" i="8"/>
  <c r="CG35" i="8" s="1"/>
  <c r="BX19" i="8"/>
  <c r="BO19" i="8"/>
  <c r="CG19" i="8" s="1"/>
  <c r="BX9" i="8"/>
  <c r="BO9" i="8"/>
  <c r="CG9" i="8" s="1"/>
  <c r="BX52" i="8"/>
  <c r="BO52" i="8"/>
  <c r="CG52" i="8" s="1"/>
  <c r="BX48" i="8"/>
  <c r="BO48" i="8"/>
  <c r="CG48" i="8" s="1"/>
  <c r="BX32" i="8"/>
  <c r="BO32" i="8"/>
  <c r="CG32" i="8" s="1"/>
  <c r="BO33" i="8"/>
  <c r="CG33" i="8" s="1"/>
  <c r="BX33" i="8"/>
  <c r="CG41" i="8"/>
  <c r="BX41" i="8"/>
  <c r="BY6" i="8"/>
  <c r="BP6" i="8"/>
  <c r="CH6" i="8" s="1"/>
  <c r="CA9" i="8"/>
  <c r="BR9" i="8"/>
  <c r="CJ9" i="8" s="1"/>
  <c r="BY12" i="8"/>
  <c r="BP12" i="8"/>
  <c r="CH12" i="8" s="1"/>
  <c r="CC14" i="8"/>
  <c r="BT14" i="8"/>
  <c r="CL14" i="8" s="1"/>
  <c r="BY18" i="8"/>
  <c r="BP18" i="8"/>
  <c r="CH18" i="8" s="1"/>
  <c r="CC20" i="8"/>
  <c r="BT20" i="8"/>
  <c r="CL20" i="8" s="1"/>
  <c r="CA23" i="8"/>
  <c r="BR23" i="8"/>
  <c r="CJ23" i="8" s="1"/>
  <c r="BY26" i="8"/>
  <c r="BP26" i="8"/>
  <c r="CH26" i="8" s="1"/>
  <c r="CC28" i="8"/>
  <c r="BT28" i="8"/>
  <c r="CL28" i="8" s="1"/>
  <c r="CA31" i="8"/>
  <c r="BR31" i="8"/>
  <c r="CJ31" i="8" s="1"/>
  <c r="CA37" i="8"/>
  <c r="BR37" i="8"/>
  <c r="CJ37" i="8" s="1"/>
  <c r="CA45" i="8"/>
  <c r="BR45" i="8"/>
  <c r="CJ45" i="8" s="1"/>
  <c r="CC50" i="8"/>
  <c r="BT50" i="8"/>
  <c r="CL50" i="8" s="1"/>
  <c r="BP9" i="8"/>
  <c r="CH9" i="8" s="1"/>
  <c r="BY9" i="8"/>
  <c r="CA20" i="8"/>
  <c r="BR20" i="8"/>
  <c r="CJ20" i="8" s="1"/>
  <c r="CA32" i="8"/>
  <c r="BR32" i="8"/>
  <c r="CJ32" i="8" s="1"/>
  <c r="BO34" i="8"/>
  <c r="CG34" i="8" s="1"/>
  <c r="CB7" i="8"/>
  <c r="BS7" i="8"/>
  <c r="CK7" i="8" s="1"/>
  <c r="BS15" i="8"/>
  <c r="CK15" i="8" s="1"/>
  <c r="CB15" i="8"/>
  <c r="BQ22" i="8"/>
  <c r="CI22" i="8" s="1"/>
  <c r="BZ22" i="8"/>
  <c r="BQ26" i="8"/>
  <c r="CI26" i="8" s="1"/>
  <c r="BZ26" i="8"/>
  <c r="BQ30" i="8"/>
  <c r="CI30" i="8" s="1"/>
  <c r="BZ30" i="8"/>
  <c r="BS33" i="8"/>
  <c r="CK33" i="8" s="1"/>
  <c r="CB33" i="8"/>
  <c r="BU36" i="8"/>
  <c r="CM36" i="8" s="1"/>
  <c r="CD36" i="8"/>
  <c r="CB39" i="8"/>
  <c r="BS39" i="8"/>
  <c r="CK39" i="8" s="1"/>
  <c r="BZ42" i="8"/>
  <c r="BQ42" i="8"/>
  <c r="CI42" i="8" s="1"/>
  <c r="CD44" i="8"/>
  <c r="BU44" i="8"/>
  <c r="CM44" i="8" s="1"/>
  <c r="CB47" i="8"/>
  <c r="BS47" i="8"/>
  <c r="CK47" i="8" s="1"/>
  <c r="CB51" i="8"/>
  <c r="BS51" i="8"/>
  <c r="CK51" i="8" s="1"/>
  <c r="BT7" i="8"/>
  <c r="CL7" i="8" s="1"/>
  <c r="CC7" i="8"/>
  <c r="CC15" i="8"/>
  <c r="BT15" i="8"/>
  <c r="CL15" i="8" s="1"/>
  <c r="CC49" i="8"/>
  <c r="BT49" i="8"/>
  <c r="CL49" i="8" s="1"/>
  <c r="BL5" i="8"/>
  <c r="BC53" i="8"/>
  <c r="CD13" i="8"/>
  <c r="BU13" i="8"/>
  <c r="CM13" i="8" s="1"/>
  <c r="CD49" i="8"/>
  <c r="BU49" i="8"/>
  <c r="CM49" i="8" s="1"/>
  <c r="BY39" i="8"/>
  <c r="BP39" i="8"/>
  <c r="CH39" i="8" s="1"/>
  <c r="BY37" i="8"/>
  <c r="BP37" i="8"/>
  <c r="CH37" i="8" s="1"/>
  <c r="BY44" i="8"/>
  <c r="BP44" i="8"/>
  <c r="CH44" i="8" s="1"/>
  <c r="BP36" i="8"/>
  <c r="CH36" i="8" s="1"/>
  <c r="BY36" i="8"/>
  <c r="CC43" i="8"/>
  <c r="BT43" i="8"/>
  <c r="CL43" i="8" s="1"/>
  <c r="CC41" i="8"/>
  <c r="BT41" i="8"/>
  <c r="CL41" i="8" s="1"/>
  <c r="CC46" i="8"/>
  <c r="BT46" i="8"/>
  <c r="CL46" i="8" s="1"/>
  <c r="CC38" i="8"/>
  <c r="BT38" i="8"/>
  <c r="CL38" i="8" s="1"/>
  <c r="BQ52" i="8"/>
  <c r="CI52" i="8" s="1"/>
  <c r="BZ52" i="8"/>
  <c r="BZ12" i="8"/>
  <c r="BQ12" i="8"/>
  <c r="CI12" i="8" s="1"/>
  <c r="CD52" i="8"/>
  <c r="BU52" i="8"/>
  <c r="CM52" i="8" s="1"/>
  <c r="BU12" i="8"/>
  <c r="CM12" i="8" s="1"/>
  <c r="CD12" i="8"/>
  <c r="BS25" i="8"/>
  <c r="CK25" i="8" s="1"/>
  <c r="CB25" i="8"/>
  <c r="BS17" i="8"/>
  <c r="CK17" i="8" s="1"/>
  <c r="CB17" i="8"/>
  <c r="CB30" i="8"/>
  <c r="BS30" i="8"/>
  <c r="CK30" i="8" s="1"/>
  <c r="CB32" i="8"/>
  <c r="BS32" i="8"/>
  <c r="CK32" i="8" s="1"/>
  <c r="C12" i="3"/>
  <c r="C19" i="3"/>
  <c r="C11" i="3"/>
  <c r="C20" i="3"/>
  <c r="C18" i="3"/>
  <c r="C21" i="3"/>
  <c r="C13" i="3"/>
  <c r="C17" i="3"/>
  <c r="C23" i="3"/>
  <c r="C14" i="3"/>
  <c r="C9" i="3"/>
  <c r="C22" i="3"/>
  <c r="C10" i="3"/>
  <c r="C8" i="3"/>
  <c r="C15" i="3"/>
  <c r="C24" i="3"/>
  <c r="C16" i="3"/>
  <c r="C7" i="3"/>
  <c r="AT28" i="6"/>
  <c r="AX26" i="6"/>
  <c r="AX23" i="6"/>
  <c r="AK76" i="6"/>
  <c r="AT20" i="6"/>
  <c r="AK71" i="6"/>
  <c r="AX15" i="6"/>
  <c r="AK68" i="6"/>
  <c r="AT12" i="6"/>
  <c r="AY12" i="6"/>
  <c r="AX11" i="6"/>
  <c r="AX4" i="6"/>
  <c r="AO79" i="6"/>
  <c r="AS27" i="6"/>
  <c r="AX51" i="6"/>
  <c r="AS41" i="6"/>
  <c r="AJ81" i="6"/>
  <c r="AJ72" i="6"/>
  <c r="AJ67" i="6"/>
  <c r="AS46" i="6"/>
  <c r="AS12" i="6"/>
  <c r="AS13" i="6"/>
  <c r="AJ69" i="6"/>
  <c r="AX47" i="6"/>
  <c r="AS21" i="6"/>
  <c r="AS47" i="6"/>
  <c r="AS33" i="6"/>
  <c r="AS30" i="6"/>
  <c r="AJ75" i="6"/>
  <c r="AJ70" i="6"/>
  <c r="AJ65" i="6"/>
  <c r="AS18" i="6"/>
  <c r="AJ64" i="6"/>
  <c r="AK74" i="6"/>
  <c r="AS37" i="6"/>
  <c r="AT50" i="6"/>
  <c r="AS32" i="6"/>
  <c r="AS25" i="6"/>
  <c r="AS23" i="6"/>
  <c r="AS24" i="6"/>
  <c r="AS10" i="6"/>
  <c r="AS11" i="6"/>
  <c r="AS35" i="6"/>
  <c r="AJ73" i="6"/>
  <c r="AJ68" i="6"/>
  <c r="AJ63" i="6"/>
  <c r="AS50" i="6"/>
  <c r="AT49" i="6"/>
  <c r="AT46" i="6"/>
  <c r="AS44" i="6"/>
  <c r="AT43" i="6"/>
  <c r="AT40" i="6"/>
  <c r="AS39" i="6"/>
  <c r="AX38" i="6"/>
  <c r="AS36" i="6"/>
  <c r="AT35" i="6"/>
  <c r="AX33" i="6"/>
  <c r="AT32" i="6"/>
  <c r="AS31" i="6"/>
  <c r="AX30" i="6"/>
  <c r="AT29" i="6"/>
  <c r="AT26" i="6"/>
  <c r="AP79" i="6"/>
  <c r="AT23" i="6"/>
  <c r="AS19" i="6"/>
  <c r="AX18" i="6"/>
  <c r="AO70" i="6"/>
  <c r="AK69" i="6"/>
  <c r="AO67" i="6"/>
  <c r="AT10" i="6"/>
  <c r="AO63" i="6"/>
  <c r="AK61" i="6"/>
  <c r="AS5" i="6"/>
  <c r="AU47" i="6"/>
  <c r="AS42" i="6"/>
  <c r="AJ79" i="6"/>
  <c r="AT18" i="6"/>
  <c r="AJ58" i="6"/>
  <c r="AJ83" i="6" s="1"/>
  <c r="AJ84" i="6" s="1"/>
  <c r="AK81" i="6"/>
  <c r="AT17" i="6"/>
  <c r="AT14" i="6"/>
  <c r="AS16" i="6"/>
  <c r="AS9" i="6"/>
  <c r="AJ82" i="6"/>
  <c r="AS29" i="6"/>
  <c r="AJ62" i="6"/>
  <c r="AS34" i="6"/>
  <c r="AS51" i="6"/>
  <c r="AJ60" i="6"/>
  <c r="AS22" i="6"/>
  <c r="AS8" i="6"/>
  <c r="AS6" i="6"/>
  <c r="AS15" i="6"/>
  <c r="AS4" i="6"/>
  <c r="AJ80" i="6"/>
  <c r="AJ61" i="6"/>
  <c r="AK66" i="6"/>
  <c r="AY39" i="6"/>
  <c r="AK64" i="6"/>
  <c r="AS48" i="6"/>
  <c r="AS45" i="6"/>
  <c r="AX44" i="6"/>
  <c r="AT41" i="6"/>
  <c r="AT33" i="6"/>
  <c r="AT30" i="6"/>
  <c r="AS28" i="6"/>
  <c r="AP80" i="6"/>
  <c r="AP77" i="6"/>
  <c r="AJ76" i="6"/>
  <c r="AK75" i="6"/>
  <c r="AP74" i="6"/>
  <c r="AJ74" i="6"/>
  <c r="AX19" i="6"/>
  <c r="AK72" i="6"/>
  <c r="AJ71" i="6"/>
  <c r="AT16" i="6"/>
  <c r="AS14" i="6"/>
  <c r="AT13" i="6"/>
  <c r="AJ66" i="6"/>
  <c r="AK63" i="6"/>
  <c r="AS7" i="6"/>
  <c r="AP82" i="6"/>
  <c r="AY22" i="6"/>
  <c r="AT7" i="6"/>
  <c r="AY28" i="6"/>
  <c r="AY18" i="6"/>
  <c r="AX5" i="6"/>
  <c r="AO80" i="6"/>
  <c r="AO68" i="6"/>
  <c r="AS49" i="6"/>
  <c r="AX48" i="6"/>
  <c r="AS43" i="6"/>
  <c r="AS40" i="6"/>
  <c r="AT4" i="6"/>
  <c r="AY6" i="6"/>
  <c r="AP76" i="6"/>
  <c r="AX25" i="6"/>
  <c r="AY4" i="6"/>
  <c r="AJ78" i="6"/>
  <c r="AP63" i="6"/>
  <c r="AY48" i="6"/>
  <c r="AY45" i="6"/>
  <c r="AY42" i="6"/>
  <c r="AY34" i="6"/>
  <c r="AY25" i="6"/>
  <c r="AY31" i="6"/>
  <c r="AX9" i="6"/>
  <c r="AP72" i="6"/>
  <c r="AY23" i="6"/>
  <c r="AP67" i="6"/>
  <c r="AX22" i="6"/>
  <c r="AX14" i="6"/>
  <c r="AP58" i="6"/>
  <c r="AY9" i="6"/>
  <c r="AY40" i="6"/>
  <c r="AX36" i="6"/>
  <c r="AY32" i="6"/>
  <c r="AX31" i="6"/>
  <c r="AY15" i="6"/>
  <c r="AO65" i="6"/>
  <c r="AO62" i="6"/>
  <c r="AO59" i="6"/>
  <c r="AX41" i="6"/>
  <c r="AK77" i="6"/>
  <c r="AT21" i="6"/>
  <c r="AO82" i="6"/>
  <c r="AY49" i="6"/>
  <c r="AK80" i="6"/>
  <c r="AY16" i="6"/>
  <c r="AP69" i="6"/>
  <c r="AX16" i="6"/>
  <c r="AT15" i="6"/>
  <c r="AX13" i="6"/>
  <c r="AT9" i="6"/>
  <c r="AS20" i="6"/>
  <c r="AY26" i="6"/>
  <c r="AY19" i="6"/>
  <c r="AS17" i="6"/>
  <c r="AY13" i="6"/>
  <c r="AP71" i="6"/>
  <c r="AY24" i="6"/>
  <c r="AP75" i="6"/>
  <c r="AY20" i="6"/>
  <c r="AO64" i="6"/>
  <c r="AP59" i="6"/>
  <c r="AX45" i="6"/>
  <c r="AX42" i="6"/>
  <c r="AY38" i="6"/>
  <c r="AX37" i="6"/>
  <c r="AT36" i="6"/>
  <c r="AY35" i="6"/>
  <c r="AX34" i="6"/>
  <c r="AT31" i="6"/>
  <c r="AY30" i="6"/>
  <c r="AX28" i="6"/>
  <c r="AS26" i="6"/>
  <c r="AJ77" i="6"/>
  <c r="AX20" i="6"/>
  <c r="AO71" i="6"/>
  <c r="AO66" i="6"/>
  <c r="AK60" i="6"/>
  <c r="AK59" i="6"/>
  <c r="AX39" i="6"/>
  <c r="AX35" i="6"/>
  <c r="AO75" i="6"/>
  <c r="AP68" i="6"/>
  <c r="AY43" i="6"/>
  <c r="AY10" i="6"/>
  <c r="AX50" i="6"/>
  <c r="AY46" i="6"/>
  <c r="AY29" i="6"/>
  <c r="AX24" i="6"/>
  <c r="AO73" i="6"/>
  <c r="AP66" i="6"/>
  <c r="AP64" i="6"/>
  <c r="AP61" i="6"/>
  <c r="AO60" i="6"/>
  <c r="AY37" i="6"/>
  <c r="AO81" i="6"/>
  <c r="AX40" i="6"/>
  <c r="AK82" i="6"/>
  <c r="AK78" i="6"/>
  <c r="AT22" i="6"/>
  <c r="AT19" i="6"/>
  <c r="AO78" i="6"/>
  <c r="AY51" i="6"/>
  <c r="AK79" i="6"/>
  <c r="AY14" i="6"/>
  <c r="AP65" i="6"/>
  <c r="AX27" i="6"/>
  <c r="AX17" i="6"/>
  <c r="AY8" i="6"/>
  <c r="AX7" i="6"/>
  <c r="AP73" i="6"/>
  <c r="AY7" i="6"/>
  <c r="AX6" i="6"/>
  <c r="AO72" i="6"/>
  <c r="AP81" i="6"/>
  <c r="AY17" i="6"/>
  <c r="AP78" i="6"/>
  <c r="AY21" i="6"/>
  <c r="AX10" i="6"/>
  <c r="AY5" i="6"/>
  <c r="AY50" i="6"/>
  <c r="AX46" i="6"/>
  <c r="AY44" i="6"/>
  <c r="AX43" i="6"/>
  <c r="AY41" i="6"/>
  <c r="AS38" i="6"/>
  <c r="AT37" i="6"/>
  <c r="AY36" i="6"/>
  <c r="AT34" i="6"/>
  <c r="AX32" i="6"/>
  <c r="AX29" i="6"/>
  <c r="AY27" i="6"/>
  <c r="AT25" i="6"/>
  <c r="AO77" i="6"/>
  <c r="AP70" i="6"/>
  <c r="AO69" i="6"/>
  <c r="AY11" i="6"/>
  <c r="AP62" i="6"/>
  <c r="AO61" i="6"/>
  <c r="AP60" i="6"/>
  <c r="AY47" i="6"/>
  <c r="AU36" i="6"/>
  <c r="AL59" i="6"/>
  <c r="AL81" i="6"/>
  <c r="AU26" i="6"/>
  <c r="AU39" i="6"/>
  <c r="AU50" i="6"/>
  <c r="AU17" i="6"/>
  <c r="AU14" i="6"/>
  <c r="AU9" i="6"/>
  <c r="AU22" i="6"/>
  <c r="AU43" i="6"/>
  <c r="AL70" i="6"/>
  <c r="AL65" i="6"/>
  <c r="AU31" i="6"/>
  <c r="AU42" i="6"/>
  <c r="AU23" i="6"/>
  <c r="AU38" i="6"/>
  <c r="AV41" i="6"/>
  <c r="AV45" i="6"/>
  <c r="AV36" i="6"/>
  <c r="AV14" i="6"/>
  <c r="AV10" i="6"/>
  <c r="AV4" i="6"/>
  <c r="AV27" i="6"/>
  <c r="AV28" i="6"/>
  <c r="AV22" i="6"/>
  <c r="AV16" i="6"/>
  <c r="AV12" i="6"/>
  <c r="AV8" i="6"/>
  <c r="AV25" i="6"/>
  <c r="AV19" i="6"/>
  <c r="AV18" i="6"/>
  <c r="AW48" i="6"/>
  <c r="AW40" i="6"/>
  <c r="AW38" i="6"/>
  <c r="AW34" i="6"/>
  <c r="AW23" i="6"/>
  <c r="AW27" i="6"/>
  <c r="AW19" i="6"/>
  <c r="AW35" i="6"/>
  <c r="AW32" i="6"/>
  <c r="AW20" i="6"/>
  <c r="AW17" i="6"/>
  <c r="AW15" i="6"/>
  <c r="AW13" i="6"/>
  <c r="AW11" i="6"/>
  <c r="AW9" i="6"/>
  <c r="AW44" i="6"/>
  <c r="AW26" i="6"/>
  <c r="AW8" i="6"/>
  <c r="AV46" i="6"/>
  <c r="AW36" i="6"/>
  <c r="AM75" i="6"/>
  <c r="AV47" i="6"/>
  <c r="AM76" i="6"/>
  <c r="AM81" i="6"/>
  <c r="AV9" i="6"/>
  <c r="AW24" i="6"/>
  <c r="AW16" i="6"/>
  <c r="AN65" i="6"/>
  <c r="AM62" i="6"/>
  <c r="AN78" i="6"/>
  <c r="AN68" i="6"/>
  <c r="AN64" i="6"/>
  <c r="AN59" i="6"/>
  <c r="AW47" i="6"/>
  <c r="AL74" i="6"/>
  <c r="AL68" i="6"/>
  <c r="AU46" i="6"/>
  <c r="AV37" i="6"/>
  <c r="AN80" i="6"/>
  <c r="AL75" i="6"/>
  <c r="AM79" i="6"/>
  <c r="AM59" i="6"/>
  <c r="AV21" i="6"/>
  <c r="AU33" i="6"/>
  <c r="AL77" i="6"/>
  <c r="AU35" i="6"/>
  <c r="AW28" i="6"/>
  <c r="AV20" i="6"/>
  <c r="AU19" i="6"/>
  <c r="AL72" i="6"/>
  <c r="AN67" i="6"/>
  <c r="AW10" i="6"/>
  <c r="AU6" i="6"/>
  <c r="AW6" i="6"/>
  <c r="AU51" i="6"/>
  <c r="AM80" i="6"/>
  <c r="AU45" i="6"/>
  <c r="AV30" i="6"/>
  <c r="AL69" i="6"/>
  <c r="AU13" i="6"/>
  <c r="AL66" i="6"/>
  <c r="AU10" i="6"/>
  <c r="AW49" i="6"/>
  <c r="AW33" i="6"/>
  <c r="AV34" i="6"/>
  <c r="AU24" i="6"/>
  <c r="AM73" i="6"/>
  <c r="AV15" i="6"/>
  <c r="AV11" i="6"/>
  <c r="AV6" i="6"/>
  <c r="AU28" i="6"/>
  <c r="AU20" i="6"/>
  <c r="AL58" i="6"/>
  <c r="AV24" i="6"/>
  <c r="AL76" i="6"/>
  <c r="AU34" i="6"/>
  <c r="AU25" i="6"/>
  <c r="AW22" i="6"/>
  <c r="AM74" i="6"/>
  <c r="AL73" i="6"/>
  <c r="AN69" i="6"/>
  <c r="AW12" i="6"/>
  <c r="AU7" i="6"/>
  <c r="AL60" i="6"/>
  <c r="AM58" i="6"/>
  <c r="AU32" i="6"/>
  <c r="AW30" i="6"/>
  <c r="AN66" i="6"/>
  <c r="AW7" i="6"/>
  <c r="AN60" i="6"/>
  <c r="AV33" i="6"/>
  <c r="AN82" i="6"/>
  <c r="AW39" i="6"/>
  <c r="AN81" i="6"/>
  <c r="AM72" i="6"/>
  <c r="AV17" i="6"/>
  <c r="AV13" i="6"/>
  <c r="AV7" i="6"/>
  <c r="AV5" i="6"/>
  <c r="AM67" i="6"/>
  <c r="AW43" i="6"/>
  <c r="AV29" i="6"/>
  <c r="AN75" i="6"/>
  <c r="AV39" i="6"/>
  <c r="AM65" i="6"/>
  <c r="AU49" i="6"/>
  <c r="AU29" i="6"/>
  <c r="AU30" i="6"/>
  <c r="AU8" i="6"/>
  <c r="AU4" i="6"/>
  <c r="AU21" i="6"/>
  <c r="AW45" i="6"/>
  <c r="AW42" i="6"/>
  <c r="AV26" i="6"/>
  <c r="AN79" i="6"/>
  <c r="AV50" i="6"/>
  <c r="AV42" i="6"/>
  <c r="AL78" i="6"/>
  <c r="AL71" i="6"/>
  <c r="AU15" i="6"/>
  <c r="AU12" i="6"/>
  <c r="AV51" i="6"/>
  <c r="AM82" i="6"/>
  <c r="AV43" i="6"/>
  <c r="AV35" i="6"/>
  <c r="AN74" i="6"/>
  <c r="AM70" i="6"/>
  <c r="AM66" i="6"/>
  <c r="AM61" i="6"/>
  <c r="AV38" i="6"/>
  <c r="AM63" i="6"/>
  <c r="AV23" i="6"/>
  <c r="AU37" i="6"/>
  <c r="AM77" i="6"/>
  <c r="AL62" i="6"/>
  <c r="AV49" i="6"/>
  <c r="AV31" i="6"/>
  <c r="AL80" i="6"/>
  <c r="AL63" i="6"/>
  <c r="AW50" i="6"/>
  <c r="AW46" i="6"/>
  <c r="AW41" i="6"/>
  <c r="AU27" i="6"/>
  <c r="AW25" i="6"/>
  <c r="AW51" i="6"/>
  <c r="AU44" i="6"/>
  <c r="AW37" i="6"/>
  <c r="AN76" i="6"/>
  <c r="AN72" i="6"/>
  <c r="AU16" i="6"/>
  <c r="AL67" i="6"/>
  <c r="AU11" i="6"/>
  <c r="AL64" i="6"/>
  <c r="AV48" i="6"/>
  <c r="AV40" i="6"/>
  <c r="AN77" i="6"/>
  <c r="AN73" i="6"/>
  <c r="AU40" i="6"/>
  <c r="AW29" i="6"/>
  <c r="AU18" i="6"/>
  <c r="AM68" i="6"/>
  <c r="AM64" i="6"/>
  <c r="AN62" i="6"/>
  <c r="AM60" i="6"/>
  <c r="AN58" i="6"/>
  <c r="AM71" i="6"/>
  <c r="AM78" i="6"/>
  <c r="AW18" i="6"/>
  <c r="AU48" i="6"/>
  <c r="AV32" i="6"/>
  <c r="AL79" i="6"/>
  <c r="AW21" i="6"/>
  <c r="AN71" i="6"/>
  <c r="AW14" i="6"/>
  <c r="AN63" i="6"/>
  <c r="AL61" i="6"/>
  <c r="AU5" i="6"/>
  <c r="AV44" i="6"/>
  <c r="AW31" i="6"/>
  <c r="AM69" i="6"/>
  <c r="AU41" i="6"/>
  <c r="AL82" i="6"/>
  <c r="AN70" i="6"/>
  <c r="AN61" i="6"/>
  <c r="AW5" i="6"/>
  <c r="AW4" i="6"/>
  <c r="AM67" i="4"/>
  <c r="AM71" i="4"/>
  <c r="AM62" i="4"/>
  <c r="AK60" i="4"/>
  <c r="AL81" i="4"/>
  <c r="AK69" i="4"/>
  <c r="AK64" i="4"/>
  <c r="AK72" i="4"/>
  <c r="AK77" i="4"/>
  <c r="AK67" i="4"/>
  <c r="AJ79" i="4"/>
  <c r="AJ63" i="4"/>
  <c r="AJ59" i="4"/>
  <c r="AJ66" i="4"/>
  <c r="AL76" i="4"/>
  <c r="AL72" i="4"/>
  <c r="AL68" i="4"/>
  <c r="AL65" i="4"/>
  <c r="AL79" i="4"/>
  <c r="AK63" i="4"/>
  <c r="AL82" i="4"/>
  <c r="AK76" i="4"/>
  <c r="AK71" i="4"/>
  <c r="AL63" i="4"/>
  <c r="AL64" i="4"/>
  <c r="AK62" i="4"/>
  <c r="AK59" i="4"/>
  <c r="AL67" i="4"/>
  <c r="AL78" i="4"/>
  <c r="AL74" i="4"/>
  <c r="AL70" i="4"/>
  <c r="AK82" i="4"/>
  <c r="AK78" i="4"/>
  <c r="AK70" i="4"/>
  <c r="AK68" i="4"/>
  <c r="AK66" i="4"/>
  <c r="AL80" i="4"/>
  <c r="AJ71" i="4"/>
  <c r="AM68" i="4"/>
  <c r="AM79" i="4"/>
  <c r="AI8" i="4"/>
  <c r="AM58" i="4"/>
  <c r="AM80" i="4"/>
  <c r="AJ77" i="4"/>
  <c r="AJ73" i="4"/>
  <c r="AM70" i="4"/>
  <c r="AJ67" i="4"/>
  <c r="AJ60" i="4"/>
  <c r="AM76" i="4"/>
  <c r="AJ82" i="4"/>
  <c r="AK80" i="4"/>
  <c r="AM73" i="4"/>
  <c r="AM69" i="4"/>
  <c r="AL66" i="4"/>
  <c r="AM63" i="4"/>
  <c r="AM61" i="4"/>
  <c r="AM59" i="4"/>
  <c r="AJ58" i="4"/>
  <c r="AJ74" i="4"/>
  <c r="AM65" i="4"/>
  <c r="AM64" i="4"/>
  <c r="AL61" i="4"/>
  <c r="AJ65" i="4"/>
  <c r="AK61" i="4"/>
  <c r="AL58" i="4"/>
  <c r="AL59" i="4"/>
  <c r="AJ70" i="4"/>
  <c r="AM78" i="4"/>
  <c r="AM74" i="4"/>
  <c r="AM81" i="4"/>
  <c r="AK79" i="4"/>
  <c r="AL77" i="4"/>
  <c r="AL75" i="4"/>
  <c r="AL73" i="4"/>
  <c r="AL71" i="4"/>
  <c r="AL69" i="4"/>
  <c r="AK74" i="4"/>
  <c r="AK73" i="4"/>
  <c r="AJ81" i="4"/>
  <c r="AJ69" i="4"/>
  <c r="AM66" i="4"/>
  <c r="AJ61" i="4"/>
  <c r="AK58" i="4"/>
  <c r="AM82" i="4"/>
  <c r="AJ75" i="4"/>
  <c r="AM77" i="4"/>
  <c r="AJ68" i="4"/>
  <c r="AM72" i="4"/>
  <c r="AM75" i="4"/>
  <c r="AL62" i="4"/>
  <c r="AM52" i="3"/>
  <c r="AV34" i="3" s="1"/>
  <c r="AP13" i="3"/>
  <c r="AV44" i="3"/>
  <c r="AV4" i="3"/>
  <c r="AV37" i="3"/>
  <c r="AV27" i="3"/>
  <c r="AV6" i="3"/>
  <c r="AM64" i="3"/>
  <c r="AV13" i="3"/>
  <c r="AM80" i="3"/>
  <c r="AV31" i="3"/>
  <c r="AM63" i="3"/>
  <c r="AM67" i="3"/>
  <c r="AV23" i="3"/>
  <c r="AM82" i="3"/>
  <c r="AV49" i="3"/>
  <c r="AV39" i="3"/>
  <c r="AV15" i="3"/>
  <c r="AV26" i="3"/>
  <c r="AV33" i="3"/>
  <c r="AM66" i="3"/>
  <c r="AV9" i="3"/>
  <c r="AV25" i="3"/>
  <c r="AM65" i="3"/>
  <c r="AV42" i="3"/>
  <c r="AM59" i="3"/>
  <c r="AV8" i="3"/>
  <c r="AV12" i="3"/>
  <c r="AM76" i="3"/>
  <c r="AM70" i="3"/>
  <c r="AV40" i="3"/>
  <c r="AV43" i="3"/>
  <c r="AV32" i="3"/>
  <c r="AV11" i="3"/>
  <c r="AM61" i="3"/>
  <c r="AM60" i="3"/>
  <c r="AM62" i="3"/>
  <c r="AV10" i="3"/>
  <c r="AV38" i="3"/>
  <c r="AM81" i="3"/>
  <c r="AV21" i="3"/>
  <c r="AV48" i="3"/>
  <c r="AV50" i="3"/>
  <c r="AV5" i="3"/>
  <c r="AV7" i="3"/>
  <c r="AM68" i="3"/>
  <c r="AV30" i="3"/>
  <c r="AV51" i="3"/>
  <c r="AV45" i="3"/>
  <c r="AM78" i="3"/>
  <c r="AV36" i="3"/>
  <c r="AP51" i="3"/>
  <c r="AM71" i="3"/>
  <c r="AV16" i="3"/>
  <c r="AO18" i="3"/>
  <c r="AI21" i="3"/>
  <c r="AN19" i="3"/>
  <c r="AV41" i="3"/>
  <c r="AM79" i="3"/>
  <c r="AV24" i="3"/>
  <c r="AM77" i="3"/>
  <c r="AV22" i="3"/>
  <c r="AV35" i="3"/>
  <c r="AP34" i="3"/>
  <c r="AO43" i="3"/>
  <c r="AV47" i="3"/>
  <c r="AM75" i="3"/>
  <c r="AV20" i="3"/>
  <c r="AN18" i="3"/>
  <c r="AM72" i="3"/>
  <c r="AV17" i="3"/>
  <c r="AP16" i="3"/>
  <c r="AK52" i="3"/>
  <c r="AT19" i="3" s="1"/>
  <c r="AT4" i="3"/>
  <c r="AT7" i="3"/>
  <c r="AO6" i="3"/>
  <c r="AM69" i="3"/>
  <c r="AV14" i="3"/>
  <c r="AP23" i="3"/>
  <c r="AM83" i="3"/>
  <c r="AV28" i="3"/>
  <c r="AP27" i="3"/>
  <c r="AV46" i="3"/>
  <c r="AP45" i="3"/>
  <c r="AT30" i="3"/>
  <c r="AO29" i="3"/>
  <c r="AP40" i="3"/>
  <c r="AO37" i="3"/>
  <c r="AO34" i="3"/>
  <c r="AM73" i="3"/>
  <c r="AV18" i="3"/>
  <c r="AV29" i="3"/>
  <c r="AP15" i="3"/>
  <c r="AP19" i="3"/>
  <c r="AJ52" i="3"/>
  <c r="AS11" i="3" s="1"/>
  <c r="AO16" i="3"/>
  <c r="AT17" i="3"/>
  <c r="AP28" i="3"/>
  <c r="AM74" i="3"/>
  <c r="AV19" i="3"/>
  <c r="AP18" i="3"/>
  <c r="AL52" i="3"/>
  <c r="AU44" i="3" s="1"/>
  <c r="AO10" i="3"/>
  <c r="AL52" i="1"/>
  <c r="AL73" i="1" s="1"/>
  <c r="AM52" i="1"/>
  <c r="AM80" i="1" s="1"/>
  <c r="AI8" i="1"/>
  <c r="AN6" i="1"/>
  <c r="AK52" i="1"/>
  <c r="AT37" i="1" s="1"/>
  <c r="AJ52" i="1"/>
  <c r="AP30" i="1"/>
  <c r="AO31" i="1"/>
  <c r="CW63" i="10" l="1"/>
  <c r="CW111" i="10" s="1"/>
  <c r="CN111" i="10"/>
  <c r="CL111" i="10"/>
  <c r="CU63" i="10"/>
  <c r="CU111" i="10" s="1"/>
  <c r="DA63" i="10"/>
  <c r="DA111" i="10" s="1"/>
  <c r="CR111" i="10"/>
  <c r="CO111" i="10"/>
  <c r="CX63" i="10"/>
  <c r="CX111" i="10" s="1"/>
  <c r="CM111" i="10"/>
  <c r="CV63" i="10"/>
  <c r="CV111" i="10" s="1"/>
  <c r="CP111" i="10"/>
  <c r="CY63" i="10"/>
  <c r="CY111" i="10" s="1"/>
  <c r="CQ111" i="10"/>
  <c r="CZ63" i="10"/>
  <c r="CZ111" i="10" s="1"/>
  <c r="BN55" i="10"/>
  <c r="BE55" i="10"/>
  <c r="E60" i="10"/>
  <c r="L60" i="10" s="1"/>
  <c r="L122" i="10"/>
  <c r="I123" i="10"/>
  <c r="L123" i="10" s="1"/>
  <c r="CC5" i="8"/>
  <c r="CC53" i="8" s="1"/>
  <c r="BT5" i="8"/>
  <c r="BK53" i="8"/>
  <c r="BZ53" i="8"/>
  <c r="BD53" i="8"/>
  <c r="BD54" i="8" s="1"/>
  <c r="CI5" i="8"/>
  <c r="CI53" i="8" s="1"/>
  <c r="BQ53" i="8"/>
  <c r="CJ5" i="8"/>
  <c r="CJ53" i="8" s="1"/>
  <c r="BR53" i="8"/>
  <c r="CB5" i="8"/>
  <c r="CB53" i="8" s="1"/>
  <c r="BS5" i="8"/>
  <c r="BJ53" i="8"/>
  <c r="BP5" i="8"/>
  <c r="BY5" i="8"/>
  <c r="BY53" i="8" s="1"/>
  <c r="BG53" i="8"/>
  <c r="BU5" i="8"/>
  <c r="CD5" i="8"/>
  <c r="CD53" i="8" s="1"/>
  <c r="BL53" i="8"/>
  <c r="BF53" i="8"/>
  <c r="BO5" i="8"/>
  <c r="CA53" i="8"/>
  <c r="AT9" i="3"/>
  <c r="AK72" i="3"/>
  <c r="AT48" i="3"/>
  <c r="AK62" i="3"/>
  <c r="AT11" i="3"/>
  <c r="AK64" i="3"/>
  <c r="AT41" i="3"/>
  <c r="AK83" i="3"/>
  <c r="AT38" i="3"/>
  <c r="AO83" i="6"/>
  <c r="AO84" i="6" s="1"/>
  <c r="AP83" i="6"/>
  <c r="AP84" i="6" s="1"/>
  <c r="AK83" i="6"/>
  <c r="AK84" i="6" s="1"/>
  <c r="AM83" i="6"/>
  <c r="AM84" i="6" s="1"/>
  <c r="AL83" i="6"/>
  <c r="AL84" i="6" s="1"/>
  <c r="AN83" i="6"/>
  <c r="AN84" i="6" s="1"/>
  <c r="AS28" i="1"/>
  <c r="AL81" i="1"/>
  <c r="AO80" i="4"/>
  <c r="AK83" i="4"/>
  <c r="AI9" i="4"/>
  <c r="AO76" i="4"/>
  <c r="AO68" i="4"/>
  <c r="AO63" i="4"/>
  <c r="AO59" i="4"/>
  <c r="AO72" i="4"/>
  <c r="AO69" i="4"/>
  <c r="AO75" i="4"/>
  <c r="AO78" i="4"/>
  <c r="AO70" i="4"/>
  <c r="AO71" i="4"/>
  <c r="AO60" i="4"/>
  <c r="AO64" i="4"/>
  <c r="AO73" i="4"/>
  <c r="AO62" i="4"/>
  <c r="AO74" i="4"/>
  <c r="AO67" i="4"/>
  <c r="AO77" i="4"/>
  <c r="AO65" i="4"/>
  <c r="AO81" i="4"/>
  <c r="AO66" i="4"/>
  <c r="AL83" i="4"/>
  <c r="AM83" i="4"/>
  <c r="AO58" i="4"/>
  <c r="AO79" i="4"/>
  <c r="AO82" i="4"/>
  <c r="AO61" i="4"/>
  <c r="AJ83" i="4"/>
  <c r="AS5" i="3"/>
  <c r="AL79" i="1"/>
  <c r="AS46" i="3"/>
  <c r="AJ60" i="3"/>
  <c r="AJ79" i="1"/>
  <c r="AU42" i="1"/>
  <c r="AU40" i="1"/>
  <c r="AS9" i="3"/>
  <c r="AK66" i="3"/>
  <c r="AS42" i="3"/>
  <c r="AT35" i="3"/>
  <c r="AU24" i="1"/>
  <c r="AS7" i="3"/>
  <c r="AU26" i="1"/>
  <c r="AS25" i="3"/>
  <c r="AT49" i="3"/>
  <c r="AT28" i="3"/>
  <c r="AK59" i="3"/>
  <c r="AS30" i="3"/>
  <c r="AU36" i="3"/>
  <c r="AL72" i="3"/>
  <c r="AU33" i="3"/>
  <c r="AU40" i="3"/>
  <c r="AY51" i="3"/>
  <c r="AP73" i="3"/>
  <c r="AU25" i="3"/>
  <c r="AU47" i="3"/>
  <c r="AS28" i="3"/>
  <c r="AJ64" i="3"/>
  <c r="AS27" i="3"/>
  <c r="AU19" i="3"/>
  <c r="AJ62" i="3"/>
  <c r="AL80" i="3"/>
  <c r="AS33" i="3"/>
  <c r="AM84" i="3"/>
  <c r="AU32" i="3"/>
  <c r="AU46" i="3"/>
  <c r="AU15" i="3"/>
  <c r="AU23" i="3"/>
  <c r="AL61" i="3"/>
  <c r="AL63" i="3"/>
  <c r="AL60" i="3"/>
  <c r="AL77" i="3"/>
  <c r="AU20" i="3"/>
  <c r="AU30" i="3"/>
  <c r="AU48" i="3"/>
  <c r="AL66" i="3"/>
  <c r="AU24" i="3"/>
  <c r="AL81" i="3"/>
  <c r="AL82" i="3"/>
  <c r="AU39" i="3"/>
  <c r="AU37" i="3"/>
  <c r="AU50" i="3"/>
  <c r="AU43" i="3"/>
  <c r="AU42" i="3"/>
  <c r="AU41" i="3"/>
  <c r="AU38" i="3"/>
  <c r="AU6" i="3"/>
  <c r="AU8" i="3"/>
  <c r="AL69" i="3"/>
  <c r="AL71" i="3"/>
  <c r="AU7" i="3"/>
  <c r="AU5" i="3"/>
  <c r="AU22" i="3"/>
  <c r="AL83" i="3"/>
  <c r="AL68" i="3"/>
  <c r="AU35" i="3"/>
  <c r="AU4" i="3"/>
  <c r="AU26" i="3"/>
  <c r="AU31" i="3"/>
  <c r="AL62" i="3"/>
  <c r="AL73" i="3"/>
  <c r="AL78" i="3"/>
  <c r="AU27" i="3"/>
  <c r="AU49" i="3"/>
  <c r="AU45" i="3"/>
  <c r="AU51" i="3"/>
  <c r="AL65" i="3"/>
  <c r="AU14" i="3"/>
  <c r="AU16" i="3"/>
  <c r="AL67" i="3"/>
  <c r="AU28" i="3"/>
  <c r="AU13" i="3"/>
  <c r="AL76" i="3"/>
  <c r="AL64" i="3"/>
  <c r="AU21" i="3"/>
  <c r="AU11" i="3"/>
  <c r="AU18" i="3"/>
  <c r="AU34" i="3"/>
  <c r="AU10" i="3"/>
  <c r="AU12" i="3"/>
  <c r="AL59" i="3"/>
  <c r="AU9" i="3"/>
  <c r="AL70" i="3"/>
  <c r="AL75" i="3"/>
  <c r="AL79" i="3"/>
  <c r="AO52" i="3"/>
  <c r="AI22" i="3"/>
  <c r="AN20" i="3"/>
  <c r="AY19" i="3"/>
  <c r="AY34" i="3"/>
  <c r="AV52" i="3"/>
  <c r="AS18" i="3"/>
  <c r="AS24" i="3"/>
  <c r="AS16" i="3"/>
  <c r="AS14" i="3"/>
  <c r="AJ63" i="3"/>
  <c r="AJ68" i="3"/>
  <c r="AS38" i="3"/>
  <c r="AJ73" i="3"/>
  <c r="AJ65" i="3"/>
  <c r="AJ69" i="3"/>
  <c r="AS48" i="3"/>
  <c r="AS4" i="3"/>
  <c r="AS15" i="3"/>
  <c r="AS37" i="3"/>
  <c r="AS32" i="3"/>
  <c r="AS50" i="3"/>
  <c r="AS51" i="3"/>
  <c r="AS17" i="3"/>
  <c r="AS12" i="3"/>
  <c r="AS39" i="3"/>
  <c r="AJ59" i="3"/>
  <c r="AJ70" i="3"/>
  <c r="AS23" i="3"/>
  <c r="AS29" i="3"/>
  <c r="AJ76" i="3"/>
  <c r="AJ74" i="3"/>
  <c r="AS8" i="3"/>
  <c r="AS13" i="3"/>
  <c r="AJ79" i="3"/>
  <c r="AS10" i="3"/>
  <c r="AJ72" i="3"/>
  <c r="AJ77" i="3"/>
  <c r="AJ75" i="3"/>
  <c r="AJ71" i="3"/>
  <c r="AS34" i="3"/>
  <c r="AS41" i="3"/>
  <c r="AS43" i="3"/>
  <c r="AS21" i="3"/>
  <c r="AS19" i="3"/>
  <c r="AJ61" i="3"/>
  <c r="AJ67" i="3"/>
  <c r="AJ81" i="3"/>
  <c r="AJ78" i="3"/>
  <c r="AS44" i="3"/>
  <c r="AS22" i="3"/>
  <c r="AS20" i="3"/>
  <c r="AS6" i="3"/>
  <c r="AS26" i="3"/>
  <c r="AS49" i="3"/>
  <c r="AS47" i="3"/>
  <c r="AS36" i="3"/>
  <c r="AJ80" i="3"/>
  <c r="AP52" i="3"/>
  <c r="AY28" i="3" s="1"/>
  <c r="AJ83" i="3"/>
  <c r="AU29" i="3"/>
  <c r="AU17" i="3"/>
  <c r="AJ82" i="3"/>
  <c r="AS31" i="3"/>
  <c r="AS45" i="3"/>
  <c r="AL74" i="3"/>
  <c r="AO51" i="3"/>
  <c r="AT39" i="3"/>
  <c r="AT36" i="3"/>
  <c r="AT31" i="3"/>
  <c r="AT23" i="3"/>
  <c r="AT15" i="3"/>
  <c r="AT14" i="3"/>
  <c r="AK75" i="3"/>
  <c r="AK67" i="3"/>
  <c r="AT24" i="3"/>
  <c r="AT42" i="3"/>
  <c r="AT46" i="3"/>
  <c r="AK63" i="3"/>
  <c r="AK65" i="3"/>
  <c r="AK80" i="3"/>
  <c r="AT45" i="3"/>
  <c r="AT6" i="3"/>
  <c r="AT34" i="3"/>
  <c r="AT43" i="3"/>
  <c r="AT20" i="3"/>
  <c r="AT12" i="3"/>
  <c r="AK73" i="3"/>
  <c r="AK71" i="3"/>
  <c r="AK81" i="3"/>
  <c r="AT40" i="3"/>
  <c r="AK78" i="3"/>
  <c r="AK82" i="3"/>
  <c r="AT50" i="3"/>
  <c r="AK61" i="3"/>
  <c r="AT21" i="3"/>
  <c r="AK77" i="3"/>
  <c r="AK68" i="3"/>
  <c r="AT18" i="3"/>
  <c r="AT16" i="3"/>
  <c r="AT26" i="3"/>
  <c r="AT5" i="3"/>
  <c r="AT32" i="3"/>
  <c r="AT27" i="3"/>
  <c r="AT29" i="3"/>
  <c r="AT33" i="3"/>
  <c r="AK69" i="3"/>
  <c r="AT25" i="3"/>
  <c r="AT13" i="3"/>
  <c r="AK79" i="3"/>
  <c r="AT8" i="3"/>
  <c r="AK76" i="3"/>
  <c r="AK70" i="3"/>
  <c r="AT37" i="3"/>
  <c r="AT22" i="3"/>
  <c r="AK60" i="3"/>
  <c r="AT10" i="3"/>
  <c r="AT47" i="3"/>
  <c r="AT51" i="3"/>
  <c r="AP71" i="3"/>
  <c r="AY16" i="3"/>
  <c r="AS40" i="3"/>
  <c r="AT44" i="3"/>
  <c r="AJ66" i="3"/>
  <c r="AS35" i="3"/>
  <c r="AK74" i="3"/>
  <c r="AL83" i="1"/>
  <c r="AL59" i="1"/>
  <c r="AJ83" i="1"/>
  <c r="AS14" i="1"/>
  <c r="AJ73" i="1"/>
  <c r="AS16" i="1"/>
  <c r="AT25" i="1"/>
  <c r="AK80" i="1"/>
  <c r="AJ69" i="1"/>
  <c r="AT32" i="1"/>
  <c r="AS42" i="1"/>
  <c r="AU28" i="1"/>
  <c r="AU4" i="1"/>
  <c r="AS24" i="1"/>
  <c r="AT4" i="1"/>
  <c r="AV25" i="1"/>
  <c r="AM59" i="1"/>
  <c r="AS4" i="1"/>
  <c r="AS29" i="1"/>
  <c r="AS5" i="1"/>
  <c r="AS46" i="1"/>
  <c r="AS6" i="1"/>
  <c r="AS9" i="1"/>
  <c r="AS26" i="1"/>
  <c r="AS10" i="1"/>
  <c r="AS15" i="1"/>
  <c r="AJ75" i="1"/>
  <c r="AS50" i="1"/>
  <c r="AS39" i="1"/>
  <c r="AS44" i="1"/>
  <c r="AJ80" i="1"/>
  <c r="AS22" i="1"/>
  <c r="AS36" i="1"/>
  <c r="AJ62" i="1"/>
  <c r="AJ66" i="1"/>
  <c r="AS17" i="1"/>
  <c r="AS19" i="1"/>
  <c r="AJ76" i="1"/>
  <c r="AJ78" i="1"/>
  <c r="AS27" i="1"/>
  <c r="AS25" i="1"/>
  <c r="AS30" i="1"/>
  <c r="AJ61" i="1"/>
  <c r="AJ64" i="1"/>
  <c r="AJ81" i="1"/>
  <c r="AS31" i="1"/>
  <c r="AS11" i="1"/>
  <c r="AJ70" i="1"/>
  <c r="AS21" i="1"/>
  <c r="AS23" i="1"/>
  <c r="AS43" i="1"/>
  <c r="AS32" i="1"/>
  <c r="AS37" i="1"/>
  <c r="AJ63" i="1"/>
  <c r="AJ65" i="1"/>
  <c r="AJ77" i="1"/>
  <c r="AS34" i="1"/>
  <c r="AJ72" i="1"/>
  <c r="AJ74" i="1"/>
  <c r="AS20" i="1"/>
  <c r="AJ59" i="1"/>
  <c r="AJ82" i="1"/>
  <c r="AS45" i="1"/>
  <c r="AS47" i="1"/>
  <c r="AS8" i="1"/>
  <c r="AS35" i="1"/>
  <c r="AS38" i="1"/>
  <c r="AS48" i="1"/>
  <c r="AS49" i="1"/>
  <c r="AS33" i="1"/>
  <c r="AJ60" i="1"/>
  <c r="AS7" i="1"/>
  <c r="AS41" i="1"/>
  <c r="AS51" i="1"/>
  <c r="AS12" i="1"/>
  <c r="AO51" i="1"/>
  <c r="AT44" i="1"/>
  <c r="AT35" i="1"/>
  <c r="AT17" i="1"/>
  <c r="AT9" i="1"/>
  <c r="AT14" i="1"/>
  <c r="AK71" i="1"/>
  <c r="AK65" i="1"/>
  <c r="AT13" i="1"/>
  <c r="AK73" i="1"/>
  <c r="AT24" i="1"/>
  <c r="AT28" i="1"/>
  <c r="AT46" i="1"/>
  <c r="AK76" i="1"/>
  <c r="AK78" i="1"/>
  <c r="AT23" i="1"/>
  <c r="AT31" i="1"/>
  <c r="AT39" i="1"/>
  <c r="AT27" i="1"/>
  <c r="AT29" i="1"/>
  <c r="AT41" i="1"/>
  <c r="AT43" i="1"/>
  <c r="AT49" i="1"/>
  <c r="AT47" i="1"/>
  <c r="AK63" i="1"/>
  <c r="AK62" i="1"/>
  <c r="AT6" i="1"/>
  <c r="AT19" i="1"/>
  <c r="AK70" i="1"/>
  <c r="AT42" i="1"/>
  <c r="AT8" i="1"/>
  <c r="AK72" i="1"/>
  <c r="AT7" i="1"/>
  <c r="AK64" i="1"/>
  <c r="AK69" i="1"/>
  <c r="AT26" i="1"/>
  <c r="AK82" i="1"/>
  <c r="AK60" i="1"/>
  <c r="AK67" i="1"/>
  <c r="AK61" i="1"/>
  <c r="AT16" i="1"/>
  <c r="AK74" i="1"/>
  <c r="AT10" i="1"/>
  <c r="AT18" i="1"/>
  <c r="AK75" i="1"/>
  <c r="AT22" i="1"/>
  <c r="AT30" i="1"/>
  <c r="AT21" i="1"/>
  <c r="AK66" i="1"/>
  <c r="AK77" i="1"/>
  <c r="AK79" i="1"/>
  <c r="AT48" i="1"/>
  <c r="AT33" i="1"/>
  <c r="AT36" i="1"/>
  <c r="AT11" i="1"/>
  <c r="AT5" i="1"/>
  <c r="AT12" i="1"/>
  <c r="AT15" i="1"/>
  <c r="AT20" i="1"/>
  <c r="AK81" i="1"/>
  <c r="AT34" i="1"/>
  <c r="AT45" i="1"/>
  <c r="AT51" i="1"/>
  <c r="AK68" i="1"/>
  <c r="AK83" i="1"/>
  <c r="AT38" i="1"/>
  <c r="AT40" i="1"/>
  <c r="AT50" i="1"/>
  <c r="AJ71" i="1"/>
  <c r="AS13" i="1"/>
  <c r="AP51" i="1"/>
  <c r="AV49" i="1"/>
  <c r="AV33" i="1"/>
  <c r="AV42" i="1"/>
  <c r="AV11" i="1"/>
  <c r="AV8" i="1"/>
  <c r="AV16" i="1"/>
  <c r="AV5" i="1"/>
  <c r="AV28" i="1"/>
  <c r="AV21" i="1"/>
  <c r="AM68" i="1"/>
  <c r="AV32" i="1"/>
  <c r="AV38" i="1"/>
  <c r="AV45" i="1"/>
  <c r="AV44" i="1"/>
  <c r="AM61" i="1"/>
  <c r="AV10" i="1"/>
  <c r="AM70" i="1"/>
  <c r="AM71" i="1"/>
  <c r="AM75" i="1"/>
  <c r="AM77" i="1"/>
  <c r="AM78" i="1"/>
  <c r="AM79" i="1"/>
  <c r="AM82" i="1"/>
  <c r="AV51" i="1"/>
  <c r="AV6" i="1"/>
  <c r="AM67" i="1"/>
  <c r="AV18" i="1"/>
  <c r="AV30" i="1"/>
  <c r="AV40" i="1"/>
  <c r="AV20" i="1"/>
  <c r="AM76" i="1"/>
  <c r="AV22" i="1"/>
  <c r="AV23" i="1"/>
  <c r="AV34" i="1"/>
  <c r="AV47" i="1"/>
  <c r="AM65" i="1"/>
  <c r="AV12" i="1"/>
  <c r="AM69" i="1"/>
  <c r="AM64" i="1"/>
  <c r="AM81" i="1"/>
  <c r="AV46" i="1"/>
  <c r="AV37" i="1"/>
  <c r="AM74" i="1"/>
  <c r="AV29" i="1"/>
  <c r="AV35" i="1"/>
  <c r="AV41" i="1"/>
  <c r="AV50" i="1"/>
  <c r="AV39" i="1"/>
  <c r="AV43" i="1"/>
  <c r="AV48" i="1"/>
  <c r="AM66" i="1"/>
  <c r="AV14" i="1"/>
  <c r="AM62" i="1"/>
  <c r="AV9" i="1"/>
  <c r="AV13" i="1"/>
  <c r="AM73" i="1"/>
  <c r="AV26" i="1"/>
  <c r="AM72" i="1"/>
  <c r="AV19" i="1"/>
  <c r="AV36" i="1"/>
  <c r="AM63" i="1"/>
  <c r="AV15" i="1"/>
  <c r="AM60" i="1"/>
  <c r="AV7" i="1"/>
  <c r="AV17" i="1"/>
  <c r="AM83" i="1"/>
  <c r="AV24" i="1"/>
  <c r="AV27" i="1"/>
  <c r="AI9" i="1"/>
  <c r="AN7" i="1"/>
  <c r="AS40" i="1"/>
  <c r="AJ67" i="1"/>
  <c r="AV31" i="1"/>
  <c r="AK59" i="1"/>
  <c r="AS18" i="1"/>
  <c r="AV4" i="1"/>
  <c r="AU47" i="1"/>
  <c r="AL63" i="1"/>
  <c r="AU30" i="1"/>
  <c r="AL60" i="1"/>
  <c r="AU9" i="1"/>
  <c r="AL66" i="1"/>
  <c r="AU6" i="1"/>
  <c r="AL70" i="1"/>
  <c r="AL71" i="1"/>
  <c r="AU29" i="1"/>
  <c r="AL69" i="1"/>
  <c r="AU19" i="1"/>
  <c r="AU35" i="1"/>
  <c r="AU41" i="1"/>
  <c r="AU51" i="1"/>
  <c r="AU12" i="1"/>
  <c r="AL68" i="1"/>
  <c r="AL77" i="1"/>
  <c r="AU10" i="1"/>
  <c r="AL82" i="1"/>
  <c r="AL64" i="1"/>
  <c r="AU13" i="1"/>
  <c r="AU38" i="1"/>
  <c r="AU22" i="1"/>
  <c r="AU43" i="1"/>
  <c r="AU48" i="1"/>
  <c r="AU8" i="1"/>
  <c r="AL72" i="1"/>
  <c r="AU27" i="1"/>
  <c r="AU5" i="1"/>
  <c r="AL62" i="1"/>
  <c r="AU11" i="1"/>
  <c r="AL67" i="1"/>
  <c r="AU15" i="1"/>
  <c r="AU16" i="1"/>
  <c r="AU46" i="1"/>
  <c r="AL76" i="1"/>
  <c r="AL78" i="1"/>
  <c r="AL80" i="1"/>
  <c r="AU34" i="1"/>
  <c r="AU50" i="1"/>
  <c r="AL65" i="1"/>
  <c r="AU44" i="1"/>
  <c r="AU49" i="1"/>
  <c r="AU17" i="1"/>
  <c r="AU7" i="1"/>
  <c r="AU37" i="1"/>
  <c r="AU21" i="1"/>
  <c r="AU23" i="1"/>
  <c r="AU25" i="1"/>
  <c r="AU14" i="1"/>
  <c r="AL75" i="1"/>
  <c r="AU32" i="1"/>
  <c r="AU39" i="1"/>
  <c r="AL61" i="1"/>
  <c r="AL74" i="1"/>
  <c r="AU20" i="1"/>
  <c r="AU31" i="1"/>
  <c r="AU36" i="1"/>
  <c r="AU33" i="1"/>
  <c r="AU45" i="1"/>
  <c r="AU18" i="1"/>
  <c r="AJ68" i="1"/>
  <c r="CS111" i="10" l="1"/>
  <c r="DB111" i="10"/>
  <c r="BS53" i="8"/>
  <c r="CK5" i="8"/>
  <c r="CK53" i="8" s="1"/>
  <c r="BT53" i="8"/>
  <c r="CL5" i="8"/>
  <c r="CL53" i="8" s="1"/>
  <c r="BM53" i="8"/>
  <c r="CM5" i="8"/>
  <c r="CM53" i="8" s="1"/>
  <c r="BU53" i="8"/>
  <c r="BO53" i="8"/>
  <c r="BV53" i="8" s="1"/>
  <c r="CG5" i="8"/>
  <c r="CH5" i="8"/>
  <c r="CH53" i="8" s="1"/>
  <c r="BP53" i="8"/>
  <c r="AP83" i="3"/>
  <c r="AO83" i="4"/>
  <c r="AI10" i="4"/>
  <c r="AP59" i="4"/>
  <c r="AP63" i="4"/>
  <c r="AP61" i="4"/>
  <c r="AP58" i="4"/>
  <c r="AP79" i="4"/>
  <c r="AP66" i="4"/>
  <c r="AP62" i="4"/>
  <c r="AP60" i="4"/>
  <c r="AP64" i="4"/>
  <c r="AP80" i="4"/>
  <c r="AP65" i="4"/>
  <c r="AP73" i="4"/>
  <c r="AP76" i="4"/>
  <c r="AP67" i="4"/>
  <c r="AP75" i="4"/>
  <c r="AP81" i="4"/>
  <c r="AP74" i="4"/>
  <c r="AP82" i="4"/>
  <c r="AP70" i="4"/>
  <c r="AP69" i="4"/>
  <c r="AP77" i="4"/>
  <c r="AP68" i="4"/>
  <c r="AP71" i="4"/>
  <c r="AP72" i="4"/>
  <c r="AP78" i="4"/>
  <c r="AP74" i="3"/>
  <c r="AY27" i="3"/>
  <c r="AY23" i="3"/>
  <c r="AY40" i="3"/>
  <c r="AT52" i="3"/>
  <c r="AK84" i="3"/>
  <c r="AY18" i="3"/>
  <c r="AS52" i="3"/>
  <c r="AX17" i="3"/>
  <c r="AX26" i="3"/>
  <c r="AX12" i="3"/>
  <c r="AX46" i="3"/>
  <c r="AX25" i="3"/>
  <c r="AO74" i="3"/>
  <c r="AO83" i="3"/>
  <c r="AO80" i="3"/>
  <c r="AX31" i="3"/>
  <c r="AX32" i="3"/>
  <c r="AX19" i="3"/>
  <c r="AX28" i="3"/>
  <c r="AO72" i="3"/>
  <c r="AO81" i="3"/>
  <c r="AO67" i="3"/>
  <c r="AX50" i="3"/>
  <c r="AX42" i="3"/>
  <c r="AX48" i="3"/>
  <c r="AO78" i="3"/>
  <c r="AX44" i="3"/>
  <c r="AO66" i="3"/>
  <c r="AX39" i="3"/>
  <c r="AX33" i="3"/>
  <c r="AX15" i="3"/>
  <c r="AX9" i="3"/>
  <c r="AO69" i="3"/>
  <c r="AX4" i="3"/>
  <c r="AX20" i="3"/>
  <c r="AO76" i="3"/>
  <c r="AO82" i="3"/>
  <c r="AX24" i="3"/>
  <c r="AX8" i="3"/>
  <c r="AX13" i="3"/>
  <c r="AX41" i="3"/>
  <c r="AX38" i="3"/>
  <c r="AX27" i="3"/>
  <c r="AO70" i="3"/>
  <c r="AO64" i="3"/>
  <c r="AO75" i="3"/>
  <c r="AX40" i="3"/>
  <c r="AO79" i="3"/>
  <c r="AO63" i="3"/>
  <c r="AX23" i="3"/>
  <c r="AX49" i="3"/>
  <c r="AO77" i="3"/>
  <c r="AX11" i="3"/>
  <c r="AX30" i="3"/>
  <c r="AX47" i="3"/>
  <c r="AO68" i="3"/>
  <c r="AX14" i="3"/>
  <c r="AO62" i="3"/>
  <c r="AX45" i="3"/>
  <c r="AX22" i="3"/>
  <c r="AO60" i="3"/>
  <c r="AX35" i="3"/>
  <c r="AO59" i="3"/>
  <c r="AX7" i="3"/>
  <c r="AX21" i="3"/>
  <c r="AX36" i="3"/>
  <c r="AX5" i="3"/>
  <c r="AO73" i="3"/>
  <c r="AX29" i="3"/>
  <c r="AI23" i="3"/>
  <c r="AN21" i="3"/>
  <c r="AX16" i="3"/>
  <c r="AP67" i="3"/>
  <c r="AY9" i="3"/>
  <c r="AY20" i="3"/>
  <c r="AP61" i="3"/>
  <c r="AP65" i="3"/>
  <c r="AY22" i="3"/>
  <c r="AY49" i="3"/>
  <c r="AY14" i="3"/>
  <c r="AY12" i="3"/>
  <c r="AP62" i="3"/>
  <c r="AY6" i="3"/>
  <c r="AY10" i="3"/>
  <c r="AY48" i="3"/>
  <c r="AY32" i="3"/>
  <c r="AY42" i="3"/>
  <c r="AY7" i="3"/>
  <c r="AP63" i="3"/>
  <c r="AP66" i="3"/>
  <c r="AP69" i="3"/>
  <c r="AY38" i="3"/>
  <c r="AP80" i="3"/>
  <c r="AY50" i="3"/>
  <c r="AP64" i="3"/>
  <c r="AP75" i="3"/>
  <c r="AY8" i="3"/>
  <c r="AY11" i="3"/>
  <c r="AP77" i="3"/>
  <c r="AY35" i="3"/>
  <c r="AY25" i="3"/>
  <c r="AY37" i="3"/>
  <c r="AY39" i="3"/>
  <c r="AY36" i="3"/>
  <c r="AY26" i="3"/>
  <c r="AP76" i="3"/>
  <c r="AP60" i="3"/>
  <c r="AY41" i="3"/>
  <c r="AY4" i="3"/>
  <c r="AP72" i="3"/>
  <c r="AP68" i="3"/>
  <c r="AY44" i="3"/>
  <c r="AY46" i="3"/>
  <c r="AY43" i="3"/>
  <c r="AP79" i="3"/>
  <c r="AY29" i="3"/>
  <c r="AY21" i="3"/>
  <c r="AY5" i="3"/>
  <c r="AY24" i="3"/>
  <c r="AY33" i="3"/>
  <c r="AY47" i="3"/>
  <c r="AY30" i="3"/>
  <c r="AY17" i="3"/>
  <c r="AP81" i="3"/>
  <c r="AY13" i="3"/>
  <c r="AY31" i="3"/>
  <c r="AP59" i="3"/>
  <c r="AX10" i="3"/>
  <c r="AO61" i="3"/>
  <c r="AO71" i="3"/>
  <c r="AX43" i="3"/>
  <c r="AP82" i="3"/>
  <c r="AP78" i="3"/>
  <c r="AY15" i="3"/>
  <c r="AX6" i="3"/>
  <c r="AX51" i="3"/>
  <c r="AY45" i="3"/>
  <c r="AJ84" i="3"/>
  <c r="AX37" i="3"/>
  <c r="AO65" i="3"/>
  <c r="AX34" i="3"/>
  <c r="AL84" i="3"/>
  <c r="AU52" i="3"/>
  <c r="AX18" i="3"/>
  <c r="AP70" i="3"/>
  <c r="AU52" i="1"/>
  <c r="AL84" i="1"/>
  <c r="AI10" i="1"/>
  <c r="AN8" i="1"/>
  <c r="AM84" i="1"/>
  <c r="AS52" i="1"/>
  <c r="AV52" i="1"/>
  <c r="AK84" i="1"/>
  <c r="AO52" i="1"/>
  <c r="AJ84" i="1"/>
  <c r="AT52" i="1"/>
  <c r="AP52" i="1"/>
  <c r="AI11" i="4" l="1"/>
  <c r="AP83" i="4"/>
  <c r="AP84" i="3"/>
  <c r="AX52" i="3"/>
  <c r="AY52" i="3"/>
  <c r="AI24" i="3"/>
  <c r="AN22" i="3"/>
  <c r="AO84" i="3"/>
  <c r="AY47" i="1"/>
  <c r="AY38" i="1"/>
  <c r="AY12" i="1"/>
  <c r="AP68" i="1"/>
  <c r="AY37" i="1"/>
  <c r="AY21" i="1"/>
  <c r="AY23" i="1"/>
  <c r="AY28" i="1"/>
  <c r="AP75" i="1"/>
  <c r="AP77" i="1"/>
  <c r="AY39" i="1"/>
  <c r="AY31" i="1"/>
  <c r="AY27" i="1"/>
  <c r="AY50" i="1"/>
  <c r="AP67" i="1"/>
  <c r="AY46" i="1"/>
  <c r="AP76" i="1"/>
  <c r="AP83" i="1"/>
  <c r="AY34" i="1"/>
  <c r="AY13" i="1"/>
  <c r="AP74" i="1"/>
  <c r="AY35" i="1"/>
  <c r="AY20" i="1"/>
  <c r="AY22" i="1"/>
  <c r="AY43" i="1"/>
  <c r="AY48" i="1"/>
  <c r="AP71" i="1"/>
  <c r="AY19" i="1"/>
  <c r="AY16" i="1"/>
  <c r="AP78" i="1"/>
  <c r="AP82" i="1"/>
  <c r="AY49" i="1"/>
  <c r="AP70" i="1"/>
  <c r="AP64" i="1"/>
  <c r="AY14" i="1"/>
  <c r="AP61" i="1"/>
  <c r="AY11" i="1"/>
  <c r="AY5" i="1"/>
  <c r="AY26" i="1"/>
  <c r="AP59" i="1"/>
  <c r="AY7" i="1"/>
  <c r="AY24" i="1"/>
  <c r="AY8" i="1"/>
  <c r="AP69" i="1"/>
  <c r="AY36" i="1"/>
  <c r="AP66" i="1"/>
  <c r="AY40" i="1"/>
  <c r="AP80" i="1"/>
  <c r="AP81" i="1"/>
  <c r="AY4" i="1"/>
  <c r="AY44" i="1"/>
  <c r="AY15" i="1"/>
  <c r="AY9" i="1"/>
  <c r="AY45" i="1"/>
  <c r="AP73" i="1"/>
  <c r="AY29" i="1"/>
  <c r="AY6" i="1"/>
  <c r="AP72" i="1"/>
  <c r="AP65" i="1"/>
  <c r="AY25" i="1"/>
  <c r="AY41" i="1"/>
  <c r="AP62" i="1"/>
  <c r="AY32" i="1"/>
  <c r="AP79" i="1"/>
  <c r="AP63" i="1"/>
  <c r="AY42" i="1"/>
  <c r="AY18" i="1"/>
  <c r="AY17" i="1"/>
  <c r="AY10" i="1"/>
  <c r="AY33" i="1"/>
  <c r="AP60" i="1"/>
  <c r="AY30" i="1"/>
  <c r="AO61" i="1"/>
  <c r="AX11" i="1"/>
  <c r="AX19" i="1"/>
  <c r="AX23" i="1"/>
  <c r="AX20" i="1"/>
  <c r="AX34" i="1"/>
  <c r="AX8" i="1"/>
  <c r="AX21" i="1"/>
  <c r="AO68" i="1"/>
  <c r="AO77" i="1"/>
  <c r="AX28" i="1"/>
  <c r="AX40" i="1"/>
  <c r="AO75" i="1"/>
  <c r="AX22" i="1"/>
  <c r="AX35" i="1"/>
  <c r="AX6" i="1"/>
  <c r="AO64" i="1"/>
  <c r="AO63" i="1"/>
  <c r="AO76" i="1"/>
  <c r="AX4" i="1"/>
  <c r="AO83" i="1"/>
  <c r="AX30" i="1"/>
  <c r="AX9" i="1"/>
  <c r="AX41" i="1"/>
  <c r="AX48" i="1"/>
  <c r="AX43" i="1"/>
  <c r="AO66" i="1"/>
  <c r="AO74" i="1"/>
  <c r="AO78" i="1"/>
  <c r="AO59" i="1"/>
  <c r="AX13" i="1"/>
  <c r="AX50" i="1"/>
  <c r="AX39" i="1"/>
  <c r="AO70" i="1"/>
  <c r="AO60" i="1"/>
  <c r="AX32" i="1"/>
  <c r="AX26" i="1"/>
  <c r="AX10" i="1"/>
  <c r="AO79" i="1"/>
  <c r="AX16" i="1"/>
  <c r="AX29" i="1"/>
  <c r="AX25" i="1"/>
  <c r="AX49" i="1"/>
  <c r="AX14" i="1"/>
  <c r="AX37" i="1"/>
  <c r="AX12" i="1"/>
  <c r="AX7" i="1"/>
  <c r="AX36" i="1"/>
  <c r="AO81" i="1"/>
  <c r="AO71" i="1"/>
  <c r="AX42" i="1"/>
  <c r="AX17" i="1"/>
  <c r="AX33" i="1"/>
  <c r="AO80" i="1"/>
  <c r="AX47" i="1"/>
  <c r="AX15" i="1"/>
  <c r="AX5" i="1"/>
  <c r="AX45" i="1"/>
  <c r="AO67" i="1"/>
  <c r="AX24" i="1"/>
  <c r="AX44" i="1"/>
  <c r="AO82" i="1"/>
  <c r="AO62" i="1"/>
  <c r="AX46" i="1"/>
  <c r="AX38" i="1"/>
  <c r="AO72" i="1"/>
  <c r="AX27" i="1"/>
  <c r="AO73" i="1"/>
  <c r="AO65" i="1"/>
  <c r="AO69" i="1"/>
  <c r="AX18" i="1"/>
  <c r="AX31" i="1"/>
  <c r="AI11" i="1"/>
  <c r="AN9" i="1"/>
  <c r="AX51" i="1"/>
  <c r="AY51" i="1"/>
  <c r="AI12" i="4" l="1"/>
  <c r="AI25" i="3"/>
  <c r="AN23" i="3"/>
  <c r="AN10" i="1"/>
  <c r="AI12" i="1"/>
  <c r="AO84" i="1"/>
  <c r="AX52" i="1"/>
  <c r="AY52" i="1"/>
  <c r="AP84" i="1"/>
  <c r="AI13" i="4" l="1"/>
  <c r="AI26" i="3"/>
  <c r="AN24" i="3"/>
  <c r="AI13" i="1"/>
  <c r="AN11" i="1"/>
  <c r="AI14" i="4" l="1"/>
  <c r="AI27" i="3"/>
  <c r="AN25" i="3"/>
  <c r="AI14" i="1"/>
  <c r="AN12" i="1"/>
  <c r="AI15" i="4" l="1"/>
  <c r="AI28" i="3"/>
  <c r="AN26" i="3"/>
  <c r="AI15" i="1"/>
  <c r="AN13" i="1"/>
  <c r="AI16" i="4" l="1"/>
  <c r="AI29" i="3"/>
  <c r="AN27" i="3"/>
  <c r="AI16" i="1"/>
  <c r="AN14" i="1"/>
  <c r="AI17" i="4" l="1"/>
  <c r="AI30" i="3"/>
  <c r="AN28" i="3"/>
  <c r="AI17" i="1"/>
  <c r="AN15" i="1"/>
  <c r="AI18" i="4" l="1"/>
  <c r="AI31" i="3"/>
  <c r="AN29" i="3"/>
  <c r="AI18" i="1"/>
  <c r="AN16" i="1"/>
  <c r="AI19" i="4" l="1"/>
  <c r="AI32" i="3"/>
  <c r="AN30" i="3"/>
  <c r="AI19" i="1"/>
  <c r="AN17" i="1"/>
  <c r="AI20" i="4" l="1"/>
  <c r="AI33" i="3"/>
  <c r="AN31" i="3"/>
  <c r="AI20" i="1"/>
  <c r="AN18" i="1"/>
  <c r="AI21" i="4" l="1"/>
  <c r="AI34" i="3"/>
  <c r="AN32" i="3"/>
  <c r="AI21" i="1"/>
  <c r="AN19" i="1"/>
  <c r="AI22" i="4" l="1"/>
  <c r="AI35" i="3"/>
  <c r="AN33" i="3"/>
  <c r="AI22" i="1"/>
  <c r="AN20" i="1"/>
  <c r="AI23" i="4" l="1"/>
  <c r="AI36" i="3"/>
  <c r="AN34" i="3"/>
  <c r="AI23" i="1"/>
  <c r="AN21" i="1"/>
  <c r="AI24" i="4" l="1"/>
  <c r="AI37" i="3"/>
  <c r="AN35" i="3"/>
  <c r="AI24" i="1"/>
  <c r="AN22" i="1"/>
  <c r="AI25" i="4" l="1"/>
  <c r="AI38" i="3"/>
  <c r="AN36" i="3"/>
  <c r="AI25" i="1"/>
  <c r="AN23" i="1"/>
  <c r="AI26" i="4" l="1"/>
  <c r="AI39" i="3"/>
  <c r="AN37" i="3"/>
  <c r="AI26" i="1"/>
  <c r="AN24" i="1"/>
  <c r="AI27" i="4" l="1"/>
  <c r="AI40" i="3"/>
  <c r="AN38" i="3"/>
  <c r="AI27" i="1"/>
  <c r="AN25" i="1"/>
  <c r="AI28" i="4" l="1"/>
  <c r="AI41" i="3"/>
  <c r="AN39" i="3"/>
  <c r="AI28" i="1"/>
  <c r="AN26" i="1"/>
  <c r="AI29" i="4" l="1"/>
  <c r="AI42" i="3"/>
  <c r="AN40" i="3"/>
  <c r="AI29" i="1"/>
  <c r="AN27" i="1"/>
  <c r="AI30" i="4" l="1"/>
  <c r="AI43" i="3"/>
  <c r="AN41" i="3"/>
  <c r="AI30" i="1"/>
  <c r="AN28" i="1"/>
  <c r="AI31" i="4" l="1"/>
  <c r="AI44" i="3"/>
  <c r="AN42" i="3"/>
  <c r="AI31" i="1"/>
  <c r="AN29" i="1"/>
  <c r="AI32" i="4" l="1"/>
  <c r="AI45" i="3"/>
  <c r="AN43" i="3"/>
  <c r="AI32" i="1"/>
  <c r="AN30" i="1"/>
  <c r="AI33" i="4" l="1"/>
  <c r="AI46" i="3"/>
  <c r="AN44" i="3"/>
  <c r="AI33" i="1"/>
  <c r="AN31" i="1"/>
  <c r="AI34" i="4" l="1"/>
  <c r="AI47" i="3"/>
  <c r="AN45" i="3"/>
  <c r="AI34" i="1"/>
  <c r="AN32" i="1"/>
  <c r="AI35" i="4" l="1"/>
  <c r="AI48" i="3"/>
  <c r="AN46" i="3"/>
  <c r="AI35" i="1"/>
  <c r="AN33" i="1"/>
  <c r="AI36" i="4" l="1"/>
  <c r="AI49" i="3"/>
  <c r="AN47" i="3"/>
  <c r="AI36" i="1"/>
  <c r="AN34" i="1"/>
  <c r="AI37" i="4" l="1"/>
  <c r="AI50" i="3"/>
  <c r="AN48" i="3"/>
  <c r="AN35" i="1"/>
  <c r="AI37" i="1"/>
  <c r="AI38" i="4" l="1"/>
  <c r="AI51" i="3"/>
  <c r="AN50" i="3" s="1"/>
  <c r="AN49" i="3"/>
  <c r="AI38" i="1"/>
  <c r="AN36" i="1"/>
  <c r="AI39" i="4" l="1"/>
  <c r="AN52" i="3"/>
  <c r="AI39" i="1"/>
  <c r="AN37" i="1"/>
  <c r="AI40" i="4" l="1"/>
  <c r="AN53" i="3"/>
  <c r="AN60" i="3"/>
  <c r="AW51" i="3"/>
  <c r="BF51" i="3" s="1"/>
  <c r="AW5" i="3"/>
  <c r="AW13" i="3"/>
  <c r="BF13" i="3" s="1"/>
  <c r="AW9" i="3"/>
  <c r="BF9" i="3" s="1"/>
  <c r="AN67" i="3"/>
  <c r="AW8" i="3"/>
  <c r="AW6" i="3"/>
  <c r="BF6" i="3" s="1"/>
  <c r="AW16" i="3"/>
  <c r="BF16" i="3" s="1"/>
  <c r="AN69" i="3"/>
  <c r="AW15" i="3"/>
  <c r="AN59" i="3"/>
  <c r="AW14" i="3"/>
  <c r="BF14" i="3" s="1"/>
  <c r="AN65" i="3"/>
  <c r="AN68" i="3"/>
  <c r="AN64" i="3"/>
  <c r="AW4" i="3"/>
  <c r="AW17" i="3"/>
  <c r="BF17" i="3" s="1"/>
  <c r="AW12" i="3"/>
  <c r="AN66" i="3"/>
  <c r="AN62" i="3"/>
  <c r="AW11" i="3"/>
  <c r="BF11" i="3" s="1"/>
  <c r="AN72" i="3"/>
  <c r="AW10" i="3"/>
  <c r="BF10" i="3" s="1"/>
  <c r="AW7" i="3"/>
  <c r="BF7" i="3" s="1"/>
  <c r="AN63" i="3"/>
  <c r="AN61" i="3"/>
  <c r="AN71" i="3"/>
  <c r="AN70" i="3"/>
  <c r="AW19" i="3"/>
  <c r="BF19" i="3" s="1"/>
  <c r="AW18" i="3"/>
  <c r="AM53" i="3"/>
  <c r="AL53" i="3"/>
  <c r="AN73" i="3"/>
  <c r="AJ53" i="3"/>
  <c r="AK53" i="3"/>
  <c r="AN74" i="3"/>
  <c r="AK85" i="3"/>
  <c r="AO53" i="3"/>
  <c r="AN75" i="3"/>
  <c r="AM85" i="3"/>
  <c r="AW20" i="3"/>
  <c r="BF20" i="3" s="1"/>
  <c r="AP53" i="3"/>
  <c r="AW21" i="3"/>
  <c r="BF21" i="3" s="1"/>
  <c r="AJ85" i="3"/>
  <c r="AN76" i="3"/>
  <c r="AL85" i="3"/>
  <c r="AN77" i="3"/>
  <c r="AW22" i="3"/>
  <c r="BF22" i="3" s="1"/>
  <c r="AP85" i="3"/>
  <c r="AO85" i="3"/>
  <c r="AW23" i="3"/>
  <c r="BF23" i="3" s="1"/>
  <c r="AN78" i="3"/>
  <c r="AN79" i="3"/>
  <c r="AW24" i="3"/>
  <c r="BF24" i="3" s="1"/>
  <c r="AN80" i="3"/>
  <c r="AW25" i="3"/>
  <c r="BF25" i="3" s="1"/>
  <c r="AN81" i="3"/>
  <c r="AW26" i="3"/>
  <c r="BF26" i="3" s="1"/>
  <c r="AN82" i="3"/>
  <c r="AW27" i="3"/>
  <c r="BF27" i="3" s="1"/>
  <c r="AN83" i="3"/>
  <c r="AW28" i="3"/>
  <c r="BF28" i="3" s="1"/>
  <c r="AW29" i="3"/>
  <c r="BF29" i="3" s="1"/>
  <c r="AW30" i="3"/>
  <c r="BF30" i="3" s="1"/>
  <c r="AW31" i="3"/>
  <c r="BF31" i="3" s="1"/>
  <c r="AW32" i="3"/>
  <c r="BF32" i="3" s="1"/>
  <c r="AW33" i="3"/>
  <c r="BF33" i="3" s="1"/>
  <c r="AW34" i="3"/>
  <c r="BF34" i="3" s="1"/>
  <c r="AW35" i="3"/>
  <c r="BF35" i="3" s="1"/>
  <c r="AW36" i="3"/>
  <c r="BF36" i="3" s="1"/>
  <c r="AW37" i="3"/>
  <c r="BF37" i="3" s="1"/>
  <c r="AW38" i="3"/>
  <c r="BF38" i="3" s="1"/>
  <c r="AW39" i="3"/>
  <c r="BF39" i="3" s="1"/>
  <c r="AW40" i="3"/>
  <c r="BF40" i="3" s="1"/>
  <c r="AW41" i="3"/>
  <c r="BF41" i="3" s="1"/>
  <c r="AW42" i="3"/>
  <c r="BF42" i="3" s="1"/>
  <c r="AW43" i="3"/>
  <c r="BF43" i="3" s="1"/>
  <c r="AW44" i="3"/>
  <c r="BF44" i="3" s="1"/>
  <c r="AW45" i="3"/>
  <c r="BF45" i="3" s="1"/>
  <c r="AW46" i="3"/>
  <c r="BF46" i="3" s="1"/>
  <c r="AW47" i="3"/>
  <c r="BF47" i="3" s="1"/>
  <c r="AW48" i="3"/>
  <c r="BF48" i="3" s="1"/>
  <c r="AW50" i="3"/>
  <c r="BF50" i="3" s="1"/>
  <c r="AW49" i="3"/>
  <c r="BF49" i="3" s="1"/>
  <c r="AI40" i="1"/>
  <c r="AN38" i="1"/>
  <c r="BF18" i="3" l="1"/>
  <c r="BF12" i="3"/>
  <c r="BF15" i="3"/>
  <c r="BF8" i="3"/>
  <c r="BF5" i="3"/>
  <c r="AI41" i="4"/>
  <c r="BB25" i="3"/>
  <c r="BB30" i="3"/>
  <c r="BB46" i="3"/>
  <c r="BB11" i="3"/>
  <c r="BB7" i="3"/>
  <c r="BB5" i="3"/>
  <c r="BB9" i="3"/>
  <c r="BB42" i="3"/>
  <c r="BB13" i="3"/>
  <c r="BB4" i="3"/>
  <c r="BB35" i="3"/>
  <c r="BB20" i="3"/>
  <c r="BB37" i="3"/>
  <c r="BB19" i="3"/>
  <c r="BB32" i="3"/>
  <c r="BB22" i="3"/>
  <c r="BB15" i="3"/>
  <c r="BB26" i="3"/>
  <c r="BB36" i="3"/>
  <c r="BB45" i="3"/>
  <c r="BB10" i="3"/>
  <c r="BB23" i="3"/>
  <c r="BB17" i="3"/>
  <c r="BB12" i="3"/>
  <c r="BB51" i="3"/>
  <c r="BB29" i="3"/>
  <c r="BB14" i="3"/>
  <c r="BB21" i="3"/>
  <c r="BB24" i="3"/>
  <c r="BB40" i="3"/>
  <c r="BB34" i="3"/>
  <c r="BB48" i="3"/>
  <c r="BB31" i="3"/>
  <c r="BB43" i="3"/>
  <c r="BB18" i="3"/>
  <c r="BB50" i="3"/>
  <c r="BB44" i="3"/>
  <c r="BB38" i="3"/>
  <c r="BB33" i="3"/>
  <c r="BB41" i="3"/>
  <c r="BB8" i="3"/>
  <c r="BB28" i="3"/>
  <c r="BB47" i="3"/>
  <c r="BB39" i="3"/>
  <c r="BB6" i="3"/>
  <c r="BB16" i="3"/>
  <c r="BB49" i="3"/>
  <c r="BB27" i="3"/>
  <c r="BD44" i="3"/>
  <c r="BD35" i="3"/>
  <c r="BD27" i="3"/>
  <c r="BD26" i="3"/>
  <c r="BD46" i="3"/>
  <c r="BD14" i="3"/>
  <c r="BD36" i="3"/>
  <c r="BD6" i="3"/>
  <c r="BD45" i="3"/>
  <c r="BD41" i="3"/>
  <c r="BD32" i="3"/>
  <c r="BD43" i="3"/>
  <c r="BD34" i="3"/>
  <c r="BD28" i="3"/>
  <c r="BD24" i="3"/>
  <c r="BD49" i="3"/>
  <c r="BD23" i="3"/>
  <c r="BD21" i="3"/>
  <c r="BD51" i="3"/>
  <c r="BD19" i="3"/>
  <c r="BD11" i="3"/>
  <c r="BD31" i="3"/>
  <c r="BD16" i="3"/>
  <c r="BD20" i="3"/>
  <c r="BD12" i="3"/>
  <c r="BD8" i="3"/>
  <c r="BD29" i="3"/>
  <c r="BD7" i="3"/>
  <c r="BD33" i="3"/>
  <c r="BD9" i="3"/>
  <c r="BD38" i="3"/>
  <c r="BD47" i="3"/>
  <c r="BD5" i="3"/>
  <c r="BD10" i="3"/>
  <c r="BD48" i="3"/>
  <c r="BD37" i="3"/>
  <c r="BD13" i="3"/>
  <c r="BD39" i="3"/>
  <c r="BD50" i="3"/>
  <c r="BD42" i="3"/>
  <c r="BD17" i="3"/>
  <c r="BD15" i="3"/>
  <c r="BD18" i="3"/>
  <c r="BD4" i="3"/>
  <c r="BD30" i="3"/>
  <c r="BD40" i="3"/>
  <c r="BD25" i="3"/>
  <c r="BD22" i="3"/>
  <c r="AW52" i="3"/>
  <c r="BF4" i="3"/>
  <c r="BF52" i="3" s="1"/>
  <c r="BH51" i="3"/>
  <c r="BH23" i="3"/>
  <c r="BH18" i="3"/>
  <c r="BH16" i="3"/>
  <c r="BH40" i="3"/>
  <c r="BH34" i="3"/>
  <c r="BH19" i="3"/>
  <c r="BH28" i="3"/>
  <c r="BH27" i="3"/>
  <c r="BH33" i="3"/>
  <c r="BH10" i="3"/>
  <c r="BH45" i="3"/>
  <c r="BH20" i="3"/>
  <c r="BH31" i="3"/>
  <c r="BH37" i="3"/>
  <c r="BH22" i="3"/>
  <c r="BH7" i="3"/>
  <c r="BH42" i="3"/>
  <c r="BH21" i="3"/>
  <c r="BH26" i="3"/>
  <c r="BH12" i="3"/>
  <c r="BH36" i="3"/>
  <c r="BH24" i="3"/>
  <c r="BH50" i="3"/>
  <c r="BH17" i="3"/>
  <c r="BH38" i="3"/>
  <c r="BH6" i="3"/>
  <c r="BH43" i="3"/>
  <c r="BH32" i="3"/>
  <c r="BH35" i="3"/>
  <c r="BH39" i="3"/>
  <c r="BH47" i="3"/>
  <c r="BH4" i="3"/>
  <c r="BH44" i="3"/>
  <c r="BH30" i="3"/>
  <c r="BH11" i="3"/>
  <c r="BH9" i="3"/>
  <c r="BH29" i="3"/>
  <c r="BH14" i="3"/>
  <c r="BH49" i="3"/>
  <c r="BH15" i="3"/>
  <c r="BH46" i="3"/>
  <c r="BH25" i="3"/>
  <c r="BH5" i="3"/>
  <c r="BH41" i="3"/>
  <c r="BH13" i="3"/>
  <c r="BH8" i="3"/>
  <c r="BH48" i="3"/>
  <c r="BG33" i="3"/>
  <c r="BG48" i="3"/>
  <c r="BG29" i="3"/>
  <c r="BG9" i="3"/>
  <c r="BG17" i="3"/>
  <c r="BG24" i="3"/>
  <c r="BG43" i="3"/>
  <c r="BG39" i="3"/>
  <c r="BG6" i="3"/>
  <c r="BG40" i="3"/>
  <c r="BG15" i="3"/>
  <c r="BG46" i="3"/>
  <c r="BG12" i="3"/>
  <c r="BG11" i="3"/>
  <c r="BG18" i="3"/>
  <c r="BG22" i="3"/>
  <c r="BG31" i="3"/>
  <c r="BG35" i="3"/>
  <c r="BG34" i="3"/>
  <c r="BG47" i="3"/>
  <c r="BG8" i="3"/>
  <c r="BG50" i="3"/>
  <c r="BG38" i="3"/>
  <c r="BG37" i="3"/>
  <c r="BG41" i="3"/>
  <c r="BG13" i="3"/>
  <c r="BG25" i="3"/>
  <c r="BG30" i="3"/>
  <c r="BG14" i="3"/>
  <c r="BG51" i="3"/>
  <c r="BG5" i="3"/>
  <c r="BG49" i="3"/>
  <c r="BG20" i="3"/>
  <c r="BG36" i="3"/>
  <c r="BG19" i="3"/>
  <c r="BG16" i="3"/>
  <c r="BG26" i="3"/>
  <c r="BG7" i="3"/>
  <c r="BG42" i="3"/>
  <c r="BG10" i="3"/>
  <c r="BG32" i="3"/>
  <c r="BG45" i="3"/>
  <c r="BG27" i="3"/>
  <c r="BG44" i="3"/>
  <c r="BG23" i="3"/>
  <c r="BG4" i="3"/>
  <c r="BG21" i="3"/>
  <c r="BG28" i="3"/>
  <c r="BC28" i="3"/>
  <c r="BC35" i="3"/>
  <c r="BC7" i="3"/>
  <c r="BC19" i="3"/>
  <c r="BC48" i="3"/>
  <c r="BC9" i="3"/>
  <c r="BC41" i="3"/>
  <c r="BC49" i="3"/>
  <c r="BC38" i="3"/>
  <c r="BC11" i="3"/>
  <c r="BC4" i="3"/>
  <c r="BC17" i="3"/>
  <c r="BC30" i="3"/>
  <c r="BC20" i="3"/>
  <c r="BC14" i="3"/>
  <c r="BC16" i="3"/>
  <c r="BC15" i="3"/>
  <c r="BC45" i="3"/>
  <c r="BC42" i="3"/>
  <c r="BC22" i="3"/>
  <c r="BC40" i="3"/>
  <c r="BC25" i="3"/>
  <c r="BC37" i="3"/>
  <c r="BC44" i="3"/>
  <c r="BC6" i="3"/>
  <c r="BC50" i="3"/>
  <c r="BC43" i="3"/>
  <c r="BC27" i="3"/>
  <c r="BC24" i="3"/>
  <c r="BC5" i="3"/>
  <c r="BC26" i="3"/>
  <c r="BC51" i="3"/>
  <c r="BC23" i="3"/>
  <c r="BC47" i="3"/>
  <c r="BC46" i="3"/>
  <c r="BC10" i="3"/>
  <c r="BC21" i="3"/>
  <c r="BC39" i="3"/>
  <c r="BC31" i="3"/>
  <c r="BC36" i="3"/>
  <c r="BC8" i="3"/>
  <c r="BC12" i="3"/>
  <c r="BC33" i="3"/>
  <c r="BC29" i="3"/>
  <c r="BC34" i="3"/>
  <c r="BC13" i="3"/>
  <c r="BC32" i="3"/>
  <c r="BC18" i="3"/>
  <c r="BE46" i="3"/>
  <c r="BE12" i="3"/>
  <c r="BE6" i="3"/>
  <c r="BE11" i="3"/>
  <c r="BE23" i="3"/>
  <c r="BE20" i="3"/>
  <c r="BE51" i="3"/>
  <c r="BE22" i="3"/>
  <c r="BE30" i="3"/>
  <c r="BE26" i="3"/>
  <c r="BE18" i="3"/>
  <c r="BE21" i="3"/>
  <c r="BE13" i="3"/>
  <c r="BE25" i="3"/>
  <c r="BE35" i="3"/>
  <c r="BE48" i="3"/>
  <c r="BE9" i="3"/>
  <c r="BE33" i="3"/>
  <c r="BE14" i="3"/>
  <c r="BE41" i="3"/>
  <c r="BE40" i="3"/>
  <c r="BE4" i="3"/>
  <c r="BE45" i="3"/>
  <c r="BE5" i="3"/>
  <c r="BE31" i="3"/>
  <c r="BE10" i="3"/>
  <c r="BE7" i="3"/>
  <c r="BE17" i="3"/>
  <c r="BE37" i="3"/>
  <c r="BE38" i="3"/>
  <c r="BE19" i="3"/>
  <c r="BE16" i="3"/>
  <c r="BE27" i="3"/>
  <c r="BE43" i="3"/>
  <c r="BE50" i="3"/>
  <c r="BE29" i="3"/>
  <c r="BE28" i="3"/>
  <c r="BE32" i="3"/>
  <c r="BE34" i="3"/>
  <c r="BE47" i="3"/>
  <c r="BE44" i="3"/>
  <c r="BE42" i="3"/>
  <c r="BE24" i="3"/>
  <c r="BE15" i="3"/>
  <c r="BE49" i="3"/>
  <c r="BE36" i="3"/>
  <c r="BE8" i="3"/>
  <c r="BE39" i="3"/>
  <c r="AN84" i="3"/>
  <c r="AN85" i="3" s="1"/>
  <c r="AI41" i="1"/>
  <c r="AN39" i="1"/>
  <c r="BG52" i="3" l="1"/>
  <c r="BD52" i="3"/>
  <c r="AI42" i="4"/>
  <c r="BE52" i="3"/>
  <c r="BH52" i="3"/>
  <c r="BB52" i="3"/>
  <c r="BC52" i="3"/>
  <c r="AI42" i="1"/>
  <c r="AN40" i="1"/>
  <c r="BG53" i="3" l="1"/>
  <c r="AI43" i="4"/>
  <c r="BF53" i="3"/>
  <c r="BH53" i="3"/>
  <c r="BC53" i="3"/>
  <c r="BD53" i="3"/>
  <c r="BB53" i="3"/>
  <c r="BE53" i="3"/>
  <c r="AI43" i="1"/>
  <c r="AN41" i="1"/>
  <c r="AI44" i="4" l="1"/>
  <c r="AI44" i="1"/>
  <c r="AN42" i="1"/>
  <c r="AI45" i="4" l="1"/>
  <c r="AI45" i="1"/>
  <c r="AN43" i="1"/>
  <c r="AI46" i="4" l="1"/>
  <c r="AI46" i="1"/>
  <c r="AN44" i="1"/>
  <c r="AI47" i="4" l="1"/>
  <c r="AI47" i="1"/>
  <c r="AN45" i="1"/>
  <c r="AI48" i="4" l="1"/>
  <c r="AI48" i="1"/>
  <c r="AN46" i="1"/>
  <c r="AI49" i="4" l="1"/>
  <c r="AI49" i="1"/>
  <c r="AN47" i="1"/>
  <c r="AI50" i="4" l="1"/>
  <c r="AI50" i="1"/>
  <c r="AN48" i="1"/>
  <c r="AI51" i="4" l="1"/>
  <c r="AI51" i="1"/>
  <c r="AN50" i="1" s="1"/>
  <c r="AN49" i="1"/>
  <c r="AN52" i="1" l="1"/>
  <c r="AQ52" i="4" l="1" a="1"/>
  <c r="AQ52" i="4" s="1"/>
  <c r="AK53" i="4" s="1"/>
  <c r="AQ52" i="6" a="1"/>
  <c r="AQ52" i="6" s="1"/>
  <c r="AW50" i="1"/>
  <c r="AN58" i="4"/>
  <c r="AN59" i="4"/>
  <c r="AN60" i="4"/>
  <c r="AM84" i="4"/>
  <c r="AL84" i="4"/>
  <c r="AK84" i="4"/>
  <c r="AN61" i="4"/>
  <c r="AO84" i="4"/>
  <c r="AJ84" i="4"/>
  <c r="AN62" i="4"/>
  <c r="AP84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53" i="1"/>
  <c r="AW51" i="1"/>
  <c r="AW5" i="1"/>
  <c r="AN59" i="1"/>
  <c r="AW4" i="1"/>
  <c r="AN60" i="1"/>
  <c r="AN61" i="1"/>
  <c r="AK53" i="1"/>
  <c r="AM53" i="1"/>
  <c r="AW6" i="1"/>
  <c r="AJ53" i="1"/>
  <c r="AL53" i="1"/>
  <c r="AL85" i="1"/>
  <c r="AN62" i="1"/>
  <c r="AW7" i="1"/>
  <c r="AN63" i="1"/>
  <c r="AJ85" i="1"/>
  <c r="AK85" i="1"/>
  <c r="AW8" i="1"/>
  <c r="AO53" i="1"/>
  <c r="AM85" i="1"/>
  <c r="AP53" i="1"/>
  <c r="AN64" i="1"/>
  <c r="AW9" i="1"/>
  <c r="AN65" i="1"/>
  <c r="AW10" i="1"/>
  <c r="AO85" i="1"/>
  <c r="AP85" i="1"/>
  <c r="AN66" i="1"/>
  <c r="AW11" i="1"/>
  <c r="AN67" i="1"/>
  <c r="AW12" i="1"/>
  <c r="AN68" i="1"/>
  <c r="AW13" i="1"/>
  <c r="AN69" i="1"/>
  <c r="AW14" i="1"/>
  <c r="AN70" i="1"/>
  <c r="AW15" i="1"/>
  <c r="AN71" i="1"/>
  <c r="AW16" i="1"/>
  <c r="AN72" i="1"/>
  <c r="AW17" i="1"/>
  <c r="AN73" i="1"/>
  <c r="AW18" i="1"/>
  <c r="AN74" i="1"/>
  <c r="AW19" i="1"/>
  <c r="AN75" i="1"/>
  <c r="AW20" i="1"/>
  <c r="AN76" i="1"/>
  <c r="AW21" i="1"/>
  <c r="AN77" i="1"/>
  <c r="AW22" i="1"/>
  <c r="AN78" i="1"/>
  <c r="AW23" i="1"/>
  <c r="AN79" i="1"/>
  <c r="AW24" i="1"/>
  <c r="AN80" i="1"/>
  <c r="AW25" i="1"/>
  <c r="AW26" i="1"/>
  <c r="AN81" i="1"/>
  <c r="AN82" i="1"/>
  <c r="AW27" i="1"/>
  <c r="AN83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BF49" i="1" s="1"/>
  <c r="BF45" i="1" l="1"/>
  <c r="BF41" i="1"/>
  <c r="BF37" i="1"/>
  <c r="BF33" i="1"/>
  <c r="BF29" i="1"/>
  <c r="AN53" i="4"/>
  <c r="AL53" i="4"/>
  <c r="AO53" i="4"/>
  <c r="AM53" i="4"/>
  <c r="AJ53" i="4"/>
  <c r="AP53" i="4"/>
  <c r="BF46" i="1"/>
  <c r="BF42" i="1"/>
  <c r="BF38" i="1"/>
  <c r="BF34" i="1"/>
  <c r="BF30" i="1"/>
  <c r="BF50" i="1"/>
  <c r="BF27" i="1"/>
  <c r="BF25" i="1"/>
  <c r="BF23" i="1"/>
  <c r="BF21" i="1"/>
  <c r="BF19" i="1"/>
  <c r="BF17" i="1"/>
  <c r="BF15" i="1"/>
  <c r="BF13" i="1"/>
  <c r="BF11" i="1"/>
  <c r="BF10" i="1"/>
  <c r="BF6" i="1"/>
  <c r="AN83" i="4"/>
  <c r="AN84" i="4" s="1"/>
  <c r="BF40" i="1"/>
  <c r="BF32" i="1"/>
  <c r="BF24" i="1"/>
  <c r="BF22" i="1"/>
  <c r="BF20" i="1"/>
  <c r="BF18" i="1"/>
  <c r="BF16" i="1"/>
  <c r="BF14" i="1"/>
  <c r="BF12" i="1"/>
  <c r="BF9" i="1"/>
  <c r="BF48" i="1"/>
  <c r="BF44" i="1"/>
  <c r="BF36" i="1"/>
  <c r="BF28" i="1"/>
  <c r="BF47" i="1"/>
  <c r="BF43" i="1"/>
  <c r="BF39" i="1"/>
  <c r="BF35" i="1"/>
  <c r="BF31" i="1"/>
  <c r="BF26" i="1"/>
  <c r="BF8" i="1"/>
  <c r="BF7" i="1"/>
  <c r="BF5" i="1"/>
  <c r="BF51" i="1"/>
  <c r="BH15" i="1"/>
  <c r="BH8" i="1"/>
  <c r="BH23" i="1"/>
  <c r="BH42" i="1"/>
  <c r="BH24" i="1"/>
  <c r="BH50" i="1"/>
  <c r="BH28" i="1"/>
  <c r="BH26" i="1"/>
  <c r="BH10" i="1"/>
  <c r="BH36" i="1"/>
  <c r="BH43" i="1"/>
  <c r="BH48" i="1"/>
  <c r="BH38" i="1"/>
  <c r="BH30" i="1"/>
  <c r="BH18" i="1"/>
  <c r="BH11" i="1"/>
  <c r="BH33" i="1"/>
  <c r="BH51" i="1"/>
  <c r="BH29" i="1"/>
  <c r="BH16" i="1"/>
  <c r="BH19" i="1"/>
  <c r="BH14" i="1"/>
  <c r="BH12" i="1"/>
  <c r="BH45" i="1"/>
  <c r="BH5" i="1"/>
  <c r="BH21" i="1"/>
  <c r="BH49" i="1"/>
  <c r="BH20" i="1"/>
  <c r="BH41" i="1"/>
  <c r="BH7" i="1"/>
  <c r="BH27" i="1"/>
  <c r="BH17" i="1"/>
  <c r="BH13" i="1"/>
  <c r="BH32" i="1"/>
  <c r="BH34" i="1"/>
  <c r="BH22" i="1"/>
  <c r="BH6" i="1"/>
  <c r="BH37" i="1"/>
  <c r="BH25" i="1"/>
  <c r="BH31" i="1"/>
  <c r="BH44" i="1"/>
  <c r="BH39" i="1"/>
  <c r="BH4" i="1"/>
  <c r="BH35" i="1"/>
  <c r="BH46" i="1"/>
  <c r="BH40" i="1"/>
  <c r="BH9" i="1"/>
  <c r="BH47" i="1"/>
  <c r="BE5" i="1"/>
  <c r="BE4" i="1"/>
  <c r="BE9" i="1"/>
  <c r="BE34" i="1"/>
  <c r="BE33" i="1"/>
  <c r="BE7" i="1"/>
  <c r="BE22" i="1"/>
  <c r="BE38" i="1"/>
  <c r="BE47" i="1"/>
  <c r="BE17" i="1"/>
  <c r="BE46" i="1"/>
  <c r="BE6" i="1"/>
  <c r="BE49" i="1"/>
  <c r="BE30" i="1"/>
  <c r="BE25" i="1"/>
  <c r="BE26" i="1"/>
  <c r="BE45" i="1"/>
  <c r="BE13" i="1"/>
  <c r="BE44" i="1"/>
  <c r="BE39" i="1"/>
  <c r="BE11" i="1"/>
  <c r="BE42" i="1"/>
  <c r="BE43" i="1"/>
  <c r="BE21" i="1"/>
  <c r="BE18" i="1"/>
  <c r="BE27" i="1"/>
  <c r="BE35" i="1"/>
  <c r="BE8" i="1"/>
  <c r="BE24" i="1"/>
  <c r="BE48" i="1"/>
  <c r="BE20" i="1"/>
  <c r="BE36" i="1"/>
  <c r="BE28" i="1"/>
  <c r="BE32" i="1"/>
  <c r="BE31" i="1"/>
  <c r="BE12" i="1"/>
  <c r="BE41" i="1"/>
  <c r="BE51" i="1"/>
  <c r="BE19" i="1"/>
  <c r="BE23" i="1"/>
  <c r="BE14" i="1"/>
  <c r="BE15" i="1"/>
  <c r="BE37" i="1"/>
  <c r="BE16" i="1"/>
  <c r="BE29" i="1"/>
  <c r="BE10" i="1"/>
  <c r="BE50" i="1"/>
  <c r="BE40" i="1"/>
  <c r="AW52" i="1"/>
  <c r="BF4" i="1"/>
  <c r="BB14" i="1"/>
  <c r="BB42" i="1"/>
  <c r="BB24" i="1"/>
  <c r="BB16" i="1"/>
  <c r="BB28" i="1"/>
  <c r="BB43" i="1"/>
  <c r="BB30" i="1"/>
  <c r="BB8" i="1"/>
  <c r="BB21" i="1"/>
  <c r="BB39" i="1"/>
  <c r="BB29" i="1"/>
  <c r="BB51" i="1"/>
  <c r="BB6" i="1"/>
  <c r="BB20" i="1"/>
  <c r="BB22" i="1"/>
  <c r="BB7" i="1"/>
  <c r="BB50" i="1"/>
  <c r="BB12" i="1"/>
  <c r="BB33" i="1"/>
  <c r="BB40" i="1"/>
  <c r="BB34" i="1"/>
  <c r="BB19" i="1"/>
  <c r="BB45" i="1"/>
  <c r="BB31" i="1"/>
  <c r="BB48" i="1"/>
  <c r="BB26" i="1"/>
  <c r="BB23" i="1"/>
  <c r="BB37" i="1"/>
  <c r="BB11" i="1"/>
  <c r="BB17" i="1"/>
  <c r="BB9" i="1"/>
  <c r="BB15" i="1"/>
  <c r="BB13" i="1"/>
  <c r="BB25" i="1"/>
  <c r="BB10" i="1"/>
  <c r="BB35" i="1"/>
  <c r="BB32" i="1"/>
  <c r="BB41" i="1"/>
  <c r="BB46" i="1"/>
  <c r="BB18" i="1"/>
  <c r="BB27" i="1"/>
  <c r="BB38" i="1"/>
  <c r="BB4" i="1"/>
  <c r="BB49" i="1"/>
  <c r="BB36" i="1"/>
  <c r="BB44" i="1"/>
  <c r="BB47" i="1"/>
  <c r="BB5" i="1"/>
  <c r="BG30" i="1"/>
  <c r="BG51" i="1"/>
  <c r="BG26" i="1"/>
  <c r="BG24" i="1"/>
  <c r="BG14" i="1"/>
  <c r="BG41" i="1"/>
  <c r="BG40" i="1"/>
  <c r="BG45" i="1"/>
  <c r="BG22" i="1"/>
  <c r="BG39" i="1"/>
  <c r="BG18" i="1"/>
  <c r="BG7" i="1"/>
  <c r="BG35" i="1"/>
  <c r="BG31" i="1"/>
  <c r="BG4" i="1"/>
  <c r="BG10" i="1"/>
  <c r="BG33" i="1"/>
  <c r="BG47" i="1"/>
  <c r="BG8" i="1"/>
  <c r="BG36" i="1"/>
  <c r="BG37" i="1"/>
  <c r="BG42" i="1"/>
  <c r="BG19" i="1"/>
  <c r="BG11" i="1"/>
  <c r="BG38" i="1"/>
  <c r="BG48" i="1"/>
  <c r="BG15" i="1"/>
  <c r="BG16" i="1"/>
  <c r="BG21" i="1"/>
  <c r="BG12" i="1"/>
  <c r="BG34" i="1"/>
  <c r="BG44" i="1"/>
  <c r="BG20" i="1"/>
  <c r="BG27" i="1"/>
  <c r="BG49" i="1"/>
  <c r="BG28" i="1"/>
  <c r="BG25" i="1"/>
  <c r="BG5" i="1"/>
  <c r="BG17" i="1"/>
  <c r="BG32" i="1"/>
  <c r="BG23" i="1"/>
  <c r="BG13" i="1"/>
  <c r="BG29" i="1"/>
  <c r="BG46" i="1"/>
  <c r="BG50" i="1"/>
  <c r="BG6" i="1"/>
  <c r="BG43" i="1"/>
  <c r="BG9" i="1"/>
  <c r="BD26" i="1"/>
  <c r="BD28" i="1"/>
  <c r="BD42" i="1"/>
  <c r="BD4" i="1"/>
  <c r="BD24" i="1"/>
  <c r="BD40" i="1"/>
  <c r="BD27" i="1"/>
  <c r="BD21" i="1"/>
  <c r="BD19" i="1"/>
  <c r="BD36" i="1"/>
  <c r="BD16" i="1"/>
  <c r="BD51" i="1"/>
  <c r="BD23" i="1"/>
  <c r="BD9" i="1"/>
  <c r="BD12" i="1"/>
  <c r="BD39" i="1"/>
  <c r="BD5" i="1"/>
  <c r="BD29" i="1"/>
  <c r="BD50" i="1"/>
  <c r="BD48" i="1"/>
  <c r="BD32" i="1"/>
  <c r="BD11" i="1"/>
  <c r="BD37" i="1"/>
  <c r="BD38" i="1"/>
  <c r="BD30" i="1"/>
  <c r="BD43" i="1"/>
  <c r="BD49" i="1"/>
  <c r="BD18" i="1"/>
  <c r="BD13" i="1"/>
  <c r="BD17" i="1"/>
  <c r="BD33" i="1"/>
  <c r="BD44" i="1"/>
  <c r="BD20" i="1"/>
  <c r="BD46" i="1"/>
  <c r="BD31" i="1"/>
  <c r="BD41" i="1"/>
  <c r="BD45" i="1"/>
  <c r="BD34" i="1"/>
  <c r="BD14" i="1"/>
  <c r="BD8" i="1"/>
  <c r="BD6" i="1"/>
  <c r="BD47" i="1"/>
  <c r="BD25" i="1"/>
  <c r="BD7" i="1"/>
  <c r="BD22" i="1"/>
  <c r="BD10" i="1"/>
  <c r="BD35" i="1"/>
  <c r="BD15" i="1"/>
  <c r="BC4" i="1"/>
  <c r="BC32" i="1"/>
  <c r="BC37" i="1"/>
  <c r="BC25" i="1"/>
  <c r="BC6" i="1"/>
  <c r="BC43" i="1"/>
  <c r="BC33" i="1"/>
  <c r="BC31" i="1"/>
  <c r="BC11" i="1"/>
  <c r="BC24" i="1"/>
  <c r="BC15" i="1"/>
  <c r="BC21" i="1"/>
  <c r="BC47" i="1"/>
  <c r="BC17" i="1"/>
  <c r="BC10" i="1"/>
  <c r="BC50" i="1"/>
  <c r="BC29" i="1"/>
  <c r="BC20" i="1"/>
  <c r="BC36" i="1"/>
  <c r="BC34" i="1"/>
  <c r="BC7" i="1"/>
  <c r="BC13" i="1"/>
  <c r="BC26" i="1"/>
  <c r="BC30" i="1"/>
  <c r="BC9" i="1"/>
  <c r="BC51" i="1"/>
  <c r="BC38" i="1"/>
  <c r="BC19" i="1"/>
  <c r="BC28" i="1"/>
  <c r="BC40" i="1"/>
  <c r="BC27" i="1"/>
  <c r="BC45" i="1"/>
  <c r="BC44" i="1"/>
  <c r="BC16" i="1"/>
  <c r="BC46" i="1"/>
  <c r="BC35" i="1"/>
  <c r="BC42" i="1"/>
  <c r="BC18" i="1"/>
  <c r="BC8" i="1"/>
  <c r="BC39" i="1"/>
  <c r="BC5" i="1"/>
  <c r="BC23" i="1"/>
  <c r="BC22" i="1"/>
  <c r="BC12" i="1"/>
  <c r="BC41" i="1"/>
  <c r="BC49" i="1"/>
  <c r="BC14" i="1"/>
  <c r="BC48" i="1"/>
  <c r="AN84" i="1"/>
  <c r="AN85" i="1" s="1"/>
  <c r="BF52" i="1" l="1"/>
  <c r="BC52" i="1"/>
  <c r="BH52" i="1"/>
  <c r="BD52" i="1"/>
  <c r="BE52" i="1"/>
  <c r="BG52" i="1"/>
  <c r="BB52" i="1"/>
  <c r="BB53" i="1" l="1"/>
  <c r="BF53" i="1"/>
  <c r="BG53" i="1"/>
  <c r="BD53" i="1"/>
  <c r="BH53" i="1"/>
  <c r="BE53" i="1"/>
  <c r="BC53" i="1"/>
  <c r="CG24" i="8"/>
  <c r="CG53" i="8" s="1"/>
  <c r="CM54" i="8" s="1"/>
  <c r="CI56" i="8" s="1"/>
  <c r="CI57" i="8" s="1"/>
  <c r="AN24" i="8"/>
  <c r="BX24" i="8" s="1"/>
  <c r="BX53" i="8" s="1"/>
  <c r="AN5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<sst xmlns="http://schemas.openxmlformats.org/spreadsheetml/2006/main" count="1324" uniqueCount="68">
  <si>
    <t xml:space="preserve">dow profile </t>
  </si>
  <si>
    <t>interval distro</t>
  </si>
  <si>
    <t>forecast</t>
  </si>
  <si>
    <t>Intervals</t>
  </si>
  <si>
    <t>thu</t>
  </si>
  <si>
    <t>fri</t>
  </si>
  <si>
    <t>sat</t>
  </si>
  <si>
    <t>sun</t>
  </si>
  <si>
    <t>mon</t>
  </si>
  <si>
    <t>tue</t>
  </si>
  <si>
    <t>wed</t>
  </si>
  <si>
    <t>Total</t>
  </si>
  <si>
    <t>Dow Profile</t>
  </si>
  <si>
    <t>dow profile</t>
  </si>
  <si>
    <t>AHT</t>
  </si>
  <si>
    <t>volume</t>
  </si>
  <si>
    <t>Occupation</t>
  </si>
  <si>
    <t>Total hours</t>
  </si>
  <si>
    <t>requirements</t>
  </si>
  <si>
    <t>schedule</t>
  </si>
  <si>
    <t>EMP ID</t>
  </si>
  <si>
    <t>Name</t>
  </si>
  <si>
    <t>Shift</t>
  </si>
  <si>
    <t>OFF</t>
  </si>
  <si>
    <t>-</t>
  </si>
  <si>
    <t>06:00 - 15:00</t>
  </si>
  <si>
    <t>P</t>
  </si>
  <si>
    <t>WO</t>
  </si>
  <si>
    <t>14:00 - 23:00</t>
  </si>
  <si>
    <t>22:00 - 07:00</t>
  </si>
  <si>
    <t>schedule post shrink</t>
  </si>
  <si>
    <t>capacity</t>
  </si>
  <si>
    <t>capacity +/-  capacity - volume</t>
  </si>
  <si>
    <t>staffing +/-  post shrink - requirements</t>
  </si>
  <si>
    <t>count of intervals</t>
  </si>
  <si>
    <t>count of rest capacity</t>
  </si>
  <si>
    <t>missed</t>
  </si>
  <si>
    <t>meet</t>
  </si>
  <si>
    <t>calc</t>
  </si>
  <si>
    <t>Shrink</t>
  </si>
  <si>
    <t>HC</t>
  </si>
  <si>
    <t>WO count</t>
  </si>
  <si>
    <t>balance</t>
  </si>
  <si>
    <t>beek</t>
  </si>
  <si>
    <t>65*5 =</t>
  </si>
  <si>
    <t xml:space="preserve">          balance schedule aproach</t>
  </si>
  <si>
    <t xml:space="preserve">               beek schedule aproach</t>
  </si>
  <si>
    <t xml:space="preserve">       edited volume in linear calc sheet</t>
  </si>
  <si>
    <t>Total/2</t>
  </si>
  <si>
    <t xml:space="preserve">            as per intervals</t>
  </si>
  <si>
    <t xml:space="preserve">Required FTE=Volume*AHT / 3600 * Occupancy*(1 -Shrinkage) </t>
  </si>
  <si>
    <t>"= " agent formula</t>
  </si>
  <si>
    <t>AGENT</t>
  </si>
  <si>
    <t xml:space="preserve">required - schedule "=" </t>
  </si>
  <si>
    <t>SLA</t>
  </si>
  <si>
    <t>heeeeeeeeeeeeeeeeeey</t>
  </si>
  <si>
    <t>Total /s</t>
  </si>
  <si>
    <t>Agents macros formula</t>
  </si>
  <si>
    <t>projecred SL</t>
  </si>
  <si>
    <t>projected OCC</t>
  </si>
  <si>
    <t>callcapacity</t>
  </si>
  <si>
    <t>staffing</t>
  </si>
  <si>
    <t>ASA</t>
  </si>
  <si>
    <t>total/2</t>
  </si>
  <si>
    <t>from linear calc sheet</t>
  </si>
  <si>
    <t>abandon %</t>
  </si>
  <si>
    <t>&gt;&gt;&gt;&gt;&gt;&gt;&gt;&gt;</t>
  </si>
  <si>
    <t>efficentcy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</si>
</sst>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_(* #,##0.0_);_(* \(#,##0.0\);_(* &quot;-&quot;??_);_(@_)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8"/>
      <name val="Aptos Narrow"/>
      <family val="2"/>
      <scheme val="minor"/>
    </font>
    <font>
      <sz val="10"/>
      <color rgb="FF1F1F1F"/>
      <name val="Arial"/>
      <family val="2"/>
    </font>
    <font>
      <b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10" fontId="0" fillId="0" borderId="0" xfId="2" applyNumberFormat="1" applyFont="1"/>
    <xf numFmtId="0" fontId="0" fillId="0" borderId="2" xfId="0" applyBorder="1"/>
    <xf numFmtId="20" fontId="0" fillId="0" borderId="1" xfId="0" applyNumberFormat="1" applyBorder="1" applyAlignment="1">
      <alignment horizontal="center" vertical="center"/>
    </xf>
    <xf numFmtId="164" fontId="0" fillId="0" borderId="3" xfId="1" applyNumberFormat="1" applyFont="1" applyBorder="1"/>
    <xf numFmtId="9" fontId="0" fillId="0" borderId="3" xfId="2" applyFont="1" applyBorder="1"/>
    <xf numFmtId="1" fontId="0" fillId="0" borderId="3" xfId="1" applyNumberFormat="1" applyFont="1" applyBorder="1"/>
    <xf numFmtId="1" fontId="0" fillId="0" borderId="3" xfId="2" applyNumberFormat="1" applyFont="1" applyBorder="1"/>
    <xf numFmtId="20" fontId="0" fillId="0" borderId="2" xfId="0" applyNumberFormat="1" applyBorder="1"/>
    <xf numFmtId="0" fontId="0" fillId="0" borderId="4" xfId="0" applyBorder="1"/>
    <xf numFmtId="0" fontId="0" fillId="0" borderId="3" xfId="0" applyBorder="1"/>
    <xf numFmtId="20" fontId="0" fillId="0" borderId="1" xfId="0" applyNumberFormat="1" applyBorder="1" applyAlignment="1">
      <alignment horizontal="center"/>
    </xf>
    <xf numFmtId="20" fontId="0" fillId="0" borderId="2" xfId="0" applyNumberFormat="1" applyBorder="1" applyAlignment="1">
      <alignment horizontal="center"/>
    </xf>
    <xf numFmtId="0" fontId="0" fillId="0" borderId="5" xfId="0" applyBorder="1"/>
    <xf numFmtId="20" fontId="0" fillId="0" borderId="6" xfId="0" applyNumberFormat="1" applyBorder="1" applyAlignment="1">
      <alignment horizontal="center"/>
    </xf>
    <xf numFmtId="164" fontId="2" fillId="0" borderId="1" xfId="0" applyNumberFormat="1" applyFont="1" applyBorder="1"/>
    <xf numFmtId="9" fontId="2" fillId="0" borderId="1" xfId="2" applyFont="1" applyBorder="1"/>
    <xf numFmtId="1" fontId="2" fillId="0" borderId="1" xfId="2" applyNumberFormat="1" applyFont="1" applyBorder="1"/>
    <xf numFmtId="20" fontId="0" fillId="0" borderId="7" xfId="0" applyNumberFormat="1" applyBorder="1"/>
    <xf numFmtId="0" fontId="2" fillId="0" borderId="8" xfId="0" applyFont="1" applyBorder="1"/>
    <xf numFmtId="9" fontId="0" fillId="0" borderId="0" xfId="2" applyFont="1"/>
    <xf numFmtId="20" fontId="0" fillId="0" borderId="0" xfId="0" applyNumberFormat="1"/>
    <xf numFmtId="0" fontId="0" fillId="0" borderId="7" xfId="0" applyBorder="1"/>
    <xf numFmtId="9" fontId="0" fillId="0" borderId="1" xfId="2" applyFont="1" applyBorder="1"/>
    <xf numFmtId="1" fontId="2" fillId="0" borderId="8" xfId="0" applyNumberFormat="1" applyFont="1" applyBorder="1" applyAlignment="1">
      <alignment horizontal="center"/>
    </xf>
    <xf numFmtId="164" fontId="0" fillId="0" borderId="1" xfId="1" applyNumberFormat="1" applyFont="1" applyBorder="1"/>
    <xf numFmtId="1" fontId="0" fillId="0" borderId="0" xfId="0" applyNumberFormat="1" applyAlignment="1">
      <alignment horizontal="center"/>
    </xf>
    <xf numFmtId="164" fontId="0" fillId="0" borderId="0" xfId="0" applyNumberFormat="1"/>
    <xf numFmtId="10" fontId="2" fillId="0" borderId="1" xfId="2" applyNumberFormat="1" applyFont="1" applyBorder="1"/>
    <xf numFmtId="9" fontId="0" fillId="0" borderId="4" xfId="2" applyFont="1" applyBorder="1"/>
    <xf numFmtId="9" fontId="0" fillId="0" borderId="5" xfId="2" applyFont="1" applyBorder="1"/>
    <xf numFmtId="9" fontId="2" fillId="0" borderId="8" xfId="2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1" fontId="2" fillId="0" borderId="3" xfId="2" applyNumberFormat="1" applyFont="1" applyBorder="1"/>
    <xf numFmtId="0" fontId="4" fillId="0" borderId="9" xfId="0" applyFont="1" applyBorder="1" applyAlignment="1">
      <alignment horizontal="left" vertical="center" wrapText="1" indent="1" readingOrder="1"/>
    </xf>
    <xf numFmtId="0" fontId="3" fillId="0" borderId="9" xfId="0" applyFont="1" applyBorder="1" applyAlignment="1">
      <alignment horizontal="left" vertical="center" wrapText="1" indent="1" readingOrder="1"/>
    </xf>
    <xf numFmtId="0" fontId="3" fillId="0" borderId="9" xfId="2" applyNumberFormat="1" applyFont="1" applyBorder="1" applyAlignment="1">
      <alignment horizontal="left" vertical="center" wrapText="1" indent="1" readingOrder="1"/>
    </xf>
    <xf numFmtId="0" fontId="3" fillId="0" borderId="10" xfId="0" applyFont="1" applyBorder="1" applyAlignment="1">
      <alignment horizontal="left" vertical="center" wrapText="1" indent="1" readingOrder="1"/>
    </xf>
    <xf numFmtId="0" fontId="3" fillId="0" borderId="1" xfId="0" applyFont="1" applyBorder="1" applyAlignment="1">
      <alignment horizontal="left" vertical="center" wrapText="1" indent="1" readingOrder="1"/>
    </xf>
    <xf numFmtId="0" fontId="2" fillId="0" borderId="1" xfId="0" applyFont="1" applyBorder="1"/>
    <xf numFmtId="14" fontId="0" fillId="2" borderId="1" xfId="0" applyNumberFormat="1" applyFill="1" applyBorder="1"/>
    <xf numFmtId="0" fontId="4" fillId="3" borderId="9" xfId="0" applyFont="1" applyFill="1" applyBorder="1" applyAlignment="1">
      <alignment horizontal="left" vertical="center" wrapText="1" indent="1" readingOrder="1"/>
    </xf>
    <xf numFmtId="1" fontId="0" fillId="0" borderId="0" xfId="0" applyNumberFormat="1"/>
    <xf numFmtId="9" fontId="0" fillId="0" borderId="0" xfId="0" applyNumberFormat="1"/>
    <xf numFmtId="165" fontId="0" fillId="0" borderId="1" xfId="0" applyNumberFormat="1" applyBorder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9" fontId="2" fillId="0" borderId="1" xfId="0" applyNumberFormat="1" applyFont="1" applyBorder="1"/>
    <xf numFmtId="165" fontId="2" fillId="0" borderId="0" xfId="0" applyNumberFormat="1" applyFont="1"/>
    <xf numFmtId="0" fontId="2" fillId="0" borderId="0" xfId="0" applyFont="1"/>
    <xf numFmtId="9" fontId="2" fillId="0" borderId="0" xfId="2" applyFont="1" applyBorder="1"/>
    <xf numFmtId="20" fontId="0" fillId="0" borderId="0" xfId="0" applyNumberFormat="1" applyAlignment="1">
      <alignment horizontal="center"/>
    </xf>
    <xf numFmtId="164" fontId="2" fillId="0" borderId="0" xfId="0" applyNumberFormat="1" applyFont="1"/>
    <xf numFmtId="0" fontId="6" fillId="0" borderId="0" xfId="0" applyFont="1"/>
    <xf numFmtId="1" fontId="2" fillId="0" borderId="0" xfId="0" applyNumberFormat="1" applyFont="1"/>
    <xf numFmtId="0" fontId="7" fillId="0" borderId="0" xfId="0" applyFont="1"/>
    <xf numFmtId="1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0" fontId="8" fillId="0" borderId="0" xfId="0" applyNumberFormat="1" applyFont="1" applyAlignment="1">
      <alignment horizontal="right" wrapText="1"/>
    </xf>
    <xf numFmtId="9" fontId="0" fillId="0" borderId="0" xfId="2" applyFont="1" applyBorder="1"/>
    <xf numFmtId="10" fontId="8" fillId="0" borderId="1" xfId="0" applyNumberFormat="1" applyFont="1" applyBorder="1" applyAlignment="1">
      <alignment horizontal="right" wrapText="1"/>
    </xf>
    <xf numFmtId="164" fontId="9" fillId="0" borderId="1" xfId="1" applyNumberFormat="1" applyFont="1" applyBorder="1" applyAlignment="1">
      <alignment horizontal="right" wrapText="1"/>
    </xf>
    <xf numFmtId="9" fontId="8" fillId="0" borderId="1" xfId="0" applyNumberFormat="1" applyFont="1" applyBorder="1" applyAlignment="1">
      <alignment horizontal="right" wrapText="1"/>
    </xf>
    <xf numFmtId="43" fontId="0" fillId="0" borderId="3" xfId="1" applyFont="1" applyBorder="1"/>
    <xf numFmtId="166" fontId="0" fillId="0" borderId="3" xfId="1" applyNumberFormat="1" applyFont="1" applyBorder="1"/>
    <xf numFmtId="1" fontId="2" fillId="0" borderId="0" xfId="2" applyNumberFormat="1" applyFont="1" applyBorder="1"/>
    <xf numFmtId="1" fontId="2" fillId="0" borderId="1" xfId="0" applyNumberFormat="1" applyFont="1" applyBorder="1"/>
    <xf numFmtId="2" fontId="0" fillId="0" borderId="3" xfId="1" applyNumberFormat="1" applyFont="1" applyBorder="1"/>
    <xf numFmtId="2" fontId="2" fillId="0" borderId="1" xfId="2" applyNumberFormat="1" applyFont="1" applyBorder="1"/>
    <xf numFmtId="9" fontId="8" fillId="0" borderId="5" xfId="0" applyNumberFormat="1" applyFont="1" applyBorder="1" applyAlignment="1">
      <alignment horizontal="right" wrapText="1"/>
    </xf>
    <xf numFmtId="0" fontId="0" fillId="0" borderId="3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4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haba\Downloads\ee\ErlangXL97.xla" TargetMode="External"/><Relationship Id="rId1" Type="http://schemas.openxmlformats.org/officeDocument/2006/relationships/externalLinkPath" Target="file:///C:\Users\ehaba\Downloads\ee\ErlangXL97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ample"/>
      <sheetName val="Module1"/>
    </sheetNames>
    <definedNames>
      <definedName name="Abandon"/>
      <definedName name="asa"/>
      <definedName name="FractionalAgents"/>
      <definedName name="FractionalCallCapacity"/>
      <definedName name="SLA"/>
      <definedName name="Utilisat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1E52F-BB88-45EC-8F61-CF8452014F0C}">
  <sheetPr codeName="Sheet1"/>
  <dimension ref="A2:BH85"/>
  <sheetViews>
    <sheetView showGridLines="0" tabSelected="1" workbookViewId="0">
      <selection activeCell="I6" sqref="I6"/>
    </sheetView>
  </sheetViews>
  <sheetFormatPr defaultRowHeight="14.4" x14ac:dyDescent="0.3"/>
  <cols>
    <col min="5" max="21" width="9.33203125" bestFit="1" customWidth="1"/>
    <col min="22" max="29" width="8.33203125" bestFit="1" customWidth="1"/>
    <col min="30" max="33" width="9.33203125" bestFit="1" customWidth="1"/>
  </cols>
  <sheetData>
    <row r="2" spans="1:60" x14ac:dyDescent="0.3">
      <c r="AI2" t="s">
        <v>0</v>
      </c>
      <c r="AR2" t="s">
        <v>1</v>
      </c>
      <c r="BA2" t="s">
        <v>2</v>
      </c>
    </row>
    <row r="3" spans="1:60" x14ac:dyDescent="0.3">
      <c r="F3" s="1">
        <v>46038</v>
      </c>
      <c r="G3" s="1">
        <v>46039</v>
      </c>
      <c r="H3" s="1">
        <v>46040</v>
      </c>
      <c r="I3" s="1">
        <v>46041</v>
      </c>
      <c r="J3" s="1">
        <v>46042</v>
      </c>
      <c r="K3" s="1">
        <v>46043</v>
      </c>
      <c r="L3" s="1">
        <v>46044</v>
      </c>
      <c r="M3" s="1">
        <v>46045</v>
      </c>
      <c r="N3" s="1">
        <v>46046</v>
      </c>
      <c r="O3" s="1">
        <v>46047</v>
      </c>
      <c r="P3" s="1">
        <v>46048</v>
      </c>
      <c r="Q3" s="1">
        <v>46049</v>
      </c>
      <c r="R3" s="1">
        <v>46050</v>
      </c>
      <c r="S3" s="1">
        <v>46051</v>
      </c>
      <c r="T3" s="1">
        <v>46052</v>
      </c>
      <c r="U3" s="1">
        <v>46053</v>
      </c>
      <c r="V3" s="1">
        <v>46054</v>
      </c>
      <c r="W3" s="1">
        <v>46055</v>
      </c>
      <c r="X3" s="1">
        <v>46056</v>
      </c>
      <c r="Y3" s="1">
        <v>46057</v>
      </c>
      <c r="Z3" s="1">
        <v>46058</v>
      </c>
      <c r="AA3" s="1">
        <v>46059</v>
      </c>
      <c r="AB3" s="1">
        <v>46060</v>
      </c>
      <c r="AC3" s="1">
        <v>46061</v>
      </c>
      <c r="AD3" s="1">
        <v>46062</v>
      </c>
      <c r="AE3" s="1">
        <v>46063</v>
      </c>
      <c r="AF3" s="1">
        <v>46064</v>
      </c>
      <c r="AG3" s="1">
        <v>46065</v>
      </c>
      <c r="AI3" s="2" t="s">
        <v>3</v>
      </c>
      <c r="AJ3" s="3" t="s">
        <v>4</v>
      </c>
      <c r="AK3" s="3" t="s">
        <v>5</v>
      </c>
      <c r="AL3" s="3" t="s">
        <v>6</v>
      </c>
      <c r="AM3" s="3" t="s">
        <v>7</v>
      </c>
      <c r="AN3" s="3" t="s">
        <v>8</v>
      </c>
      <c r="AO3" s="3" t="s">
        <v>9</v>
      </c>
      <c r="AP3" s="3" t="s">
        <v>10</v>
      </c>
      <c r="AR3" s="2" t="s">
        <v>3</v>
      </c>
      <c r="AS3" s="3" t="s">
        <v>4</v>
      </c>
      <c r="AT3" s="3" t="s">
        <v>5</v>
      </c>
      <c r="AU3" s="3" t="s">
        <v>6</v>
      </c>
      <c r="AV3" s="3" t="s">
        <v>7</v>
      </c>
      <c r="AW3" s="3" t="s">
        <v>8</v>
      </c>
      <c r="AX3" s="3" t="s">
        <v>9</v>
      </c>
      <c r="AY3" s="3" t="s">
        <v>10</v>
      </c>
      <c r="BA3" s="2" t="s">
        <v>3</v>
      </c>
      <c r="BB3" s="3" t="s">
        <v>4</v>
      </c>
      <c r="BC3" s="3" t="s">
        <v>5</v>
      </c>
      <c r="BD3" s="3" t="s">
        <v>6</v>
      </c>
      <c r="BE3" s="3" t="s">
        <v>7</v>
      </c>
      <c r="BF3" s="3" t="s">
        <v>8</v>
      </c>
      <c r="BG3" s="3" t="s">
        <v>9</v>
      </c>
      <c r="BH3" s="3" t="s">
        <v>10</v>
      </c>
    </row>
    <row r="4" spans="1:60" x14ac:dyDescent="0.3">
      <c r="A4">
        <f ca="1">RANDBETWEEN(10,20)</f>
        <v>18</v>
      </c>
      <c r="B4" s="4">
        <f t="shared" ref="B4:B24" ca="1" si="0">A4/SUM($A$4:$A$19)</f>
        <v>7.3170731707317069E-2</v>
      </c>
      <c r="C4">
        <f ca="1">1000*B4</f>
        <v>73.170731707317074</v>
      </c>
      <c r="E4" s="5" t="s">
        <v>3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 t="s">
        <v>9</v>
      </c>
      <c r="L4" s="3" t="s">
        <v>10</v>
      </c>
      <c r="M4" s="3" t="s">
        <v>4</v>
      </c>
      <c r="N4" s="3" t="s">
        <v>5</v>
      </c>
      <c r="O4" s="3" t="s">
        <v>6</v>
      </c>
      <c r="P4" s="3" t="s">
        <v>7</v>
      </c>
      <c r="Q4" s="3" t="s">
        <v>8</v>
      </c>
      <c r="R4" s="3" t="s">
        <v>9</v>
      </c>
      <c r="S4" s="3" t="s">
        <v>10</v>
      </c>
      <c r="T4" s="3" t="s">
        <v>4</v>
      </c>
      <c r="U4" s="3" t="s">
        <v>5</v>
      </c>
      <c r="V4" s="3" t="s">
        <v>6</v>
      </c>
      <c r="W4" s="3" t="s">
        <v>7</v>
      </c>
      <c r="X4" s="3" t="s">
        <v>8</v>
      </c>
      <c r="Y4" s="3" t="s">
        <v>9</v>
      </c>
      <c r="Z4" s="3" t="s">
        <v>10</v>
      </c>
      <c r="AA4" s="3" t="s">
        <v>4</v>
      </c>
      <c r="AB4" s="3" t="s">
        <v>5</v>
      </c>
      <c r="AC4" s="3" t="s">
        <v>6</v>
      </c>
      <c r="AD4" s="3" t="s">
        <v>7</v>
      </c>
      <c r="AE4" s="3" t="s">
        <v>8</v>
      </c>
      <c r="AF4" s="3" t="s">
        <v>9</v>
      </c>
      <c r="AG4" s="3" t="s">
        <v>10</v>
      </c>
      <c r="AI4" s="6">
        <v>0</v>
      </c>
      <c r="AJ4" s="7">
        <f>AVERAGEIF($F$4:$AG$4,AJ$3,F5:AG5)</f>
        <v>25</v>
      </c>
      <c r="AK4" s="7">
        <f t="shared" ref="AK4:AP19" ca="1" si="1">AVERAGEIF($F$4:$AG$4,AK$3,G5:AH5)</f>
        <v>25</v>
      </c>
      <c r="AL4" s="7">
        <f t="shared" ca="1" si="1"/>
        <v>26</v>
      </c>
      <c r="AM4" s="7">
        <f t="shared" ca="1" si="1"/>
        <v>25.5</v>
      </c>
      <c r="AN4" s="7">
        <f t="shared" ca="1" si="1"/>
        <v>18.755208333333332</v>
      </c>
      <c r="AO4" s="7">
        <f t="shared" ca="1" si="1"/>
        <v>26.625</v>
      </c>
      <c r="AP4" s="7">
        <f t="shared" ca="1" si="1"/>
        <v>25.5</v>
      </c>
      <c r="AR4" s="6">
        <v>0</v>
      </c>
      <c r="AS4" s="8">
        <f ca="1">AJ4/AJ$52</f>
        <v>8.7275266189561877E-3</v>
      </c>
      <c r="AT4" s="8">
        <f t="shared" ref="AT4:AY19" ca="1" si="2">AK4/AK$52</f>
        <v>8.774238834781083E-3</v>
      </c>
      <c r="AU4" s="8">
        <f t="shared" ca="1" si="2"/>
        <v>9.1654181722041067E-3</v>
      </c>
      <c r="AV4" s="8">
        <f t="shared" ca="1" si="2"/>
        <v>8.882696159540189E-3</v>
      </c>
      <c r="AW4" s="8">
        <f t="shared" ca="1" si="2"/>
        <v>8.6884976933619008E-3</v>
      </c>
      <c r="AX4" s="8">
        <f t="shared" ca="1" si="2"/>
        <v>7.438449449973808E-3</v>
      </c>
      <c r="AY4" s="8">
        <f t="shared" ca="1" si="2"/>
        <v>7.1428571428571426E-3</v>
      </c>
      <c r="BA4" s="6">
        <v>0</v>
      </c>
      <c r="BB4" s="9">
        <f ca="1">10000*AS4*AJ$53</f>
        <v>12.060253024108446</v>
      </c>
      <c r="BC4" s="10">
        <f t="shared" ref="BC4:BH46" ca="1" si="3">10000*AT4*AK$53</f>
        <v>12.060253024108446</v>
      </c>
      <c r="BD4" s="10">
        <f t="shared" ca="1" si="3"/>
        <v>12.542663145072785</v>
      </c>
      <c r="BE4" s="10">
        <f t="shared" ca="1" si="3"/>
        <v>12.301458084590616</v>
      </c>
      <c r="BF4" s="10">
        <f t="shared" ca="1" si="3"/>
        <v>9.0477023207946896</v>
      </c>
      <c r="BG4" s="10">
        <f t="shared" ca="1" si="3"/>
        <v>12.844169470675494</v>
      </c>
      <c r="BH4" s="10">
        <f t="shared" ca="1" si="3"/>
        <v>12.301458084590616</v>
      </c>
    </row>
    <row r="5" spans="1:60" x14ac:dyDescent="0.3">
      <c r="A5">
        <f t="shared" ref="A5:A24" ca="1" si="4">RANDBETWEEN(10,20)</f>
        <v>12</v>
      </c>
      <c r="B5" s="4">
        <f t="shared" ca="1" si="0"/>
        <v>4.878048780487805E-2</v>
      </c>
      <c r="C5">
        <f t="shared" ref="C5:C24" ca="1" si="5">1000*B5</f>
        <v>48.780487804878049</v>
      </c>
      <c r="E5" s="11">
        <v>0</v>
      </c>
      <c r="F5" s="12">
        <v>25</v>
      </c>
      <c r="G5" s="12">
        <f t="shared" ref="G5:V7" ca="1" si="6">RANDBETWEEN(20,30)</f>
        <v>29</v>
      </c>
      <c r="H5" s="12">
        <f t="shared" ca="1" si="6"/>
        <v>26</v>
      </c>
      <c r="I5" s="12">
        <f t="shared" ca="1" si="6"/>
        <v>24</v>
      </c>
      <c r="J5" s="12">
        <f t="shared" ca="1" si="6"/>
        <v>23</v>
      </c>
      <c r="K5" s="12">
        <f t="shared" ca="1" si="6"/>
        <v>23</v>
      </c>
      <c r="L5" s="12">
        <f t="shared" ca="1" si="6"/>
        <v>28</v>
      </c>
      <c r="M5" s="12">
        <v>25</v>
      </c>
      <c r="N5" s="12">
        <f t="shared" ca="1" si="6"/>
        <v>22</v>
      </c>
      <c r="O5" s="12">
        <f t="shared" ca="1" si="6"/>
        <v>23</v>
      </c>
      <c r="P5" s="12">
        <f t="shared" ca="1" si="6"/>
        <v>29</v>
      </c>
      <c r="Q5" s="12">
        <f t="shared" ca="1" si="6"/>
        <v>26</v>
      </c>
      <c r="R5" s="12">
        <f t="shared" ca="1" si="6"/>
        <v>23</v>
      </c>
      <c r="S5" s="12">
        <f t="shared" ca="1" si="6"/>
        <v>21</v>
      </c>
      <c r="T5" s="12">
        <v>25</v>
      </c>
      <c r="U5" s="12">
        <f t="shared" ca="1" si="6"/>
        <v>23</v>
      </c>
      <c r="V5" s="12">
        <f t="shared" ca="1" si="6"/>
        <v>26</v>
      </c>
      <c r="W5" s="12">
        <f t="shared" ref="U5:AG20" ca="1" si="7">RANDBETWEEN(20,30)</f>
        <v>24</v>
      </c>
      <c r="X5" s="12">
        <f t="shared" ca="1" si="7"/>
        <v>30</v>
      </c>
      <c r="Y5" s="12">
        <f t="shared" ca="1" si="7"/>
        <v>25</v>
      </c>
      <c r="Z5" s="12">
        <f t="shared" ca="1" si="7"/>
        <v>26</v>
      </c>
      <c r="AA5" s="12">
        <v>25</v>
      </c>
      <c r="AB5" s="12">
        <f t="shared" ref="AB5:AG7" ca="1" si="8">RANDBETWEEN(20,30)</f>
        <v>30</v>
      </c>
      <c r="AC5" s="12">
        <f t="shared" ca="1" si="8"/>
        <v>25</v>
      </c>
      <c r="AD5" s="12">
        <f t="shared" ca="1" si="8"/>
        <v>30</v>
      </c>
      <c r="AE5" s="12">
        <f t="shared" ca="1" si="8"/>
        <v>25</v>
      </c>
      <c r="AF5" s="12">
        <f t="shared" ca="1" si="8"/>
        <v>28</v>
      </c>
      <c r="AG5" s="12">
        <f t="shared" ca="1" si="8"/>
        <v>27</v>
      </c>
      <c r="AI5" s="6">
        <f>AI4+"00:30"</f>
        <v>2.0833333333333332E-2</v>
      </c>
      <c r="AJ5" s="7">
        <f t="shared" ref="AJ5:AP27" ca="1" si="9">AVERAGEIF($F$4:$AG$4,AJ$3,F6:AG6)</f>
        <v>26.75</v>
      </c>
      <c r="AK5" s="7">
        <f t="shared" ca="1" si="1"/>
        <v>23.5</v>
      </c>
      <c r="AL5" s="7">
        <f t="shared" ca="1" si="1"/>
        <v>24.5</v>
      </c>
      <c r="AM5" s="7">
        <f t="shared" ca="1" si="1"/>
        <v>26</v>
      </c>
      <c r="AN5" s="7">
        <f t="shared" ca="1" si="1"/>
        <v>19.510416666666668</v>
      </c>
      <c r="AO5" s="7">
        <f t="shared" ca="1" si="1"/>
        <v>25.4375</v>
      </c>
      <c r="AP5" s="7">
        <f t="shared" ca="1" si="1"/>
        <v>25.3125</v>
      </c>
      <c r="AR5" s="6">
        <f>AR4+"00:30"</f>
        <v>2.0833333333333332E-2</v>
      </c>
      <c r="AS5" s="8">
        <f t="shared" ref="AS5:AY51" ca="1" si="10">AJ5/AJ$52</f>
        <v>9.3384534822831215E-3</v>
      </c>
      <c r="AT5" s="8">
        <f t="shared" ca="1" si="2"/>
        <v>8.247784504694218E-3</v>
      </c>
      <c r="AU5" s="8">
        <f t="shared" ca="1" si="2"/>
        <v>8.6366440468846391E-3</v>
      </c>
      <c r="AV5" s="8">
        <f t="shared" ca="1" si="2"/>
        <v>9.0568666724723506E-3</v>
      </c>
      <c r="AW5" s="8">
        <f t="shared" ca="1" si="2"/>
        <v>9.0383538904009117E-3</v>
      </c>
      <c r="AX5" s="8">
        <f t="shared" ca="1" si="2"/>
        <v>7.1066876200453991E-3</v>
      </c>
      <c r="AY5" s="8">
        <f t="shared" ca="1" si="2"/>
        <v>7.0903361344537815E-3</v>
      </c>
      <c r="BA5" s="6">
        <f>BA4+"00:30"</f>
        <v>2.0833333333333332E-2</v>
      </c>
      <c r="BB5" s="10">
        <f t="shared" ref="BB5:BE51" ca="1" si="11">10000*AS5*AJ$53</f>
        <v>12.904470735796037</v>
      </c>
      <c r="BC5" s="10">
        <f t="shared" ca="1" si="3"/>
        <v>11.33663784266194</v>
      </c>
      <c r="BD5" s="10">
        <f t="shared" ca="1" si="3"/>
        <v>11.819047963626279</v>
      </c>
      <c r="BE5" s="10">
        <f t="shared" ca="1" si="3"/>
        <v>12.542663145072783</v>
      </c>
      <c r="BF5" s="10">
        <f t="shared" ca="1" si="3"/>
        <v>9.4120224642313008</v>
      </c>
      <c r="BG5" s="10">
        <f t="shared" ca="1" si="3"/>
        <v>12.271307452030344</v>
      </c>
      <c r="BH5" s="10">
        <f t="shared" ca="1" si="3"/>
        <v>12.211006186909803</v>
      </c>
    </row>
    <row r="6" spans="1:60" x14ac:dyDescent="0.3">
      <c r="A6">
        <f t="shared" ca="1" si="4"/>
        <v>18</v>
      </c>
      <c r="B6" s="4">
        <f t="shared" ca="1" si="0"/>
        <v>7.3170731707317069E-2</v>
      </c>
      <c r="C6">
        <f t="shared" ca="1" si="5"/>
        <v>73.170731707317074</v>
      </c>
      <c r="E6" s="11">
        <f>E5+"00:30"</f>
        <v>2.0833333333333332E-2</v>
      </c>
      <c r="F6" s="13">
        <f ca="1">RANDBETWEEN(20,30)</f>
        <v>30</v>
      </c>
      <c r="G6" s="13">
        <f t="shared" ca="1" si="6"/>
        <v>23</v>
      </c>
      <c r="H6" s="13">
        <f t="shared" ca="1" si="6"/>
        <v>26</v>
      </c>
      <c r="I6" s="13">
        <f t="shared" ca="1" si="6"/>
        <v>29</v>
      </c>
      <c r="J6" s="13">
        <f t="shared" ca="1" si="6"/>
        <v>26</v>
      </c>
      <c r="K6" s="13">
        <f t="shared" ca="1" si="6"/>
        <v>26</v>
      </c>
      <c r="L6" s="13">
        <f t="shared" ca="1" si="6"/>
        <v>29</v>
      </c>
      <c r="M6" s="13">
        <f ca="1">RANDBETWEEN(20,30)</f>
        <v>26</v>
      </c>
      <c r="N6" s="13">
        <f t="shared" ca="1" si="6"/>
        <v>27</v>
      </c>
      <c r="O6" s="13">
        <f t="shared" ca="1" si="6"/>
        <v>23</v>
      </c>
      <c r="P6" s="13">
        <f t="shared" ca="1" si="6"/>
        <v>27</v>
      </c>
      <c r="Q6" s="13">
        <f t="shared" ca="1" si="6"/>
        <v>23</v>
      </c>
      <c r="R6" s="13">
        <f t="shared" ca="1" si="6"/>
        <v>23</v>
      </c>
      <c r="S6" s="13">
        <f t="shared" ca="1" si="6"/>
        <v>28</v>
      </c>
      <c r="T6" s="13">
        <f ca="1">RANDBETWEEN(20,30)</f>
        <v>28</v>
      </c>
      <c r="U6" s="13">
        <f t="shared" ca="1" si="7"/>
        <v>23</v>
      </c>
      <c r="V6" s="13">
        <f t="shared" ca="1" si="7"/>
        <v>23</v>
      </c>
      <c r="W6" s="13">
        <f t="shared" ca="1" si="7"/>
        <v>27</v>
      </c>
      <c r="X6" s="13">
        <f t="shared" ca="1" si="7"/>
        <v>26</v>
      </c>
      <c r="Y6" s="13">
        <f t="shared" ca="1" si="7"/>
        <v>25</v>
      </c>
      <c r="Z6" s="13">
        <f t="shared" ca="1" si="7"/>
        <v>22</v>
      </c>
      <c r="AA6" s="13">
        <f ca="1">RANDBETWEEN(20,30)</f>
        <v>23</v>
      </c>
      <c r="AB6" s="13">
        <f t="shared" ca="1" si="8"/>
        <v>28</v>
      </c>
      <c r="AC6" s="13">
        <f t="shared" ca="1" si="8"/>
        <v>22</v>
      </c>
      <c r="AD6" s="13">
        <f ca="1">RANDBETWEEN(20,30)</f>
        <v>23</v>
      </c>
      <c r="AE6" s="13">
        <f t="shared" ca="1" si="8"/>
        <v>23</v>
      </c>
      <c r="AF6" s="13">
        <f t="shared" ca="1" si="8"/>
        <v>30</v>
      </c>
      <c r="AG6" s="13">
        <f t="shared" ca="1" si="8"/>
        <v>25</v>
      </c>
      <c r="AI6" s="6">
        <f t="shared" ref="AI6:AI27" si="12">AI5+"00:30"</f>
        <v>4.1666666666666664E-2</v>
      </c>
      <c r="AJ6" s="7">
        <f t="shared" ca="1" si="9"/>
        <v>27.5</v>
      </c>
      <c r="AK6" s="7">
        <f t="shared" ca="1" si="1"/>
        <v>24.75</v>
      </c>
      <c r="AL6" s="7">
        <f t="shared" ca="1" si="1"/>
        <v>24.75</v>
      </c>
      <c r="AM6" s="7">
        <f t="shared" ca="1" si="1"/>
        <v>23.25</v>
      </c>
      <c r="AN6" s="7">
        <f t="shared" ca="1" si="1"/>
        <v>18.265625</v>
      </c>
      <c r="AO6" s="7">
        <f t="shared" ca="1" si="1"/>
        <v>23</v>
      </c>
      <c r="AP6" s="7">
        <f t="shared" ca="1" si="1"/>
        <v>26.125</v>
      </c>
      <c r="AR6" s="6">
        <f t="shared" ref="AR6:AR19" si="13">AR5+"00:30"</f>
        <v>4.1666666666666664E-2</v>
      </c>
      <c r="AS6" s="8">
        <f t="shared" ca="1" si="10"/>
        <v>9.6002792808518068E-3</v>
      </c>
      <c r="AT6" s="8">
        <f t="shared" ca="1" si="2"/>
        <v>8.6864964464332724E-3</v>
      </c>
      <c r="AU6" s="8">
        <f t="shared" ca="1" si="2"/>
        <v>8.7247730677712174E-3</v>
      </c>
      <c r="AV6" s="8">
        <f t="shared" ca="1" si="2"/>
        <v>8.0989288513454664E-3</v>
      </c>
      <c r="AW6" s="8">
        <f t="shared" ca="1" si="2"/>
        <v>8.4616943656262659E-3</v>
      </c>
      <c r="AX6" s="8">
        <f t="shared" ca="1" si="2"/>
        <v>6.4257028112449802E-3</v>
      </c>
      <c r="AY6" s="8">
        <f t="shared" ca="1" si="2"/>
        <v>7.3179271708683474E-3</v>
      </c>
      <c r="BA6" s="6">
        <f t="shared" ref="BA6:BA19" si="14">BA5+"00:30"</f>
        <v>4.1666666666666664E-2</v>
      </c>
      <c r="BB6" s="10">
        <f t="shared" ca="1" si="11"/>
        <v>13.26627832651929</v>
      </c>
      <c r="BC6" s="10">
        <f t="shared" ca="1" si="3"/>
        <v>11.939650493867363</v>
      </c>
      <c r="BD6" s="10">
        <f t="shared" ca="1" si="3"/>
        <v>11.939650493867362</v>
      </c>
      <c r="BE6" s="10">
        <f t="shared" ca="1" si="3"/>
        <v>11.216035312420855</v>
      </c>
      <c r="BF6" s="10">
        <f t="shared" ca="1" si="3"/>
        <v>8.8115223657392328</v>
      </c>
      <c r="BG6" s="10">
        <f t="shared" ca="1" si="3"/>
        <v>11.09543278217977</v>
      </c>
      <c r="BH6" s="10">
        <f t="shared" ca="1" si="3"/>
        <v>12.602964410193326</v>
      </c>
    </row>
    <row r="7" spans="1:60" x14ac:dyDescent="0.3">
      <c r="A7">
        <f t="shared" ca="1" si="4"/>
        <v>12</v>
      </c>
      <c r="B7" s="4">
        <f t="shared" ca="1" si="0"/>
        <v>4.878048780487805E-2</v>
      </c>
      <c r="C7">
        <f t="shared" ca="1" si="5"/>
        <v>48.780487804878049</v>
      </c>
      <c r="E7" s="11">
        <f t="shared" ref="E7:E51" si="15">E6+"00:30"</f>
        <v>4.1666666666666664E-2</v>
      </c>
      <c r="F7" s="13">
        <f ca="1">RANDBETWEEN(20,30)</f>
        <v>28</v>
      </c>
      <c r="G7" s="13">
        <f t="shared" ca="1" si="6"/>
        <v>29</v>
      </c>
      <c r="H7" s="13">
        <f t="shared" ca="1" si="6"/>
        <v>24</v>
      </c>
      <c r="I7" s="13">
        <f t="shared" ca="1" si="6"/>
        <v>30</v>
      </c>
      <c r="J7" s="13">
        <f t="shared" ca="1" si="6"/>
        <v>22</v>
      </c>
      <c r="K7" s="13">
        <f t="shared" ca="1" si="6"/>
        <v>28</v>
      </c>
      <c r="L7" s="13">
        <f t="shared" ca="1" si="6"/>
        <v>21</v>
      </c>
      <c r="M7" s="13">
        <f ca="1">RANDBETWEEN(20,30)</f>
        <v>28</v>
      </c>
      <c r="N7" s="13">
        <f t="shared" ca="1" si="6"/>
        <v>24</v>
      </c>
      <c r="O7" s="13">
        <f t="shared" ca="1" si="6"/>
        <v>30</v>
      </c>
      <c r="P7" s="13">
        <f t="shared" ca="1" si="6"/>
        <v>23</v>
      </c>
      <c r="Q7" s="13">
        <f t="shared" ca="1" si="6"/>
        <v>25</v>
      </c>
      <c r="R7" s="13">
        <f t="shared" ca="1" si="6"/>
        <v>30</v>
      </c>
      <c r="S7" s="13">
        <f t="shared" ca="1" si="6"/>
        <v>22</v>
      </c>
      <c r="T7" s="13">
        <f ca="1">RANDBETWEEN(20,30)</f>
        <v>25</v>
      </c>
      <c r="U7" s="13">
        <f t="shared" ca="1" si="7"/>
        <v>25</v>
      </c>
      <c r="V7" s="13">
        <f t="shared" ca="1" si="7"/>
        <v>23</v>
      </c>
      <c r="W7" s="13">
        <f t="shared" ca="1" si="7"/>
        <v>22</v>
      </c>
      <c r="X7" s="13">
        <f t="shared" ca="1" si="7"/>
        <v>27</v>
      </c>
      <c r="Y7" s="13">
        <f t="shared" ca="1" si="7"/>
        <v>25</v>
      </c>
      <c r="Z7" s="13">
        <f t="shared" ca="1" si="7"/>
        <v>23</v>
      </c>
      <c r="AA7" s="13">
        <f ca="1">RANDBETWEEN(20,30)</f>
        <v>29</v>
      </c>
      <c r="AB7" s="13">
        <f t="shared" ca="1" si="8"/>
        <v>24</v>
      </c>
      <c r="AC7" s="13">
        <f t="shared" ca="1" si="8"/>
        <v>22</v>
      </c>
      <c r="AD7" s="13">
        <f t="shared" ca="1" si="8"/>
        <v>21</v>
      </c>
      <c r="AE7" s="13">
        <f t="shared" ca="1" si="8"/>
        <v>25</v>
      </c>
      <c r="AF7" s="13">
        <f t="shared" ca="1" si="8"/>
        <v>26</v>
      </c>
      <c r="AG7" s="13">
        <f t="shared" ca="1" si="8"/>
        <v>27</v>
      </c>
      <c r="AI7" s="6">
        <f t="shared" si="12"/>
        <v>6.25E-2</v>
      </c>
      <c r="AJ7" s="7">
        <f t="shared" ca="1" si="9"/>
        <v>24.75</v>
      </c>
      <c r="AK7" s="7">
        <f t="shared" ca="1" si="1"/>
        <v>26</v>
      </c>
      <c r="AL7" s="7">
        <f t="shared" ca="1" si="1"/>
        <v>21.25</v>
      </c>
      <c r="AM7" s="7">
        <f t="shared" ca="1" si="1"/>
        <v>23.5</v>
      </c>
      <c r="AN7" s="7">
        <f t="shared" ca="1" si="1"/>
        <v>19.770833333333332</v>
      </c>
      <c r="AO7" s="7">
        <f t="shared" ca="1" si="1"/>
        <v>25</v>
      </c>
      <c r="AP7" s="7">
        <f t="shared" ca="1" si="1"/>
        <v>26.125</v>
      </c>
      <c r="AR7" s="6">
        <f t="shared" si="13"/>
        <v>6.25E-2</v>
      </c>
      <c r="AS7" s="8">
        <f t="shared" ca="1" si="10"/>
        <v>8.6402513527666265E-3</v>
      </c>
      <c r="AT7" s="8">
        <f t="shared" ca="1" si="2"/>
        <v>9.1252083881723269E-3</v>
      </c>
      <c r="AU7" s="8">
        <f t="shared" ca="1" si="2"/>
        <v>7.4909667753591258E-3</v>
      </c>
      <c r="AV7" s="8">
        <f t="shared" ca="1" si="2"/>
        <v>8.186014107811548E-3</v>
      </c>
      <c r="AW7" s="8">
        <f t="shared" ca="1" si="2"/>
        <v>9.1589939583453968E-3</v>
      </c>
      <c r="AX7" s="8">
        <f t="shared" ca="1" si="2"/>
        <v>6.9844595774401956E-3</v>
      </c>
      <c r="AY7" s="8">
        <f t="shared" ca="1" si="2"/>
        <v>7.3179271708683474E-3</v>
      </c>
      <c r="BA7" s="6">
        <f t="shared" si="14"/>
        <v>6.25E-2</v>
      </c>
      <c r="BB7" s="10">
        <f t="shared" ca="1" si="11"/>
        <v>11.939650493867362</v>
      </c>
      <c r="BC7" s="10">
        <f t="shared" ca="1" si="3"/>
        <v>12.542663145072785</v>
      </c>
      <c r="BD7" s="10">
        <f t="shared" ca="1" si="3"/>
        <v>10.251215070492181</v>
      </c>
      <c r="BE7" s="10">
        <f t="shared" ca="1" si="3"/>
        <v>11.33663784266194</v>
      </c>
      <c r="BF7" s="10">
        <f t="shared" ca="1" si="3"/>
        <v>9.5376500998990963</v>
      </c>
      <c r="BG7" s="10">
        <f t="shared" ca="1" si="3"/>
        <v>12.060253024108444</v>
      </c>
      <c r="BH7" s="10">
        <f t="shared" ca="1" si="3"/>
        <v>12.602964410193326</v>
      </c>
    </row>
    <row r="8" spans="1:60" x14ac:dyDescent="0.3">
      <c r="A8">
        <f t="shared" ca="1" si="4"/>
        <v>16</v>
      </c>
      <c r="B8" s="4">
        <f t="shared" ca="1" si="0"/>
        <v>6.5040650406504072E-2</v>
      </c>
      <c r="C8">
        <f t="shared" ca="1" si="5"/>
        <v>65.040650406504071</v>
      </c>
      <c r="E8" s="11">
        <f t="shared" si="15"/>
        <v>6.25E-2</v>
      </c>
      <c r="F8" s="13">
        <f t="shared" ref="F8:U23" ca="1" si="16">RANDBETWEEN(20,30)</f>
        <v>22</v>
      </c>
      <c r="G8" s="13">
        <f t="shared" ca="1" si="16"/>
        <v>23</v>
      </c>
      <c r="H8" s="13">
        <f t="shared" ca="1" si="16"/>
        <v>29</v>
      </c>
      <c r="I8" s="13">
        <f t="shared" ca="1" si="16"/>
        <v>21</v>
      </c>
      <c r="J8" s="13">
        <f t="shared" ca="1" si="16"/>
        <v>21</v>
      </c>
      <c r="K8" s="13">
        <f t="shared" ca="1" si="16"/>
        <v>20</v>
      </c>
      <c r="L8" s="13">
        <f t="shared" ca="1" si="16"/>
        <v>21</v>
      </c>
      <c r="M8" s="13">
        <f t="shared" ca="1" si="16"/>
        <v>24</v>
      </c>
      <c r="N8" s="13">
        <f t="shared" ca="1" si="16"/>
        <v>28</v>
      </c>
      <c r="O8" s="13">
        <f t="shared" ca="1" si="16"/>
        <v>23</v>
      </c>
      <c r="P8" s="13">
        <f t="shared" ca="1" si="16"/>
        <v>22</v>
      </c>
      <c r="Q8" s="13">
        <f t="shared" ca="1" si="16"/>
        <v>23</v>
      </c>
      <c r="R8" s="13">
        <f t="shared" ca="1" si="16"/>
        <v>26</v>
      </c>
      <c r="S8" s="13">
        <f t="shared" ca="1" si="16"/>
        <v>23</v>
      </c>
      <c r="T8" s="13">
        <f t="shared" ca="1" si="16"/>
        <v>26</v>
      </c>
      <c r="U8" s="13">
        <f t="shared" ca="1" si="16"/>
        <v>29</v>
      </c>
      <c r="V8" s="13">
        <f t="shared" ca="1" si="7"/>
        <v>26</v>
      </c>
      <c r="W8" s="13">
        <f t="shared" ca="1" si="7"/>
        <v>29</v>
      </c>
      <c r="X8" s="13">
        <f t="shared" ca="1" si="7"/>
        <v>20</v>
      </c>
      <c r="Y8" s="13">
        <f t="shared" ca="1" si="7"/>
        <v>29</v>
      </c>
      <c r="Z8" s="13">
        <f t="shared" ca="1" si="7"/>
        <v>28</v>
      </c>
      <c r="AA8" s="13">
        <f t="shared" ca="1" si="7"/>
        <v>27</v>
      </c>
      <c r="AB8" s="13">
        <f t="shared" ca="1" si="7"/>
        <v>22</v>
      </c>
      <c r="AC8" s="13">
        <f t="shared" ca="1" si="7"/>
        <v>26</v>
      </c>
      <c r="AD8" s="13">
        <f t="shared" ca="1" si="7"/>
        <v>25</v>
      </c>
      <c r="AE8" s="13">
        <f t="shared" ca="1" si="7"/>
        <v>21</v>
      </c>
      <c r="AF8" s="13">
        <f t="shared" ca="1" si="7"/>
        <v>24</v>
      </c>
      <c r="AG8" s="13">
        <f t="shared" ca="1" si="7"/>
        <v>22</v>
      </c>
      <c r="AI8" s="6">
        <f t="shared" si="12"/>
        <v>8.3333333333333329E-2</v>
      </c>
      <c r="AJ8" s="7">
        <f t="shared" ca="1" si="9"/>
        <v>24.75</v>
      </c>
      <c r="AK8" s="7">
        <f t="shared" ca="1" si="1"/>
        <v>24</v>
      </c>
      <c r="AL8" s="7">
        <f t="shared" ca="1" si="1"/>
        <v>25</v>
      </c>
      <c r="AM8" s="7">
        <f t="shared" ca="1" si="1"/>
        <v>25.5</v>
      </c>
      <c r="AN8" s="7">
        <f t="shared" ca="1" si="1"/>
        <v>19.276041666666668</v>
      </c>
      <c r="AO8" s="7">
        <f t="shared" ca="1" si="1"/>
        <v>28.1875</v>
      </c>
      <c r="AP8" s="7">
        <f t="shared" ca="1" si="1"/>
        <v>23.6875</v>
      </c>
      <c r="AR8" s="6">
        <f t="shared" si="13"/>
        <v>8.3333333333333329E-2</v>
      </c>
      <c r="AS8" s="8">
        <f t="shared" ca="1" si="10"/>
        <v>8.6402513527666265E-3</v>
      </c>
      <c r="AT8" s="8">
        <f t="shared" ca="1" si="2"/>
        <v>8.4232692813898391E-3</v>
      </c>
      <c r="AU8" s="8">
        <f t="shared" ca="1" si="2"/>
        <v>8.8129020886577956E-3</v>
      </c>
      <c r="AV8" s="8">
        <f t="shared" ca="1" si="2"/>
        <v>8.882696159540189E-3</v>
      </c>
      <c r="AW8" s="8">
        <f t="shared" ca="1" si="2"/>
        <v>8.9297778292508744E-3</v>
      </c>
      <c r="AX8" s="8">
        <f t="shared" ca="1" si="2"/>
        <v>7.8749781735638208E-3</v>
      </c>
      <c r="AY8" s="8">
        <f t="shared" ca="1" si="2"/>
        <v>6.6351540616246497E-3</v>
      </c>
      <c r="BA8" s="6">
        <f t="shared" si="14"/>
        <v>8.3333333333333329E-2</v>
      </c>
      <c r="BB8" s="10">
        <f t="shared" ca="1" si="11"/>
        <v>11.939650493867362</v>
      </c>
      <c r="BC8" s="10">
        <f t="shared" ca="1" si="3"/>
        <v>11.577842903144107</v>
      </c>
      <c r="BD8" s="10">
        <f t="shared" ca="1" si="3"/>
        <v>12.060253024108448</v>
      </c>
      <c r="BE8" s="10">
        <f t="shared" ca="1" si="3"/>
        <v>12.301458084590616</v>
      </c>
      <c r="BF8" s="10">
        <f t="shared" ca="1" si="3"/>
        <v>9.2989575921302841</v>
      </c>
      <c r="BG8" s="10">
        <f t="shared" ca="1" si="3"/>
        <v>13.597935284682272</v>
      </c>
      <c r="BH8" s="10">
        <f t="shared" ca="1" si="3"/>
        <v>11.427089740342753</v>
      </c>
    </row>
    <row r="9" spans="1:60" x14ac:dyDescent="0.3">
      <c r="A9">
        <f t="shared" ca="1" si="4"/>
        <v>10</v>
      </c>
      <c r="B9" s="4">
        <f t="shared" ca="1" si="0"/>
        <v>4.065040650406504E-2</v>
      </c>
      <c r="C9">
        <f t="shared" ca="1" si="5"/>
        <v>40.650406504065039</v>
      </c>
      <c r="E9" s="11">
        <f t="shared" si="15"/>
        <v>8.3333333333333329E-2</v>
      </c>
      <c r="F9" s="13">
        <f t="shared" ca="1" si="16"/>
        <v>23</v>
      </c>
      <c r="G9" s="13">
        <f t="shared" ca="1" si="16"/>
        <v>29</v>
      </c>
      <c r="H9" s="13">
        <f t="shared" ca="1" si="16"/>
        <v>24</v>
      </c>
      <c r="I9" s="13">
        <f t="shared" ca="1" si="16"/>
        <v>21</v>
      </c>
      <c r="J9" s="13">
        <f t="shared" ca="1" si="16"/>
        <v>24</v>
      </c>
      <c r="K9" s="13">
        <f t="shared" ca="1" si="16"/>
        <v>26</v>
      </c>
      <c r="L9" s="13">
        <f t="shared" ca="1" si="16"/>
        <v>23</v>
      </c>
      <c r="M9" s="13">
        <f t="shared" ca="1" si="16"/>
        <v>24</v>
      </c>
      <c r="N9" s="13">
        <f t="shared" ca="1" si="16"/>
        <v>30</v>
      </c>
      <c r="O9" s="13">
        <f t="shared" ca="1" si="16"/>
        <v>23</v>
      </c>
      <c r="P9" s="13">
        <f t="shared" ca="1" si="16"/>
        <v>30</v>
      </c>
      <c r="Q9" s="13">
        <f t="shared" ca="1" si="16"/>
        <v>26</v>
      </c>
      <c r="R9" s="13">
        <f t="shared" ca="1" si="16"/>
        <v>20</v>
      </c>
      <c r="S9" s="13">
        <f t="shared" ca="1" si="16"/>
        <v>28</v>
      </c>
      <c r="T9" s="13">
        <f t="shared" ca="1" si="16"/>
        <v>26</v>
      </c>
      <c r="U9" s="13">
        <f t="shared" ca="1" si="16"/>
        <v>26</v>
      </c>
      <c r="V9" s="13">
        <f t="shared" ca="1" si="7"/>
        <v>23</v>
      </c>
      <c r="W9" s="13">
        <f t="shared" ca="1" si="7"/>
        <v>30</v>
      </c>
      <c r="X9" s="13">
        <f t="shared" ca="1" si="7"/>
        <v>30</v>
      </c>
      <c r="Y9" s="13">
        <f t="shared" ca="1" si="7"/>
        <v>23</v>
      </c>
      <c r="Z9" s="13">
        <f t="shared" ca="1" si="7"/>
        <v>30</v>
      </c>
      <c r="AA9" s="13">
        <f t="shared" ca="1" si="7"/>
        <v>26</v>
      </c>
      <c r="AB9" s="13">
        <f t="shared" ca="1" si="7"/>
        <v>21</v>
      </c>
      <c r="AC9" s="13">
        <f t="shared" ca="1" si="7"/>
        <v>26</v>
      </c>
      <c r="AD9" s="13">
        <f t="shared" ca="1" si="7"/>
        <v>28</v>
      </c>
      <c r="AE9" s="13">
        <f t="shared" ca="1" si="7"/>
        <v>20</v>
      </c>
      <c r="AF9" s="13">
        <f t="shared" ca="1" si="7"/>
        <v>26</v>
      </c>
      <c r="AG9" s="13">
        <f t="shared" ca="1" si="7"/>
        <v>21</v>
      </c>
      <c r="AI9" s="6">
        <f t="shared" si="12"/>
        <v>0.10416666666666666</v>
      </c>
      <c r="AJ9" s="7">
        <f t="shared" ca="1" si="9"/>
        <v>27.5</v>
      </c>
      <c r="AK9" s="7">
        <f t="shared" ca="1" si="1"/>
        <v>24.75</v>
      </c>
      <c r="AL9" s="7">
        <f t="shared" ca="1" si="1"/>
        <v>28.75</v>
      </c>
      <c r="AM9" s="7">
        <f t="shared" ca="1" si="1"/>
        <v>25.75</v>
      </c>
      <c r="AN9" s="7">
        <f t="shared" ca="1" si="1"/>
        <v>20.53125</v>
      </c>
      <c r="AO9" s="7">
        <f t="shared" ca="1" si="1"/>
        <v>25.9375</v>
      </c>
      <c r="AP9" s="7">
        <f t="shared" ca="1" si="1"/>
        <v>23.625</v>
      </c>
      <c r="AR9" s="6">
        <f t="shared" si="13"/>
        <v>0.10416666666666666</v>
      </c>
      <c r="AS9" s="8">
        <f t="shared" ca="1" si="10"/>
        <v>9.6002792808518068E-3</v>
      </c>
      <c r="AT9" s="8">
        <f t="shared" ca="1" si="2"/>
        <v>8.6864964464332724E-3</v>
      </c>
      <c r="AU9" s="8">
        <f t="shared" ca="1" si="2"/>
        <v>1.0134837401956464E-2</v>
      </c>
      <c r="AV9" s="8">
        <f t="shared" ca="1" si="2"/>
        <v>8.9697814160062707E-3</v>
      </c>
      <c r="AW9" s="8">
        <f t="shared" ca="1" si="2"/>
        <v>9.5112629567432969E-3</v>
      </c>
      <c r="AX9" s="8">
        <f t="shared" ca="1" si="2"/>
        <v>7.246376811594203E-3</v>
      </c>
      <c r="AY9" s="8">
        <f t="shared" ca="1" si="2"/>
        <v>6.6176470588235293E-3</v>
      </c>
      <c r="BA9" s="6">
        <f t="shared" si="14"/>
        <v>0.10416666666666666</v>
      </c>
      <c r="BB9" s="10">
        <f t="shared" ca="1" si="11"/>
        <v>13.26627832651929</v>
      </c>
      <c r="BC9" s="10">
        <f t="shared" ca="1" si="3"/>
        <v>11.939650493867363</v>
      </c>
      <c r="BD9" s="10">
        <f t="shared" ca="1" si="3"/>
        <v>13.869290977724713</v>
      </c>
      <c r="BE9" s="10">
        <f t="shared" ca="1" si="3"/>
        <v>12.4220606148317</v>
      </c>
      <c r="BF9" s="10">
        <f t="shared" ca="1" si="3"/>
        <v>9.9044827960490611</v>
      </c>
      <c r="BG9" s="10">
        <f t="shared" ca="1" si="3"/>
        <v>12.512512512512512</v>
      </c>
      <c r="BH9" s="10">
        <f t="shared" ca="1" si="3"/>
        <v>11.396939107782481</v>
      </c>
    </row>
    <row r="10" spans="1:60" x14ac:dyDescent="0.3">
      <c r="A10">
        <f t="shared" ca="1" si="4"/>
        <v>18</v>
      </c>
      <c r="B10" s="4">
        <f t="shared" ca="1" si="0"/>
        <v>7.3170731707317069E-2</v>
      </c>
      <c r="C10">
        <f t="shared" ca="1" si="5"/>
        <v>73.170731707317074</v>
      </c>
      <c r="E10" s="11">
        <f t="shared" si="15"/>
        <v>0.10416666666666666</v>
      </c>
      <c r="F10" s="13">
        <f t="shared" ca="1" si="16"/>
        <v>24</v>
      </c>
      <c r="G10" s="13">
        <f t="shared" ca="1" si="16"/>
        <v>25</v>
      </c>
      <c r="H10" s="13">
        <f t="shared" ca="1" si="16"/>
        <v>25</v>
      </c>
      <c r="I10" s="13">
        <f t="shared" ca="1" si="16"/>
        <v>21</v>
      </c>
      <c r="J10" s="13">
        <f t="shared" ca="1" si="16"/>
        <v>30</v>
      </c>
      <c r="K10" s="13">
        <f t="shared" ca="1" si="16"/>
        <v>26</v>
      </c>
      <c r="L10" s="13">
        <f t="shared" ca="1" si="16"/>
        <v>27</v>
      </c>
      <c r="M10" s="13">
        <f t="shared" ca="1" si="16"/>
        <v>28</v>
      </c>
      <c r="N10" s="13">
        <f t="shared" ca="1" si="16"/>
        <v>29</v>
      </c>
      <c r="O10" s="13">
        <f t="shared" ca="1" si="16"/>
        <v>20</v>
      </c>
      <c r="P10" s="13">
        <f t="shared" ca="1" si="16"/>
        <v>28</v>
      </c>
      <c r="Q10" s="13">
        <f t="shared" ca="1" si="16"/>
        <v>30</v>
      </c>
      <c r="R10" s="13">
        <f t="shared" ca="1" si="16"/>
        <v>23</v>
      </c>
      <c r="S10" s="13">
        <f t="shared" ca="1" si="16"/>
        <v>20</v>
      </c>
      <c r="T10" s="13">
        <f t="shared" ca="1" si="16"/>
        <v>30</v>
      </c>
      <c r="U10" s="13">
        <f t="shared" ca="1" si="16"/>
        <v>26</v>
      </c>
      <c r="V10" s="13">
        <f t="shared" ca="1" si="7"/>
        <v>25</v>
      </c>
      <c r="W10" s="13">
        <f t="shared" ca="1" si="7"/>
        <v>24</v>
      </c>
      <c r="X10" s="13">
        <f t="shared" ca="1" si="7"/>
        <v>30</v>
      </c>
      <c r="Y10" s="13">
        <f t="shared" ca="1" si="7"/>
        <v>20</v>
      </c>
      <c r="Z10" s="13">
        <f t="shared" ca="1" si="7"/>
        <v>27</v>
      </c>
      <c r="AA10" s="13">
        <f t="shared" ca="1" si="7"/>
        <v>28</v>
      </c>
      <c r="AB10" s="13">
        <f t="shared" ca="1" si="7"/>
        <v>27</v>
      </c>
      <c r="AC10" s="13">
        <f t="shared" ca="1" si="7"/>
        <v>29</v>
      </c>
      <c r="AD10" s="13">
        <f t="shared" ca="1" si="7"/>
        <v>28</v>
      </c>
      <c r="AE10" s="13">
        <f t="shared" ca="1" si="7"/>
        <v>25</v>
      </c>
      <c r="AF10" s="13">
        <f t="shared" ca="1" si="7"/>
        <v>25</v>
      </c>
      <c r="AG10" s="13">
        <f t="shared" ca="1" si="7"/>
        <v>29</v>
      </c>
      <c r="AI10" s="6">
        <f t="shared" si="12"/>
        <v>0.12499999999999999</v>
      </c>
      <c r="AJ10" s="7">
        <f t="shared" ca="1" si="9"/>
        <v>25</v>
      </c>
      <c r="AK10" s="7">
        <f t="shared" ca="1" si="1"/>
        <v>23.75</v>
      </c>
      <c r="AL10" s="7">
        <f t="shared" ca="1" si="1"/>
        <v>25</v>
      </c>
      <c r="AM10" s="7">
        <f t="shared" ca="1" si="1"/>
        <v>26.5</v>
      </c>
      <c r="AN10" s="7">
        <f t="shared" ca="1" si="1"/>
        <v>19.036458333333332</v>
      </c>
      <c r="AO10" s="7">
        <f t="shared" ca="1" si="1"/>
        <v>23.625</v>
      </c>
      <c r="AP10" s="7">
        <f t="shared" ca="1" si="1"/>
        <v>24.25</v>
      </c>
      <c r="AR10" s="6">
        <f t="shared" si="13"/>
        <v>0.12499999999999999</v>
      </c>
      <c r="AS10" s="8">
        <f t="shared" ca="1" si="10"/>
        <v>8.7275266189561877E-3</v>
      </c>
      <c r="AT10" s="8">
        <f t="shared" ca="1" si="2"/>
        <v>8.3355268930420286E-3</v>
      </c>
      <c r="AU10" s="8">
        <f t="shared" ca="1" si="2"/>
        <v>8.8129020886577956E-3</v>
      </c>
      <c r="AV10" s="8">
        <f t="shared" ca="1" si="2"/>
        <v>9.2310371854045104E-3</v>
      </c>
      <c r="AW10" s="8">
        <f t="shared" ca="1" si="2"/>
        <v>8.8187889667419462E-3</v>
      </c>
      <c r="AX10" s="8">
        <f t="shared" ca="1" si="2"/>
        <v>6.6003143006809848E-3</v>
      </c>
      <c r="AY10" s="8">
        <f t="shared" ca="1" si="2"/>
        <v>6.792717086834734E-3</v>
      </c>
      <c r="BA10" s="6">
        <f t="shared" si="14"/>
        <v>0.12499999999999999</v>
      </c>
      <c r="BB10" s="10">
        <f t="shared" ca="1" si="11"/>
        <v>12.060253024108446</v>
      </c>
      <c r="BC10" s="10">
        <f t="shared" ca="1" si="3"/>
        <v>11.457240372903023</v>
      </c>
      <c r="BD10" s="10">
        <f t="shared" ca="1" si="3"/>
        <v>12.060253024108448</v>
      </c>
      <c r="BE10" s="10">
        <f t="shared" ca="1" si="3"/>
        <v>12.783868205554953</v>
      </c>
      <c r="BF10" s="10">
        <f t="shared" ca="1" si="3"/>
        <v>9.1833801673159101</v>
      </c>
      <c r="BG10" s="10">
        <f t="shared" ca="1" si="3"/>
        <v>11.396939107782481</v>
      </c>
      <c r="BH10" s="10">
        <f t="shared" ca="1" si="3"/>
        <v>11.698445433385194</v>
      </c>
    </row>
    <row r="11" spans="1:60" x14ac:dyDescent="0.3">
      <c r="A11">
        <f t="shared" ca="1" si="4"/>
        <v>12</v>
      </c>
      <c r="B11" s="4">
        <f t="shared" ca="1" si="0"/>
        <v>4.878048780487805E-2</v>
      </c>
      <c r="C11">
        <f t="shared" ca="1" si="5"/>
        <v>48.780487804878049</v>
      </c>
      <c r="E11" s="11">
        <f t="shared" si="15"/>
        <v>0.12499999999999999</v>
      </c>
      <c r="F11" s="13">
        <f t="shared" ca="1" si="16"/>
        <v>22</v>
      </c>
      <c r="G11" s="13">
        <f t="shared" ca="1" si="16"/>
        <v>26</v>
      </c>
      <c r="H11" s="13">
        <f t="shared" ca="1" si="16"/>
        <v>27</v>
      </c>
      <c r="I11" s="13">
        <f t="shared" ca="1" si="16"/>
        <v>20</v>
      </c>
      <c r="J11" s="13">
        <f t="shared" ca="1" si="16"/>
        <v>29</v>
      </c>
      <c r="K11" s="13">
        <f t="shared" ca="1" si="16"/>
        <v>20</v>
      </c>
      <c r="L11" s="13">
        <f t="shared" ca="1" si="16"/>
        <v>27</v>
      </c>
      <c r="M11" s="13">
        <f t="shared" ca="1" si="16"/>
        <v>29</v>
      </c>
      <c r="N11" s="13">
        <f t="shared" ca="1" si="16"/>
        <v>30</v>
      </c>
      <c r="O11" s="13">
        <f t="shared" ca="1" si="16"/>
        <v>23</v>
      </c>
      <c r="P11" s="13">
        <f t="shared" ca="1" si="16"/>
        <v>21</v>
      </c>
      <c r="Q11" s="13">
        <f t="shared" ca="1" si="16"/>
        <v>26</v>
      </c>
      <c r="R11" s="13">
        <f t="shared" ca="1" si="16"/>
        <v>26</v>
      </c>
      <c r="S11" s="13">
        <f t="shared" ca="1" si="16"/>
        <v>26</v>
      </c>
      <c r="T11" s="13">
        <f t="shared" ca="1" si="16"/>
        <v>29</v>
      </c>
      <c r="U11" s="13">
        <f t="shared" ca="1" si="16"/>
        <v>20</v>
      </c>
      <c r="V11" s="13">
        <f t="shared" ca="1" si="7"/>
        <v>23</v>
      </c>
      <c r="W11" s="13">
        <f t="shared" ca="1" si="7"/>
        <v>21</v>
      </c>
      <c r="X11" s="13">
        <f t="shared" ca="1" si="7"/>
        <v>25</v>
      </c>
      <c r="Y11" s="13">
        <f t="shared" ca="1" si="7"/>
        <v>23</v>
      </c>
      <c r="Z11" s="13">
        <f t="shared" ca="1" si="7"/>
        <v>24</v>
      </c>
      <c r="AA11" s="13">
        <f t="shared" ca="1" si="7"/>
        <v>20</v>
      </c>
      <c r="AB11" s="13">
        <f t="shared" ca="1" si="7"/>
        <v>26</v>
      </c>
      <c r="AC11" s="13">
        <f t="shared" ca="1" si="7"/>
        <v>22</v>
      </c>
      <c r="AD11" s="13">
        <f t="shared" ca="1" si="7"/>
        <v>30</v>
      </c>
      <c r="AE11" s="13">
        <f ca="1">RANDBETWEEN(20,30)</f>
        <v>20</v>
      </c>
      <c r="AF11" s="13">
        <f t="shared" ca="1" si="7"/>
        <v>24</v>
      </c>
      <c r="AG11" s="13">
        <f t="shared" ca="1" si="7"/>
        <v>29</v>
      </c>
      <c r="AI11" s="6">
        <f t="shared" si="12"/>
        <v>0.14583333333333331</v>
      </c>
      <c r="AJ11" s="7">
        <f t="shared" ca="1" si="9"/>
        <v>22.75</v>
      </c>
      <c r="AK11" s="7">
        <f t="shared" ca="1" si="1"/>
        <v>22.5</v>
      </c>
      <c r="AL11" s="7">
        <f t="shared" ca="1" si="1"/>
        <v>24</v>
      </c>
      <c r="AM11" s="7">
        <f t="shared" ca="1" si="1"/>
        <v>24</v>
      </c>
      <c r="AN11" s="7">
        <f t="shared" ca="1" si="1"/>
        <v>17.791666666666668</v>
      </c>
      <c r="AO11" s="7">
        <f t="shared" ca="1" si="1"/>
        <v>27.3125</v>
      </c>
      <c r="AP11" s="7">
        <f t="shared" ca="1" si="1"/>
        <v>26.9375</v>
      </c>
      <c r="AR11" s="6">
        <f t="shared" si="13"/>
        <v>0.14583333333333331</v>
      </c>
      <c r="AS11" s="8">
        <f t="shared" ca="1" si="10"/>
        <v>7.9420492232501316E-3</v>
      </c>
      <c r="AT11" s="8">
        <f t="shared" ca="1" si="2"/>
        <v>7.8968149513029742E-3</v>
      </c>
      <c r="AU11" s="8">
        <f t="shared" ca="1" si="2"/>
        <v>8.4603860051114827E-3</v>
      </c>
      <c r="AV11" s="8">
        <f t="shared" ca="1" si="2"/>
        <v>8.3601846207437078E-3</v>
      </c>
      <c r="AW11" s="8">
        <f t="shared" ca="1" si="2"/>
        <v>8.2421294419673021E-3</v>
      </c>
      <c r="AX11" s="8">
        <f t="shared" ca="1" si="2"/>
        <v>7.6305220883534138E-3</v>
      </c>
      <c r="AY11" s="8">
        <f t="shared" ca="1" si="2"/>
        <v>7.5455182072829132E-3</v>
      </c>
      <c r="BA11" s="6">
        <f t="shared" si="14"/>
        <v>0.14583333333333331</v>
      </c>
      <c r="BB11" s="10">
        <f t="shared" ca="1" si="11"/>
        <v>10.974830251938688</v>
      </c>
      <c r="BC11" s="10">
        <f t="shared" ca="1" si="3"/>
        <v>10.854227721697601</v>
      </c>
      <c r="BD11" s="10">
        <f t="shared" ca="1" si="3"/>
        <v>11.577842903144107</v>
      </c>
      <c r="BE11" s="10">
        <f t="shared" ca="1" si="3"/>
        <v>11.577842903144107</v>
      </c>
      <c r="BF11" s="10">
        <f t="shared" ca="1" si="3"/>
        <v>8.5828800688238438</v>
      </c>
      <c r="BG11" s="10">
        <f t="shared" ca="1" si="3"/>
        <v>13.175826428838477</v>
      </c>
      <c r="BH11" s="10">
        <f t="shared" ca="1" si="3"/>
        <v>12.99492263347685</v>
      </c>
    </row>
    <row r="12" spans="1:60" x14ac:dyDescent="0.3">
      <c r="A12">
        <f t="shared" ca="1" si="4"/>
        <v>18</v>
      </c>
      <c r="B12" s="4">
        <f t="shared" ca="1" si="0"/>
        <v>7.3170731707317069E-2</v>
      </c>
      <c r="C12">
        <f t="shared" ca="1" si="5"/>
        <v>73.170731707317074</v>
      </c>
      <c r="E12" s="11">
        <f t="shared" si="15"/>
        <v>0.14583333333333331</v>
      </c>
      <c r="F12" s="13">
        <f t="shared" ca="1" si="16"/>
        <v>21</v>
      </c>
      <c r="G12" s="13">
        <f t="shared" ca="1" si="16"/>
        <v>22</v>
      </c>
      <c r="H12" s="13">
        <f t="shared" ca="1" si="16"/>
        <v>21</v>
      </c>
      <c r="I12" s="13">
        <f t="shared" ca="1" si="16"/>
        <v>20</v>
      </c>
      <c r="J12" s="13">
        <f t="shared" ca="1" si="16"/>
        <v>21</v>
      </c>
      <c r="K12" s="13">
        <f t="shared" ca="1" si="16"/>
        <v>27</v>
      </c>
      <c r="L12" s="13">
        <f t="shared" ca="1" si="16"/>
        <v>25</v>
      </c>
      <c r="M12" s="13">
        <f t="shared" ca="1" si="16"/>
        <v>24</v>
      </c>
      <c r="N12" s="13">
        <f t="shared" ca="1" si="16"/>
        <v>27</v>
      </c>
      <c r="O12" s="13">
        <f t="shared" ca="1" si="16"/>
        <v>26</v>
      </c>
      <c r="P12" s="13">
        <f t="shared" ca="1" si="16"/>
        <v>29</v>
      </c>
      <c r="Q12" s="13">
        <f t="shared" ca="1" si="16"/>
        <v>25</v>
      </c>
      <c r="R12" s="13">
        <f t="shared" ca="1" si="16"/>
        <v>23</v>
      </c>
      <c r="S12" s="13">
        <f t="shared" ca="1" si="16"/>
        <v>29</v>
      </c>
      <c r="T12" s="13">
        <f t="shared" ca="1" si="16"/>
        <v>20</v>
      </c>
      <c r="U12" s="13">
        <f t="shared" ca="1" si="16"/>
        <v>20</v>
      </c>
      <c r="V12" s="13">
        <f t="shared" ca="1" si="7"/>
        <v>22</v>
      </c>
      <c r="W12" s="13">
        <f t="shared" ca="1" si="7"/>
        <v>30</v>
      </c>
      <c r="X12" s="13">
        <f t="shared" ca="1" si="7"/>
        <v>20</v>
      </c>
      <c r="Y12" s="13">
        <f t="shared" ca="1" si="7"/>
        <v>29</v>
      </c>
      <c r="Z12" s="13">
        <f t="shared" ca="1" si="7"/>
        <v>21</v>
      </c>
      <c r="AA12" s="13">
        <f t="shared" ca="1" si="7"/>
        <v>26</v>
      </c>
      <c r="AB12" s="13">
        <f t="shared" ca="1" si="7"/>
        <v>24</v>
      </c>
      <c r="AC12" s="13">
        <f t="shared" ca="1" si="7"/>
        <v>21</v>
      </c>
      <c r="AD12" s="13">
        <f t="shared" ca="1" si="7"/>
        <v>25</v>
      </c>
      <c r="AE12" s="13">
        <f ca="1">RANDBETWEEN(20,30)</f>
        <v>30</v>
      </c>
      <c r="AF12" s="13">
        <f t="shared" ca="1" si="7"/>
        <v>30</v>
      </c>
      <c r="AG12" s="13">
        <f t="shared" ca="1" si="7"/>
        <v>21</v>
      </c>
      <c r="AI12" s="6">
        <f t="shared" si="12"/>
        <v>0.16666666666666666</v>
      </c>
      <c r="AJ12" s="7">
        <f t="shared" ca="1" si="9"/>
        <v>27.75</v>
      </c>
      <c r="AK12" s="7">
        <f t="shared" ca="1" si="1"/>
        <v>25.25</v>
      </c>
      <c r="AL12" s="7">
        <f t="shared" ca="1" si="1"/>
        <v>24</v>
      </c>
      <c r="AM12" s="7">
        <f t="shared" ca="1" si="1"/>
        <v>25.75</v>
      </c>
      <c r="AN12" s="7">
        <f t="shared" ca="1" si="1"/>
        <v>19.296875</v>
      </c>
      <c r="AO12" s="7">
        <f t="shared" ca="1" si="1"/>
        <v>24</v>
      </c>
      <c r="AP12" s="7">
        <f t="shared" ca="1" si="1"/>
        <v>24.1875</v>
      </c>
      <c r="AR12" s="6">
        <f t="shared" si="13"/>
        <v>0.16666666666666666</v>
      </c>
      <c r="AS12" s="8">
        <f t="shared" ca="1" si="10"/>
        <v>9.6875545470413681E-3</v>
      </c>
      <c r="AT12" s="8">
        <f t="shared" ca="1" si="2"/>
        <v>8.8619812231288935E-3</v>
      </c>
      <c r="AU12" s="8">
        <f t="shared" ca="1" si="2"/>
        <v>8.4603860051114827E-3</v>
      </c>
      <c r="AV12" s="8">
        <f t="shared" ca="1" si="2"/>
        <v>8.9697814160062707E-3</v>
      </c>
      <c r="AW12" s="8">
        <f t="shared" ca="1" si="2"/>
        <v>8.939429034686433E-3</v>
      </c>
      <c r="AX12" s="8">
        <f t="shared" ca="1" si="2"/>
        <v>6.7050811943425879E-3</v>
      </c>
      <c r="AY12" s="8">
        <f t="shared" ca="1" si="2"/>
        <v>6.7752100840336137E-3</v>
      </c>
      <c r="BA12" s="6">
        <f t="shared" si="14"/>
        <v>0.16666666666666666</v>
      </c>
      <c r="BB12" s="10">
        <f t="shared" ca="1" si="11"/>
        <v>13.386880856760374</v>
      </c>
      <c r="BC12" s="10">
        <f t="shared" ca="1" si="3"/>
        <v>12.180855554349529</v>
      </c>
      <c r="BD12" s="10">
        <f t="shared" ca="1" si="3"/>
        <v>11.577842903144107</v>
      </c>
      <c r="BE12" s="10">
        <f t="shared" ca="1" si="3"/>
        <v>12.4220606148317</v>
      </c>
      <c r="BF12" s="10">
        <f t="shared" ca="1" si="3"/>
        <v>9.3090078029837073</v>
      </c>
      <c r="BG12" s="10">
        <f t="shared" ca="1" si="3"/>
        <v>11.577842903144109</v>
      </c>
      <c r="BH12" s="10">
        <f t="shared" ca="1" si="3"/>
        <v>11.668294800824922</v>
      </c>
    </row>
    <row r="13" spans="1:60" x14ac:dyDescent="0.3">
      <c r="A13">
        <f t="shared" ca="1" si="4"/>
        <v>19</v>
      </c>
      <c r="B13" s="4">
        <f t="shared" ca="1" si="0"/>
        <v>7.7235772357723581E-2</v>
      </c>
      <c r="C13">
        <f t="shared" ca="1" si="5"/>
        <v>77.235772357723576</v>
      </c>
      <c r="E13" s="11">
        <f t="shared" si="15"/>
        <v>0.16666666666666666</v>
      </c>
      <c r="F13" s="13">
        <f t="shared" ca="1" si="16"/>
        <v>27</v>
      </c>
      <c r="G13" s="13">
        <f t="shared" ca="1" si="16"/>
        <v>21</v>
      </c>
      <c r="H13" s="13">
        <f t="shared" ca="1" si="16"/>
        <v>29</v>
      </c>
      <c r="I13" s="13">
        <f t="shared" ca="1" si="16"/>
        <v>22</v>
      </c>
      <c r="J13" s="13">
        <f t="shared" ca="1" si="16"/>
        <v>22</v>
      </c>
      <c r="K13" s="13">
        <f t="shared" ca="1" si="16"/>
        <v>28</v>
      </c>
      <c r="L13" s="13">
        <f t="shared" ca="1" si="16"/>
        <v>29</v>
      </c>
      <c r="M13" s="13">
        <f t="shared" ca="1" si="16"/>
        <v>30</v>
      </c>
      <c r="N13" s="13">
        <f t="shared" ca="1" si="16"/>
        <v>25</v>
      </c>
      <c r="O13" s="13">
        <f t="shared" ca="1" si="16"/>
        <v>30</v>
      </c>
      <c r="P13" s="13">
        <f t="shared" ca="1" si="16"/>
        <v>28</v>
      </c>
      <c r="Q13" s="13">
        <f t="shared" ca="1" si="16"/>
        <v>26</v>
      </c>
      <c r="R13" s="13">
        <f t="shared" ca="1" si="16"/>
        <v>20</v>
      </c>
      <c r="S13" s="13">
        <f t="shared" ca="1" si="16"/>
        <v>23</v>
      </c>
      <c r="T13" s="13">
        <f t="shared" ca="1" si="16"/>
        <v>26</v>
      </c>
      <c r="U13" s="13">
        <f t="shared" ca="1" si="16"/>
        <v>30</v>
      </c>
      <c r="V13" s="13">
        <f t="shared" ca="1" si="7"/>
        <v>21</v>
      </c>
      <c r="W13" s="13">
        <f t="shared" ca="1" si="7"/>
        <v>20</v>
      </c>
      <c r="X13" s="13">
        <f t="shared" ca="1" si="7"/>
        <v>21</v>
      </c>
      <c r="Y13" s="13">
        <f t="shared" ca="1" si="7"/>
        <v>26</v>
      </c>
      <c r="Z13" s="13">
        <f t="shared" ca="1" si="7"/>
        <v>21</v>
      </c>
      <c r="AA13" s="13">
        <f t="shared" ca="1" si="7"/>
        <v>28</v>
      </c>
      <c r="AB13" s="13">
        <f t="shared" ca="1" si="7"/>
        <v>22</v>
      </c>
      <c r="AC13" s="13">
        <f t="shared" ca="1" si="7"/>
        <v>21</v>
      </c>
      <c r="AD13" s="13">
        <f t="shared" ca="1" si="7"/>
        <v>24</v>
      </c>
      <c r="AE13" s="13">
        <f t="shared" ca="1" si="7"/>
        <v>27</v>
      </c>
      <c r="AF13" s="13">
        <f t="shared" ca="1" si="7"/>
        <v>29</v>
      </c>
      <c r="AG13" s="13">
        <f t="shared" ca="1" si="7"/>
        <v>30</v>
      </c>
      <c r="AI13" s="6">
        <f t="shared" si="12"/>
        <v>0.1875</v>
      </c>
      <c r="AJ13" s="7">
        <f t="shared" ca="1" si="9"/>
        <v>25.75</v>
      </c>
      <c r="AK13" s="7">
        <f t="shared" ca="1" si="1"/>
        <v>24</v>
      </c>
      <c r="AL13" s="7">
        <f t="shared" ca="1" si="1"/>
        <v>26.75</v>
      </c>
      <c r="AM13" s="7">
        <f t="shared" ca="1" si="1"/>
        <v>21.75</v>
      </c>
      <c r="AN13" s="7">
        <f t="shared" ca="1" si="1"/>
        <v>19.052083333333332</v>
      </c>
      <c r="AO13" s="7">
        <f t="shared" ca="1" si="1"/>
        <v>23.0625</v>
      </c>
      <c r="AP13" s="7">
        <f t="shared" ca="1" si="1"/>
        <v>24.9375</v>
      </c>
      <c r="AR13" s="6">
        <f t="shared" si="13"/>
        <v>0.1875</v>
      </c>
      <c r="AS13" s="8">
        <f t="shared" ca="1" si="10"/>
        <v>8.9893524175248731E-3</v>
      </c>
      <c r="AT13" s="8">
        <f t="shared" ca="1" si="2"/>
        <v>8.4232692813898391E-3</v>
      </c>
      <c r="AU13" s="8">
        <f t="shared" ca="1" si="2"/>
        <v>9.4298052348638414E-3</v>
      </c>
      <c r="AV13" s="8">
        <f t="shared" ca="1" si="2"/>
        <v>7.5764173125489852E-3</v>
      </c>
      <c r="AW13" s="8">
        <f t="shared" ca="1" si="2"/>
        <v>8.8260273708186138E-3</v>
      </c>
      <c r="AX13" s="8">
        <f t="shared" ca="1" si="2"/>
        <v>6.4431639601885806E-3</v>
      </c>
      <c r="AY13" s="8">
        <f t="shared" ca="1" si="2"/>
        <v>6.9852941176470592E-3</v>
      </c>
      <c r="BA13" s="6">
        <f t="shared" si="14"/>
        <v>0.1875</v>
      </c>
      <c r="BB13" s="10">
        <f t="shared" ca="1" si="11"/>
        <v>12.422060614831699</v>
      </c>
      <c r="BC13" s="10">
        <f t="shared" ca="1" si="3"/>
        <v>11.577842903144107</v>
      </c>
      <c r="BD13" s="10">
        <f t="shared" ca="1" si="3"/>
        <v>12.904470735796039</v>
      </c>
      <c r="BE13" s="10">
        <f t="shared" ca="1" si="3"/>
        <v>10.492420130974347</v>
      </c>
      <c r="BF13" s="10">
        <f t="shared" ca="1" si="3"/>
        <v>9.1909178254559762</v>
      </c>
      <c r="BG13" s="10">
        <f t="shared" ca="1" si="3"/>
        <v>11.12558341474004</v>
      </c>
      <c r="BH13" s="10">
        <f t="shared" ca="1" si="3"/>
        <v>12.030102391548176</v>
      </c>
    </row>
    <row r="14" spans="1:60" x14ac:dyDescent="0.3">
      <c r="A14">
        <f t="shared" ca="1" si="4"/>
        <v>15</v>
      </c>
      <c r="B14" s="4">
        <f t="shared" ca="1" si="0"/>
        <v>6.097560975609756E-2</v>
      </c>
      <c r="C14">
        <f t="shared" ca="1" si="5"/>
        <v>60.975609756097562</v>
      </c>
      <c r="E14" s="11">
        <f t="shared" si="15"/>
        <v>0.1875</v>
      </c>
      <c r="F14" s="13">
        <f t="shared" ca="1" si="16"/>
        <v>23</v>
      </c>
      <c r="G14" s="13">
        <f t="shared" ca="1" si="16"/>
        <v>27</v>
      </c>
      <c r="H14" s="13">
        <f t="shared" ca="1" si="16"/>
        <v>25</v>
      </c>
      <c r="I14" s="13">
        <f t="shared" ca="1" si="16"/>
        <v>24</v>
      </c>
      <c r="J14" s="13">
        <f t="shared" ca="1" si="16"/>
        <v>28</v>
      </c>
      <c r="K14" s="13">
        <f t="shared" ca="1" si="16"/>
        <v>20</v>
      </c>
      <c r="L14" s="13">
        <f t="shared" ca="1" si="16"/>
        <v>21</v>
      </c>
      <c r="M14" s="13">
        <f t="shared" ca="1" si="16"/>
        <v>26</v>
      </c>
      <c r="N14" s="13">
        <f t="shared" ca="1" si="16"/>
        <v>25</v>
      </c>
      <c r="O14" s="13">
        <f t="shared" ca="1" si="16"/>
        <v>29</v>
      </c>
      <c r="P14" s="13">
        <f t="shared" ca="1" si="16"/>
        <v>20</v>
      </c>
      <c r="Q14" s="13">
        <f t="shared" ca="1" si="16"/>
        <v>28</v>
      </c>
      <c r="R14" s="13">
        <f t="shared" ca="1" si="16"/>
        <v>20</v>
      </c>
      <c r="S14" s="13">
        <f t="shared" ca="1" si="16"/>
        <v>21</v>
      </c>
      <c r="T14" s="13">
        <f t="shared" ca="1" si="16"/>
        <v>24</v>
      </c>
      <c r="U14" s="13">
        <f t="shared" ca="1" si="16"/>
        <v>30</v>
      </c>
      <c r="V14" s="13">
        <f t="shared" ca="1" si="7"/>
        <v>20</v>
      </c>
      <c r="W14" s="13">
        <f t="shared" ca="1" si="7"/>
        <v>24</v>
      </c>
      <c r="X14" s="13">
        <f t="shared" ca="1" si="7"/>
        <v>26</v>
      </c>
      <c r="Y14" s="13">
        <f t="shared" ca="1" si="7"/>
        <v>25</v>
      </c>
      <c r="Z14" s="13">
        <f t="shared" ca="1" si="7"/>
        <v>21</v>
      </c>
      <c r="AA14" s="13">
        <f t="shared" ca="1" si="7"/>
        <v>30</v>
      </c>
      <c r="AB14" s="13">
        <f t="shared" ca="1" si="7"/>
        <v>21</v>
      </c>
      <c r="AC14" s="13">
        <f t="shared" ca="1" si="7"/>
        <v>22</v>
      </c>
      <c r="AD14" s="13">
        <f t="shared" ca="1" si="7"/>
        <v>23</v>
      </c>
      <c r="AE14" s="13">
        <f t="shared" ca="1" si="7"/>
        <v>25</v>
      </c>
      <c r="AF14" s="13">
        <f t="shared" ca="1" si="7"/>
        <v>29</v>
      </c>
      <c r="AG14" s="13">
        <f t="shared" ca="1" si="7"/>
        <v>24</v>
      </c>
      <c r="AI14" s="6">
        <f t="shared" si="12"/>
        <v>0.20833333333333334</v>
      </c>
      <c r="AJ14" s="7">
        <f t="shared" ca="1" si="9"/>
        <v>25</v>
      </c>
      <c r="AK14" s="7">
        <f t="shared" ca="1" si="1"/>
        <v>25.25</v>
      </c>
      <c r="AL14" s="7">
        <f t="shared" ca="1" si="1"/>
        <v>26.5</v>
      </c>
      <c r="AM14" s="7">
        <f t="shared" ca="1" si="1"/>
        <v>25.75</v>
      </c>
      <c r="AN14" s="7">
        <f t="shared" ca="1" si="1"/>
        <v>16.557291666666668</v>
      </c>
      <c r="AO14" s="7">
        <f t="shared" ca="1" si="1"/>
        <v>23.9375</v>
      </c>
      <c r="AP14" s="7">
        <f t="shared" ca="1" si="1"/>
        <v>24.4375</v>
      </c>
      <c r="AR14" s="6">
        <f t="shared" si="13"/>
        <v>0.20833333333333334</v>
      </c>
      <c r="AS14" s="8">
        <f t="shared" ca="1" si="10"/>
        <v>8.7275266189561877E-3</v>
      </c>
      <c r="AT14" s="8">
        <f t="shared" ca="1" si="2"/>
        <v>8.8619812231288935E-3</v>
      </c>
      <c r="AU14" s="8">
        <f t="shared" ca="1" si="2"/>
        <v>9.3416762139772631E-3</v>
      </c>
      <c r="AV14" s="8">
        <f t="shared" ca="1" si="2"/>
        <v>8.9697814160062707E-3</v>
      </c>
      <c r="AW14" s="8">
        <f t="shared" ca="1" si="2"/>
        <v>7.6702955199104373E-3</v>
      </c>
      <c r="AX14" s="8">
        <f t="shared" ca="1" si="2"/>
        <v>6.6876200453989875E-3</v>
      </c>
      <c r="AY14" s="8">
        <f t="shared" ca="1" si="2"/>
        <v>6.8452380952380952E-3</v>
      </c>
      <c r="BA14" s="6">
        <f t="shared" si="14"/>
        <v>0.20833333333333334</v>
      </c>
      <c r="BB14" s="10">
        <f t="shared" ca="1" si="11"/>
        <v>12.060253024108446</v>
      </c>
      <c r="BC14" s="10">
        <f t="shared" ca="1" si="3"/>
        <v>12.180855554349529</v>
      </c>
      <c r="BD14" s="10">
        <f t="shared" ca="1" si="3"/>
        <v>12.783868205554954</v>
      </c>
      <c r="BE14" s="10">
        <f t="shared" ca="1" si="3"/>
        <v>12.4220606148317</v>
      </c>
      <c r="BF14" s="10">
        <f t="shared" ca="1" si="3"/>
        <v>7.9874050757584909</v>
      </c>
      <c r="BG14" s="10">
        <f t="shared" ca="1" si="3"/>
        <v>11.547692270583838</v>
      </c>
      <c r="BH14" s="10">
        <f t="shared" ca="1" si="3"/>
        <v>11.788897331066005</v>
      </c>
    </row>
    <row r="15" spans="1:60" x14ac:dyDescent="0.3">
      <c r="A15">
        <f t="shared" ca="1" si="4"/>
        <v>13</v>
      </c>
      <c r="B15" s="4">
        <f t="shared" ca="1" si="0"/>
        <v>5.2845528455284556E-2</v>
      </c>
      <c r="C15">
        <f t="shared" ca="1" si="5"/>
        <v>52.845528455284558</v>
      </c>
      <c r="E15" s="11">
        <f t="shared" si="15"/>
        <v>0.20833333333333334</v>
      </c>
      <c r="F15" s="13">
        <f t="shared" ca="1" si="16"/>
        <v>30</v>
      </c>
      <c r="G15" s="13">
        <f t="shared" ca="1" si="16"/>
        <v>26</v>
      </c>
      <c r="H15" s="13">
        <f t="shared" ca="1" si="16"/>
        <v>25</v>
      </c>
      <c r="I15" s="13">
        <f t="shared" ca="1" si="16"/>
        <v>22</v>
      </c>
      <c r="J15" s="13">
        <f t="shared" ca="1" si="16"/>
        <v>24</v>
      </c>
      <c r="K15" s="13">
        <f t="shared" ca="1" si="16"/>
        <v>27</v>
      </c>
      <c r="L15" s="13">
        <f t="shared" ca="1" si="16"/>
        <v>28</v>
      </c>
      <c r="M15" s="13">
        <f t="shared" ca="1" si="16"/>
        <v>25</v>
      </c>
      <c r="N15" s="13">
        <f t="shared" ca="1" si="16"/>
        <v>23</v>
      </c>
      <c r="O15" s="13">
        <f t="shared" ca="1" si="16"/>
        <v>29</v>
      </c>
      <c r="P15" s="13">
        <f t="shared" ca="1" si="16"/>
        <v>24</v>
      </c>
      <c r="Q15" s="13">
        <f t="shared" ca="1" si="16"/>
        <v>26</v>
      </c>
      <c r="R15" s="13">
        <f t="shared" ca="1" si="16"/>
        <v>28</v>
      </c>
      <c r="S15" s="13">
        <f t="shared" ca="1" si="16"/>
        <v>21</v>
      </c>
      <c r="T15" s="13">
        <f t="shared" ca="1" si="16"/>
        <v>25</v>
      </c>
      <c r="U15" s="13">
        <f t="shared" ca="1" si="16"/>
        <v>22</v>
      </c>
      <c r="V15" s="13">
        <f t="shared" ca="1" si="7"/>
        <v>24</v>
      </c>
      <c r="W15" s="13">
        <f t="shared" ca="1" si="7"/>
        <v>24</v>
      </c>
      <c r="X15" s="13">
        <f t="shared" ca="1" si="7"/>
        <v>27</v>
      </c>
      <c r="Y15" s="13">
        <f t="shared" ca="1" si="7"/>
        <v>22</v>
      </c>
      <c r="Z15" s="13">
        <f t="shared" ca="1" si="7"/>
        <v>25</v>
      </c>
      <c r="AA15" s="13">
        <f t="shared" ca="1" si="7"/>
        <v>20</v>
      </c>
      <c r="AB15" s="13">
        <f t="shared" ca="1" si="7"/>
        <v>21</v>
      </c>
      <c r="AC15" s="13">
        <f t="shared" ca="1" si="7"/>
        <v>23</v>
      </c>
      <c r="AD15" s="13">
        <f t="shared" ca="1" si="7"/>
        <v>24</v>
      </c>
      <c r="AE15" s="13">
        <f t="shared" ca="1" si="7"/>
        <v>29</v>
      </c>
      <c r="AF15" s="13">
        <f t="shared" ca="1" si="7"/>
        <v>21</v>
      </c>
      <c r="AG15" s="13">
        <f t="shared" ca="1" si="7"/>
        <v>29</v>
      </c>
      <c r="AI15" s="6">
        <f t="shared" si="12"/>
        <v>0.22916666666666669</v>
      </c>
      <c r="AJ15" s="7">
        <f t="shared" ca="1" si="9"/>
        <v>27.75</v>
      </c>
      <c r="AK15" s="7">
        <f t="shared" ca="1" si="1"/>
        <v>23.75</v>
      </c>
      <c r="AL15" s="7">
        <f t="shared" ca="1" si="1"/>
        <v>25</v>
      </c>
      <c r="AM15" s="7">
        <f t="shared" ca="1" si="1"/>
        <v>26.75</v>
      </c>
      <c r="AN15" s="7">
        <f t="shared" ca="1" si="1"/>
        <v>20.3125</v>
      </c>
      <c r="AO15" s="7">
        <f t="shared" ca="1" si="1"/>
        <v>25</v>
      </c>
      <c r="AP15" s="7">
        <f t="shared" ca="1" si="1"/>
        <v>25.5625</v>
      </c>
      <c r="AR15" s="6">
        <f t="shared" si="13"/>
        <v>0.22916666666666669</v>
      </c>
      <c r="AS15" s="8">
        <f t="shared" ca="1" si="10"/>
        <v>9.6875545470413681E-3</v>
      </c>
      <c r="AT15" s="8">
        <f t="shared" ca="1" si="2"/>
        <v>8.3355268930420286E-3</v>
      </c>
      <c r="AU15" s="8">
        <f t="shared" ca="1" si="2"/>
        <v>8.8129020886577956E-3</v>
      </c>
      <c r="AV15" s="8">
        <f t="shared" ca="1" si="2"/>
        <v>9.3181224418705921E-3</v>
      </c>
      <c r="AW15" s="8">
        <f t="shared" ca="1" si="2"/>
        <v>9.409925299669929E-3</v>
      </c>
      <c r="AX15" s="8">
        <f t="shared" ca="1" si="2"/>
        <v>6.9844595774401956E-3</v>
      </c>
      <c r="AY15" s="8">
        <f t="shared" ca="1" si="2"/>
        <v>7.160364145658263E-3</v>
      </c>
      <c r="BA15" s="6">
        <f t="shared" si="14"/>
        <v>0.22916666666666669</v>
      </c>
      <c r="BB15" s="10">
        <f t="shared" ca="1" si="11"/>
        <v>13.386880856760374</v>
      </c>
      <c r="BC15" s="10">
        <f t="shared" ca="1" si="3"/>
        <v>11.457240372903023</v>
      </c>
      <c r="BD15" s="10">
        <f t="shared" ca="1" si="3"/>
        <v>12.060253024108448</v>
      </c>
      <c r="BE15" s="10">
        <f t="shared" ca="1" si="3"/>
        <v>12.904470735796039</v>
      </c>
      <c r="BF15" s="10">
        <f t="shared" ca="1" si="3"/>
        <v>9.7989555820881122</v>
      </c>
      <c r="BG15" s="10">
        <f t="shared" ca="1" si="3"/>
        <v>12.060253024108444</v>
      </c>
      <c r="BH15" s="10">
        <f t="shared" ca="1" si="3"/>
        <v>12.331608717150887</v>
      </c>
    </row>
    <row r="16" spans="1:60" x14ac:dyDescent="0.3">
      <c r="A16">
        <f t="shared" ca="1" si="4"/>
        <v>15</v>
      </c>
      <c r="B16" s="4">
        <f t="shared" ca="1" si="0"/>
        <v>6.097560975609756E-2</v>
      </c>
      <c r="C16">
        <f t="shared" ca="1" si="5"/>
        <v>60.975609756097562</v>
      </c>
      <c r="E16" s="11">
        <f t="shared" si="15"/>
        <v>0.22916666666666669</v>
      </c>
      <c r="F16" s="13">
        <f t="shared" ca="1" si="16"/>
        <v>29</v>
      </c>
      <c r="G16" s="13">
        <f t="shared" ca="1" si="16"/>
        <v>30</v>
      </c>
      <c r="H16" s="13">
        <f t="shared" ca="1" si="16"/>
        <v>20</v>
      </c>
      <c r="I16" s="13">
        <f t="shared" ca="1" si="16"/>
        <v>30</v>
      </c>
      <c r="J16" s="13">
        <f t="shared" ca="1" si="16"/>
        <v>27</v>
      </c>
      <c r="K16" s="13">
        <f t="shared" ca="1" si="16"/>
        <v>25</v>
      </c>
      <c r="L16" s="13">
        <f t="shared" ca="1" si="16"/>
        <v>29</v>
      </c>
      <c r="M16" s="13">
        <f t="shared" ca="1" si="16"/>
        <v>28</v>
      </c>
      <c r="N16" s="13">
        <f t="shared" ca="1" si="16"/>
        <v>30</v>
      </c>
      <c r="O16" s="13">
        <f t="shared" ca="1" si="16"/>
        <v>28</v>
      </c>
      <c r="P16" s="13">
        <f t="shared" ca="1" si="16"/>
        <v>22</v>
      </c>
      <c r="Q16" s="13">
        <f t="shared" ca="1" si="16"/>
        <v>28</v>
      </c>
      <c r="R16" s="13">
        <f t="shared" ca="1" si="16"/>
        <v>28</v>
      </c>
      <c r="S16" s="13">
        <f t="shared" ca="1" si="16"/>
        <v>27</v>
      </c>
      <c r="T16" s="13">
        <f t="shared" ca="1" si="16"/>
        <v>29</v>
      </c>
      <c r="U16" s="13">
        <f t="shared" ca="1" si="16"/>
        <v>28</v>
      </c>
      <c r="V16" s="13">
        <f t="shared" ca="1" si="7"/>
        <v>26</v>
      </c>
      <c r="W16" s="13">
        <f t="shared" ca="1" si="7"/>
        <v>25</v>
      </c>
      <c r="X16" s="13">
        <f t="shared" ca="1" si="7"/>
        <v>25</v>
      </c>
      <c r="Y16" s="13">
        <f t="shared" ca="1" si="7"/>
        <v>21</v>
      </c>
      <c r="Z16" s="13">
        <f t="shared" ca="1" si="7"/>
        <v>29</v>
      </c>
      <c r="AA16" s="13">
        <f t="shared" ca="1" si="7"/>
        <v>25</v>
      </c>
      <c r="AB16" s="13">
        <f t="shared" ca="1" si="7"/>
        <v>23</v>
      </c>
      <c r="AC16" s="13">
        <f t="shared" ca="1" si="7"/>
        <v>21</v>
      </c>
      <c r="AD16" s="13">
        <f t="shared" ca="1" si="7"/>
        <v>29</v>
      </c>
      <c r="AE16" s="13">
        <f t="shared" ca="1" si="7"/>
        <v>20</v>
      </c>
      <c r="AF16" s="13">
        <f t="shared" ca="1" si="7"/>
        <v>28</v>
      </c>
      <c r="AG16" s="13">
        <f t="shared" ca="1" si="7"/>
        <v>22</v>
      </c>
      <c r="AI16" s="6">
        <f t="shared" si="12"/>
        <v>0.25</v>
      </c>
      <c r="AJ16" s="7">
        <f t="shared" ca="1" si="9"/>
        <v>26.5</v>
      </c>
      <c r="AK16" s="7">
        <f t="shared" ca="1" si="1"/>
        <v>24</v>
      </c>
      <c r="AL16" s="7">
        <f t="shared" ca="1" si="1"/>
        <v>28</v>
      </c>
      <c r="AM16" s="7">
        <f t="shared" ca="1" si="1"/>
        <v>25.25</v>
      </c>
      <c r="AN16" s="7">
        <f t="shared" ca="1" si="1"/>
        <v>17.567708333333332</v>
      </c>
      <c r="AO16" s="7">
        <f t="shared" ca="1" si="1"/>
        <v>22.625</v>
      </c>
      <c r="AP16" s="7">
        <f t="shared" ca="1" si="1"/>
        <v>23.25</v>
      </c>
      <c r="AR16" s="6">
        <f t="shared" si="13"/>
        <v>0.25</v>
      </c>
      <c r="AS16" s="8">
        <f t="shared" ca="1" si="10"/>
        <v>9.2511782160935585E-3</v>
      </c>
      <c r="AT16" s="8">
        <f t="shared" ca="1" si="2"/>
        <v>8.4232692813898391E-3</v>
      </c>
      <c r="AU16" s="8">
        <f t="shared" ca="1" si="2"/>
        <v>9.8704503392967307E-3</v>
      </c>
      <c r="AV16" s="8">
        <f t="shared" ca="1" si="2"/>
        <v>8.7956109030741091E-3</v>
      </c>
      <c r="AW16" s="8">
        <f t="shared" ca="1" si="2"/>
        <v>8.1383789835350433E-3</v>
      </c>
      <c r="AX16" s="8">
        <f t="shared" ca="1" si="2"/>
        <v>6.3209359175833771E-3</v>
      </c>
      <c r="AY16" s="8">
        <f t="shared" ca="1" si="2"/>
        <v>6.512605042016807E-3</v>
      </c>
      <c r="BA16" s="6">
        <f t="shared" si="14"/>
        <v>0.25</v>
      </c>
      <c r="BB16" s="10">
        <f t="shared" ca="1" si="11"/>
        <v>12.783868205554951</v>
      </c>
      <c r="BC16" s="10">
        <f t="shared" ca="1" si="3"/>
        <v>11.577842903144107</v>
      </c>
      <c r="BD16" s="10">
        <f t="shared" ca="1" si="3"/>
        <v>13.507483387001461</v>
      </c>
      <c r="BE16" s="10">
        <f t="shared" ca="1" si="3"/>
        <v>12.180855554349531</v>
      </c>
      <c r="BF16" s="10">
        <f t="shared" ca="1" si="3"/>
        <v>8.4748403021495378</v>
      </c>
      <c r="BG16" s="10">
        <f t="shared" ca="1" si="3"/>
        <v>10.914528986818143</v>
      </c>
      <c r="BH16" s="10">
        <f t="shared" ca="1" si="3"/>
        <v>11.216035312420855</v>
      </c>
    </row>
    <row r="17" spans="1:60" x14ac:dyDescent="0.3">
      <c r="A17">
        <f t="shared" ca="1" si="4"/>
        <v>20</v>
      </c>
      <c r="B17" s="4">
        <f t="shared" ca="1" si="0"/>
        <v>8.1300813008130079E-2</v>
      </c>
      <c r="C17">
        <f t="shared" ca="1" si="5"/>
        <v>81.300813008130078</v>
      </c>
      <c r="E17" s="11">
        <f t="shared" si="15"/>
        <v>0.25</v>
      </c>
      <c r="F17" s="13">
        <f t="shared" ca="1" si="16"/>
        <v>23</v>
      </c>
      <c r="G17" s="13">
        <f t="shared" ca="1" si="16"/>
        <v>20</v>
      </c>
      <c r="H17" s="13">
        <f t="shared" ca="1" si="16"/>
        <v>29</v>
      </c>
      <c r="I17" s="13">
        <f t="shared" ca="1" si="16"/>
        <v>21</v>
      </c>
      <c r="J17" s="13">
        <f t="shared" ca="1" si="16"/>
        <v>27</v>
      </c>
      <c r="K17" s="13">
        <f t="shared" ca="1" si="16"/>
        <v>26</v>
      </c>
      <c r="L17" s="13">
        <f t="shared" ca="1" si="16"/>
        <v>21</v>
      </c>
      <c r="M17" s="13">
        <f t="shared" ca="1" si="16"/>
        <v>24</v>
      </c>
      <c r="N17" s="13">
        <f t="shared" ca="1" si="16"/>
        <v>23</v>
      </c>
      <c r="O17" s="13">
        <f t="shared" ca="1" si="16"/>
        <v>24</v>
      </c>
      <c r="P17" s="13">
        <f t="shared" ca="1" si="16"/>
        <v>20</v>
      </c>
      <c r="Q17" s="13">
        <f t="shared" ca="1" si="16"/>
        <v>26</v>
      </c>
      <c r="R17" s="13">
        <f t="shared" ca="1" si="16"/>
        <v>25</v>
      </c>
      <c r="S17" s="13">
        <f t="shared" ca="1" si="16"/>
        <v>23</v>
      </c>
      <c r="T17" s="13">
        <f t="shared" ca="1" si="16"/>
        <v>29</v>
      </c>
      <c r="U17" s="13">
        <f t="shared" ca="1" si="16"/>
        <v>23</v>
      </c>
      <c r="V17" s="13">
        <f t="shared" ca="1" si="7"/>
        <v>20</v>
      </c>
      <c r="W17" s="13">
        <f t="shared" ca="1" si="7"/>
        <v>24</v>
      </c>
      <c r="X17" s="13">
        <f t="shared" ca="1" si="7"/>
        <v>29</v>
      </c>
      <c r="Y17" s="13">
        <f t="shared" ca="1" si="7"/>
        <v>20</v>
      </c>
      <c r="Z17" s="13">
        <f t="shared" ca="1" si="7"/>
        <v>30</v>
      </c>
      <c r="AA17" s="13">
        <f t="shared" ca="1" si="7"/>
        <v>30</v>
      </c>
      <c r="AB17" s="13">
        <f t="shared" ca="1" si="7"/>
        <v>24</v>
      </c>
      <c r="AC17" s="13">
        <f t="shared" ca="1" si="7"/>
        <v>23</v>
      </c>
      <c r="AD17" s="13">
        <f t="shared" ca="1" si="7"/>
        <v>20</v>
      </c>
      <c r="AE17" s="13">
        <f t="shared" ca="1" si="7"/>
        <v>30</v>
      </c>
      <c r="AF17" s="13">
        <f t="shared" ca="1" si="7"/>
        <v>24</v>
      </c>
      <c r="AG17" s="13">
        <f t="shared" ca="1" si="7"/>
        <v>27</v>
      </c>
      <c r="AI17" s="6">
        <f t="shared" si="12"/>
        <v>0.27083333333333331</v>
      </c>
      <c r="AJ17" s="7">
        <f t="shared" ca="1" si="9"/>
        <v>25.25</v>
      </c>
      <c r="AK17" s="7">
        <f t="shared" ca="1" si="1"/>
        <v>26.5</v>
      </c>
      <c r="AL17" s="7">
        <f t="shared" ca="1" si="1"/>
        <v>22.25</v>
      </c>
      <c r="AM17" s="7">
        <f t="shared" ca="1" si="1"/>
        <v>24</v>
      </c>
      <c r="AN17" s="7">
        <f t="shared" ca="1" si="1"/>
        <v>18.822916666666668</v>
      </c>
      <c r="AO17" s="7">
        <f t="shared" ca="1" si="1"/>
        <v>25.5625</v>
      </c>
      <c r="AP17" s="7">
        <f t="shared" ca="1" si="1"/>
        <v>24.125</v>
      </c>
      <c r="AR17" s="6">
        <f t="shared" si="13"/>
        <v>0.27083333333333331</v>
      </c>
      <c r="AS17" s="8">
        <f t="shared" ca="1" si="10"/>
        <v>8.8148018851457489E-3</v>
      </c>
      <c r="AT17" s="8">
        <f t="shared" ca="1" si="2"/>
        <v>9.3006931648679479E-3</v>
      </c>
      <c r="AU17" s="8">
        <f t="shared" ca="1" si="2"/>
        <v>7.8434828589054369E-3</v>
      </c>
      <c r="AV17" s="8">
        <f t="shared" ca="1" si="2"/>
        <v>8.3601846207437078E-3</v>
      </c>
      <c r="AW17" s="8">
        <f t="shared" ca="1" si="2"/>
        <v>8.7198641110274675E-3</v>
      </c>
      <c r="AX17" s="8">
        <f t="shared" ca="1" si="2"/>
        <v>7.1416099179325999E-3</v>
      </c>
      <c r="AY17" s="8">
        <f t="shared" ca="1" si="2"/>
        <v>6.7577030812324933E-3</v>
      </c>
      <c r="BA17" s="6">
        <f t="shared" si="14"/>
        <v>0.27083333333333331</v>
      </c>
      <c r="BB17" s="10">
        <f t="shared" ca="1" si="11"/>
        <v>12.180855554349529</v>
      </c>
      <c r="BC17" s="10">
        <f t="shared" ca="1" si="3"/>
        <v>12.783868205554953</v>
      </c>
      <c r="BD17" s="10">
        <f t="shared" ca="1" si="3"/>
        <v>10.733625191456518</v>
      </c>
      <c r="BE17" s="10">
        <f t="shared" ca="1" si="3"/>
        <v>11.577842903144107</v>
      </c>
      <c r="BF17" s="10">
        <f t="shared" ca="1" si="3"/>
        <v>9.0803655060683184</v>
      </c>
      <c r="BG17" s="10">
        <f t="shared" ca="1" si="3"/>
        <v>12.331608717150885</v>
      </c>
      <c r="BH17" s="10">
        <f t="shared" ca="1" si="3"/>
        <v>11.638144168264652</v>
      </c>
    </row>
    <row r="18" spans="1:60" x14ac:dyDescent="0.3">
      <c r="A18">
        <f t="shared" ca="1" si="4"/>
        <v>14</v>
      </c>
      <c r="B18" s="4">
        <f t="shared" ca="1" si="0"/>
        <v>5.6910569105691054E-2</v>
      </c>
      <c r="C18">
        <f t="shared" ca="1" si="5"/>
        <v>56.910569105691053</v>
      </c>
      <c r="E18" s="11">
        <f t="shared" si="15"/>
        <v>0.27083333333333331</v>
      </c>
      <c r="F18" s="13">
        <f t="shared" ca="1" si="16"/>
        <v>21</v>
      </c>
      <c r="G18" s="13">
        <f t="shared" ca="1" si="16"/>
        <v>30</v>
      </c>
      <c r="H18" s="13">
        <f t="shared" ca="1" si="16"/>
        <v>24</v>
      </c>
      <c r="I18" s="13">
        <f t="shared" ca="1" si="16"/>
        <v>25</v>
      </c>
      <c r="J18" s="13">
        <f t="shared" ca="1" si="16"/>
        <v>26</v>
      </c>
      <c r="K18" s="13">
        <f t="shared" ca="1" si="16"/>
        <v>29</v>
      </c>
      <c r="L18" s="13">
        <f t="shared" ca="1" si="16"/>
        <v>24</v>
      </c>
      <c r="M18" s="13">
        <f t="shared" ca="1" si="16"/>
        <v>21</v>
      </c>
      <c r="N18" s="13">
        <f t="shared" ca="1" si="16"/>
        <v>25</v>
      </c>
      <c r="O18" s="13">
        <f t="shared" ca="1" si="16"/>
        <v>28</v>
      </c>
      <c r="P18" s="13">
        <f t="shared" ca="1" si="16"/>
        <v>24</v>
      </c>
      <c r="Q18" s="13">
        <f t="shared" ca="1" si="16"/>
        <v>22</v>
      </c>
      <c r="R18" s="13">
        <f t="shared" ca="1" si="16"/>
        <v>26</v>
      </c>
      <c r="S18" s="13">
        <f t="shared" ca="1" si="16"/>
        <v>30</v>
      </c>
      <c r="T18" s="13">
        <f t="shared" ca="1" si="16"/>
        <v>29</v>
      </c>
      <c r="U18" s="13">
        <f t="shared" ca="1" si="16"/>
        <v>27</v>
      </c>
      <c r="V18" s="13">
        <f t="shared" ca="1" si="7"/>
        <v>27</v>
      </c>
      <c r="W18" s="13">
        <f t="shared" ca="1" si="7"/>
        <v>26</v>
      </c>
      <c r="X18" s="13">
        <f t="shared" ca="1" si="7"/>
        <v>21</v>
      </c>
      <c r="Y18" s="13">
        <f t="shared" ca="1" si="7"/>
        <v>21</v>
      </c>
      <c r="Z18" s="13">
        <f t="shared" ca="1" si="7"/>
        <v>21</v>
      </c>
      <c r="AA18" s="13">
        <f t="shared" ca="1" si="7"/>
        <v>30</v>
      </c>
      <c r="AB18" s="13">
        <f t="shared" ca="1" si="7"/>
        <v>23</v>
      </c>
      <c r="AC18" s="13">
        <f t="shared" ca="1" si="7"/>
        <v>27</v>
      </c>
      <c r="AD18" s="13">
        <f t="shared" ca="1" si="7"/>
        <v>26</v>
      </c>
      <c r="AE18" s="13">
        <f t="shared" ca="1" si="7"/>
        <v>20</v>
      </c>
      <c r="AF18" s="13">
        <f t="shared" ca="1" si="7"/>
        <v>25</v>
      </c>
      <c r="AG18" s="13">
        <f t="shared" ca="1" si="7"/>
        <v>21</v>
      </c>
      <c r="AI18" s="6">
        <f t="shared" si="12"/>
        <v>0.29166666666666663</v>
      </c>
      <c r="AJ18" s="7">
        <f t="shared" ca="1" si="9"/>
        <v>23</v>
      </c>
      <c r="AK18" s="7">
        <f t="shared" ca="1" si="1"/>
        <v>26.25</v>
      </c>
      <c r="AL18" s="7">
        <f t="shared" ca="1" si="1"/>
        <v>24.75</v>
      </c>
      <c r="AM18" s="7">
        <f t="shared" ca="1" si="1"/>
        <v>24.5</v>
      </c>
      <c r="AN18" s="7">
        <f t="shared" ca="1" si="1"/>
        <v>18.078125</v>
      </c>
      <c r="AO18" s="7">
        <f t="shared" ca="1" si="1"/>
        <v>25.3125</v>
      </c>
      <c r="AP18" s="7">
        <f t="shared" ca="1" si="1"/>
        <v>25.1875</v>
      </c>
      <c r="AR18" s="6">
        <f t="shared" si="13"/>
        <v>0.29166666666666663</v>
      </c>
      <c r="AS18" s="8">
        <f t="shared" ca="1" si="10"/>
        <v>8.0293244894396928E-3</v>
      </c>
      <c r="AT18" s="8">
        <f t="shared" ca="1" si="2"/>
        <v>9.2129507765201374E-3</v>
      </c>
      <c r="AU18" s="8">
        <f t="shared" ca="1" si="2"/>
        <v>8.7247730677712174E-3</v>
      </c>
      <c r="AV18" s="8">
        <f t="shared" ca="1" si="2"/>
        <v>8.5343551336758694E-3</v>
      </c>
      <c r="AW18" s="8">
        <f t="shared" ca="1" si="2"/>
        <v>8.3748335167062368E-3</v>
      </c>
      <c r="AX18" s="8">
        <f t="shared" ca="1" si="2"/>
        <v>7.0717653221581984E-3</v>
      </c>
      <c r="AY18" s="8">
        <f t="shared" ca="1" si="2"/>
        <v>7.0553221288515407E-3</v>
      </c>
      <c r="BA18" s="6">
        <f t="shared" si="14"/>
        <v>0.29166666666666663</v>
      </c>
      <c r="BB18" s="10">
        <f t="shared" ca="1" si="11"/>
        <v>11.09543278217977</v>
      </c>
      <c r="BC18" s="10">
        <f t="shared" ca="1" si="3"/>
        <v>12.663265675313868</v>
      </c>
      <c r="BD18" s="10">
        <f t="shared" ca="1" si="3"/>
        <v>11.939650493867362</v>
      </c>
      <c r="BE18" s="10">
        <f t="shared" ca="1" si="3"/>
        <v>11.819047963626279</v>
      </c>
      <c r="BF18" s="10">
        <f t="shared" ca="1" si="3"/>
        <v>8.7210704680584197</v>
      </c>
      <c r="BG18" s="10">
        <f t="shared" ca="1" si="3"/>
        <v>12.211006186909801</v>
      </c>
      <c r="BH18" s="10">
        <f t="shared" ca="1" si="3"/>
        <v>12.150704921789259</v>
      </c>
    </row>
    <row r="19" spans="1:60" x14ac:dyDescent="0.3">
      <c r="A19">
        <f t="shared" ca="1" si="4"/>
        <v>16</v>
      </c>
      <c r="B19" s="4">
        <f t="shared" ca="1" si="0"/>
        <v>6.5040650406504072E-2</v>
      </c>
      <c r="C19">
        <f t="shared" ca="1" si="5"/>
        <v>65.040650406504071</v>
      </c>
      <c r="E19" s="11">
        <f t="shared" si="15"/>
        <v>0.29166666666666663</v>
      </c>
      <c r="F19" s="13">
        <f t="shared" ca="1" si="16"/>
        <v>20</v>
      </c>
      <c r="G19" s="13">
        <f t="shared" ca="1" si="16"/>
        <v>30</v>
      </c>
      <c r="H19" s="13">
        <f t="shared" ca="1" si="16"/>
        <v>30</v>
      </c>
      <c r="I19" s="13">
        <f t="shared" ca="1" si="16"/>
        <v>21</v>
      </c>
      <c r="J19" s="13">
        <f t="shared" ca="1" si="16"/>
        <v>25</v>
      </c>
      <c r="K19" s="13">
        <f t="shared" ca="1" si="16"/>
        <v>27</v>
      </c>
      <c r="L19" s="13">
        <f t="shared" ca="1" si="16"/>
        <v>22</v>
      </c>
      <c r="M19" s="13">
        <f t="shared" ca="1" si="16"/>
        <v>24</v>
      </c>
      <c r="N19" s="13">
        <f t="shared" ca="1" si="16"/>
        <v>21</v>
      </c>
      <c r="O19" s="13">
        <f t="shared" ca="1" si="16"/>
        <v>20</v>
      </c>
      <c r="P19" s="13">
        <f t="shared" ca="1" si="16"/>
        <v>26</v>
      </c>
      <c r="Q19" s="13">
        <f t="shared" ca="1" si="16"/>
        <v>21</v>
      </c>
      <c r="R19" s="13">
        <f t="shared" ca="1" si="16"/>
        <v>25</v>
      </c>
      <c r="S19" s="13">
        <f t="shared" ca="1" si="16"/>
        <v>28</v>
      </c>
      <c r="T19" s="13">
        <f t="shared" ca="1" si="16"/>
        <v>20</v>
      </c>
      <c r="U19" s="13">
        <f t="shared" ca="1" si="16"/>
        <v>22</v>
      </c>
      <c r="V19" s="13">
        <f t="shared" ca="1" si="7"/>
        <v>28</v>
      </c>
      <c r="W19" s="13">
        <f t="shared" ca="1" si="7"/>
        <v>28</v>
      </c>
      <c r="X19" s="13">
        <f t="shared" ca="1" si="7"/>
        <v>27</v>
      </c>
      <c r="Y19" s="13">
        <f t="shared" ca="1" si="7"/>
        <v>24</v>
      </c>
      <c r="Z19" s="13">
        <f t="shared" ca="1" si="7"/>
        <v>24</v>
      </c>
      <c r="AA19" s="13">
        <f t="shared" ca="1" si="7"/>
        <v>28</v>
      </c>
      <c r="AB19" s="13">
        <f t="shared" ca="1" si="7"/>
        <v>29</v>
      </c>
      <c r="AC19" s="13">
        <f t="shared" ca="1" si="7"/>
        <v>27</v>
      </c>
      <c r="AD19" s="13">
        <f t="shared" ca="1" si="7"/>
        <v>20</v>
      </c>
      <c r="AE19" s="13">
        <f t="shared" ca="1" si="7"/>
        <v>26</v>
      </c>
      <c r="AF19" s="13">
        <f t="shared" ca="1" si="7"/>
        <v>26</v>
      </c>
      <c r="AG19" s="13">
        <f t="shared" ca="1" si="7"/>
        <v>24</v>
      </c>
      <c r="AI19" s="6">
        <f t="shared" si="12"/>
        <v>0.31249999999999994</v>
      </c>
      <c r="AJ19" s="7">
        <f t="shared" ca="1" si="9"/>
        <v>26.5</v>
      </c>
      <c r="AK19" s="7">
        <f t="shared" ca="1" si="1"/>
        <v>27.25</v>
      </c>
      <c r="AL19" s="7">
        <f t="shared" ca="1" si="1"/>
        <v>26.75</v>
      </c>
      <c r="AM19" s="7">
        <f t="shared" ca="1" si="1"/>
        <v>25.75</v>
      </c>
      <c r="AN19" s="7">
        <f t="shared" ca="1" si="1"/>
        <v>18.833333333333332</v>
      </c>
      <c r="AO19" s="7">
        <f t="shared" ca="1" si="1"/>
        <v>26.625</v>
      </c>
      <c r="AP19" s="7">
        <f t="shared" ca="1" si="1"/>
        <v>24.8125</v>
      </c>
      <c r="AR19" s="6">
        <f t="shared" si="13"/>
        <v>0.31249999999999994</v>
      </c>
      <c r="AS19" s="8">
        <f t="shared" ca="1" si="10"/>
        <v>9.2511782160935585E-3</v>
      </c>
      <c r="AT19" s="8">
        <f t="shared" ca="1" si="2"/>
        <v>9.5639203299113795E-3</v>
      </c>
      <c r="AU19" s="8">
        <f t="shared" ca="1" si="2"/>
        <v>9.4298052348638414E-3</v>
      </c>
      <c r="AV19" s="8">
        <f t="shared" ca="1" si="2"/>
        <v>8.9697814160062707E-3</v>
      </c>
      <c r="AW19" s="8">
        <f t="shared" ca="1" si="2"/>
        <v>8.7246897137452459E-3</v>
      </c>
      <c r="AX19" s="8">
        <f t="shared" ca="1" si="2"/>
        <v>7.438449449973808E-3</v>
      </c>
      <c r="AY19" s="8">
        <f t="shared" ca="1" si="2"/>
        <v>6.9502801120448175E-3</v>
      </c>
      <c r="BA19" s="6">
        <f t="shared" si="14"/>
        <v>0.31249999999999994</v>
      </c>
      <c r="BB19" s="10">
        <f t="shared" ca="1" si="11"/>
        <v>12.783868205554951</v>
      </c>
      <c r="BC19" s="10">
        <f t="shared" ca="1" si="3"/>
        <v>13.145675796278207</v>
      </c>
      <c r="BD19" s="10">
        <f t="shared" ca="1" si="3"/>
        <v>12.904470735796039</v>
      </c>
      <c r="BE19" s="10">
        <f t="shared" ca="1" si="3"/>
        <v>12.4220606148317</v>
      </c>
      <c r="BF19" s="10">
        <f t="shared" ca="1" si="3"/>
        <v>9.0853906114950291</v>
      </c>
      <c r="BG19" s="10">
        <f t="shared" ca="1" si="3"/>
        <v>12.844169470675494</v>
      </c>
      <c r="BH19" s="10">
        <f t="shared" ca="1" si="3"/>
        <v>11.969801126427631</v>
      </c>
    </row>
    <row r="20" spans="1:60" x14ac:dyDescent="0.3">
      <c r="A20">
        <f t="shared" ca="1" si="4"/>
        <v>15</v>
      </c>
      <c r="B20" s="4">
        <f t="shared" ca="1" si="0"/>
        <v>6.097560975609756E-2</v>
      </c>
      <c r="C20">
        <f t="shared" ca="1" si="5"/>
        <v>60.975609756097562</v>
      </c>
      <c r="E20" s="11">
        <f t="shared" si="15"/>
        <v>0.31249999999999994</v>
      </c>
      <c r="F20" s="13">
        <f t="shared" ca="1" si="16"/>
        <v>29</v>
      </c>
      <c r="G20" s="13">
        <f t="shared" ca="1" si="16"/>
        <v>23</v>
      </c>
      <c r="H20" s="13">
        <f t="shared" ca="1" si="16"/>
        <v>25</v>
      </c>
      <c r="I20" s="13">
        <f t="shared" ca="1" si="16"/>
        <v>23</v>
      </c>
      <c r="J20" s="13">
        <f t="shared" ca="1" si="16"/>
        <v>21</v>
      </c>
      <c r="K20" s="13">
        <f t="shared" ca="1" si="16"/>
        <v>28</v>
      </c>
      <c r="L20" s="13">
        <f t="shared" ca="1" si="16"/>
        <v>26</v>
      </c>
      <c r="M20" s="13">
        <f t="shared" ca="1" si="16"/>
        <v>28</v>
      </c>
      <c r="N20" s="13">
        <f t="shared" ca="1" si="16"/>
        <v>22</v>
      </c>
      <c r="O20" s="13">
        <f t="shared" ca="1" si="16"/>
        <v>28</v>
      </c>
      <c r="P20" s="13">
        <f t="shared" ca="1" si="16"/>
        <v>27</v>
      </c>
      <c r="Q20" s="13">
        <f t="shared" ca="1" si="16"/>
        <v>29</v>
      </c>
      <c r="R20" s="13">
        <f t="shared" ca="1" si="16"/>
        <v>28</v>
      </c>
      <c r="S20" s="13">
        <f t="shared" ca="1" si="16"/>
        <v>27</v>
      </c>
      <c r="T20" s="13">
        <f t="shared" ca="1" si="16"/>
        <v>28</v>
      </c>
      <c r="U20" s="13">
        <f t="shared" ca="1" si="16"/>
        <v>24</v>
      </c>
      <c r="V20" s="13">
        <f t="shared" ca="1" si="7"/>
        <v>30</v>
      </c>
      <c r="W20" s="13">
        <f t="shared" ca="1" si="7"/>
        <v>28</v>
      </c>
      <c r="X20" s="13">
        <f t="shared" ca="1" si="7"/>
        <v>27</v>
      </c>
      <c r="Y20" s="13">
        <f t="shared" ca="1" si="7"/>
        <v>25</v>
      </c>
      <c r="Z20" s="13">
        <f t="shared" ca="1" si="7"/>
        <v>21</v>
      </c>
      <c r="AA20" s="13">
        <f t="shared" ca="1" si="7"/>
        <v>21</v>
      </c>
      <c r="AB20" s="13">
        <f t="shared" ca="1" si="7"/>
        <v>29</v>
      </c>
      <c r="AC20" s="13">
        <f t="shared" ca="1" si="7"/>
        <v>26</v>
      </c>
      <c r="AD20" s="13">
        <f t="shared" ca="1" si="7"/>
        <v>26</v>
      </c>
      <c r="AE20" s="13">
        <f t="shared" ca="1" si="7"/>
        <v>30</v>
      </c>
      <c r="AF20" s="13">
        <f t="shared" ca="1" si="7"/>
        <v>24</v>
      </c>
      <c r="AG20" s="13">
        <f t="shared" ca="1" si="7"/>
        <v>29</v>
      </c>
      <c r="AI20" s="6">
        <f>AI19+"00:30"</f>
        <v>0.33333333333333326</v>
      </c>
      <c r="AJ20" s="7">
        <f t="shared" ca="1" si="9"/>
        <v>22.25</v>
      </c>
      <c r="AK20" s="7">
        <f t="shared" ca="1" si="9"/>
        <v>25.5</v>
      </c>
      <c r="AL20" s="7">
        <f t="shared" ca="1" si="9"/>
        <v>27.75</v>
      </c>
      <c r="AM20" s="7">
        <f t="shared" ca="1" si="9"/>
        <v>22.25</v>
      </c>
      <c r="AN20" s="7">
        <f t="shared" ca="1" si="9"/>
        <v>20.338541666666668</v>
      </c>
      <c r="AO20" s="7">
        <f t="shared" ca="1" si="9"/>
        <v>24.4375</v>
      </c>
      <c r="AP20" s="7">
        <f t="shared" ca="1" si="9"/>
        <v>25.375</v>
      </c>
      <c r="AR20" s="6">
        <f>AR19+"00:30"</f>
        <v>0.33333333333333326</v>
      </c>
      <c r="AS20" s="8">
        <f t="shared" ca="1" si="10"/>
        <v>7.7674986908710074E-3</v>
      </c>
      <c r="AT20" s="8">
        <f t="shared" ca="1" si="10"/>
        <v>8.949723611476704E-3</v>
      </c>
      <c r="AU20" s="8">
        <f t="shared" ca="1" si="10"/>
        <v>9.7823213184101525E-3</v>
      </c>
      <c r="AV20" s="8">
        <f t="shared" ca="1" si="10"/>
        <v>7.7505878254811459E-3</v>
      </c>
      <c r="AW20" s="8">
        <f t="shared" ca="1" si="10"/>
        <v>9.4219893064643786E-3</v>
      </c>
      <c r="AX20" s="8">
        <f t="shared" ca="1" si="10"/>
        <v>6.8273092369477914E-3</v>
      </c>
      <c r="AY20" s="8">
        <f t="shared" ca="1" si="10"/>
        <v>7.1078431372549019E-3</v>
      </c>
      <c r="BA20" s="6">
        <f>BA19+"00:30"</f>
        <v>0.33333333333333326</v>
      </c>
      <c r="BB20" s="10">
        <f t="shared" ca="1" si="11"/>
        <v>10.733625191456516</v>
      </c>
      <c r="BC20" s="10">
        <f t="shared" ca="1" si="3"/>
        <v>12.301458084590614</v>
      </c>
      <c r="BD20" s="10">
        <f t="shared" ca="1" si="3"/>
        <v>13.386880856760376</v>
      </c>
      <c r="BE20" s="10">
        <f t="shared" ca="1" si="3"/>
        <v>10.733625191456518</v>
      </c>
      <c r="BF20" s="10">
        <f t="shared" ca="1" si="3"/>
        <v>9.8115183456548927</v>
      </c>
      <c r="BG20" s="10">
        <f t="shared" ca="1" si="3"/>
        <v>11.788897331066005</v>
      </c>
      <c r="BH20" s="10">
        <f t="shared" ca="1" si="3"/>
        <v>12.241156819470072</v>
      </c>
    </row>
    <row r="21" spans="1:60" x14ac:dyDescent="0.3">
      <c r="A21">
        <f t="shared" ca="1" si="4"/>
        <v>11</v>
      </c>
      <c r="B21" s="4">
        <f t="shared" ca="1" si="0"/>
        <v>4.4715447154471545E-2</v>
      </c>
      <c r="C21">
        <f t="shared" ca="1" si="5"/>
        <v>44.715447154471548</v>
      </c>
      <c r="E21" s="11">
        <f t="shared" si="15"/>
        <v>0.33333333333333326</v>
      </c>
      <c r="F21" s="13">
        <f t="shared" ca="1" si="16"/>
        <v>20</v>
      </c>
      <c r="G21" s="13">
        <f t="shared" ca="1" si="16"/>
        <v>30</v>
      </c>
      <c r="H21" s="13">
        <f t="shared" ca="1" si="16"/>
        <v>27</v>
      </c>
      <c r="I21" s="13">
        <f t="shared" ca="1" si="16"/>
        <v>20</v>
      </c>
      <c r="J21" s="13">
        <f t="shared" ca="1" si="16"/>
        <v>29</v>
      </c>
      <c r="K21" s="13">
        <f t="shared" ca="1" si="16"/>
        <v>27</v>
      </c>
      <c r="L21" s="13">
        <f t="shared" ca="1" si="16"/>
        <v>20</v>
      </c>
      <c r="M21" s="13">
        <f t="shared" ca="1" si="16"/>
        <v>25</v>
      </c>
      <c r="N21" s="13">
        <f t="shared" ca="1" si="16"/>
        <v>28</v>
      </c>
      <c r="O21" s="13">
        <f t="shared" ca="1" si="16"/>
        <v>25</v>
      </c>
      <c r="P21" s="13">
        <f t="shared" ca="1" si="16"/>
        <v>24</v>
      </c>
      <c r="Q21" s="13">
        <f t="shared" ca="1" si="16"/>
        <v>29</v>
      </c>
      <c r="R21" s="13">
        <f t="shared" ca="1" si="16"/>
        <v>23</v>
      </c>
      <c r="S21" s="13">
        <f t="shared" ca="1" si="16"/>
        <v>22</v>
      </c>
      <c r="T21" s="13">
        <f t="shared" ca="1" si="16"/>
        <v>23</v>
      </c>
      <c r="U21" s="13">
        <f t="shared" ca="1" si="16"/>
        <v>28</v>
      </c>
      <c r="V21" s="13">
        <f t="shared" ref="T21:AG23" ca="1" si="17">RANDBETWEEN(20,30)</f>
        <v>23</v>
      </c>
      <c r="W21" s="13">
        <f t="shared" ca="1" si="17"/>
        <v>25</v>
      </c>
      <c r="X21" s="13">
        <f t="shared" ca="1" si="17"/>
        <v>29</v>
      </c>
      <c r="Y21" s="13">
        <f t="shared" ca="1" si="17"/>
        <v>29</v>
      </c>
      <c r="Z21" s="13">
        <f t="shared" ca="1" si="17"/>
        <v>27</v>
      </c>
      <c r="AA21" s="13">
        <f t="shared" ca="1" si="17"/>
        <v>21</v>
      </c>
      <c r="AB21" s="13">
        <f t="shared" ca="1" si="17"/>
        <v>25</v>
      </c>
      <c r="AC21" s="13">
        <f t="shared" ca="1" si="17"/>
        <v>27</v>
      </c>
      <c r="AD21" s="13">
        <f t="shared" ca="1" si="17"/>
        <v>26</v>
      </c>
      <c r="AE21" s="13">
        <f t="shared" ca="1" si="17"/>
        <v>24</v>
      </c>
      <c r="AF21" s="13">
        <f t="shared" ca="1" si="17"/>
        <v>26</v>
      </c>
      <c r="AG21" s="13">
        <f t="shared" ca="1" si="17"/>
        <v>20</v>
      </c>
      <c r="AI21" s="6">
        <f t="shared" si="12"/>
        <v>0.35416666666666657</v>
      </c>
      <c r="AJ21" s="7">
        <f t="shared" ca="1" si="9"/>
        <v>25.75</v>
      </c>
      <c r="AK21" s="7">
        <f t="shared" ca="1" si="9"/>
        <v>22.75</v>
      </c>
      <c r="AL21" s="7">
        <f t="shared" ca="1" si="9"/>
        <v>24.25</v>
      </c>
      <c r="AM21" s="7">
        <f t="shared" ca="1" si="9"/>
        <v>23.5</v>
      </c>
      <c r="AN21" s="7">
        <f t="shared" ca="1" si="9"/>
        <v>19.59375</v>
      </c>
      <c r="AO21" s="7">
        <f t="shared" ca="1" si="9"/>
        <v>26</v>
      </c>
      <c r="AP21" s="7">
        <f t="shared" ca="1" si="9"/>
        <v>25.8125</v>
      </c>
      <c r="AR21" s="6">
        <f t="shared" ref="AR21:AR22" si="18">AR20+"00:30"</f>
        <v>0.35416666666666657</v>
      </c>
      <c r="AS21" s="8">
        <f t="shared" ca="1" si="10"/>
        <v>8.9893524175248731E-3</v>
      </c>
      <c r="AT21" s="8">
        <f t="shared" ca="1" si="10"/>
        <v>7.9845573396507847E-3</v>
      </c>
      <c r="AU21" s="8">
        <f t="shared" ca="1" si="10"/>
        <v>8.5485150259980609E-3</v>
      </c>
      <c r="AV21" s="8">
        <f t="shared" ca="1" si="10"/>
        <v>8.186014107811548E-3</v>
      </c>
      <c r="AW21" s="8">
        <f t="shared" ca="1" si="10"/>
        <v>9.0769587121431461E-3</v>
      </c>
      <c r="AX21" s="8">
        <f t="shared" ca="1" si="10"/>
        <v>7.2638379605378034E-3</v>
      </c>
      <c r="AY21" s="8">
        <f t="shared" ca="1" si="10"/>
        <v>7.2303921568627454E-3</v>
      </c>
      <c r="BA21" s="6">
        <f t="shared" ref="BA21:BA22" si="19">BA20+"00:30"</f>
        <v>0.35416666666666657</v>
      </c>
      <c r="BB21" s="10">
        <f t="shared" ca="1" si="11"/>
        <v>12.422060614831699</v>
      </c>
      <c r="BC21" s="10">
        <f t="shared" ca="1" si="3"/>
        <v>10.974830251938684</v>
      </c>
      <c r="BD21" s="10">
        <f t="shared" ca="1" si="3"/>
        <v>11.698445433385194</v>
      </c>
      <c r="BE21" s="10">
        <f t="shared" ca="1" si="3"/>
        <v>11.33663784266194</v>
      </c>
      <c r="BF21" s="10">
        <f t="shared" ca="1" si="3"/>
        <v>9.452223307644994</v>
      </c>
      <c r="BG21" s="10">
        <f t="shared" ca="1" si="3"/>
        <v>12.542663145072783</v>
      </c>
      <c r="BH21" s="10">
        <f t="shared" ca="1" si="3"/>
        <v>12.452211247391972</v>
      </c>
    </row>
    <row r="22" spans="1:60" x14ac:dyDescent="0.3">
      <c r="A22">
        <f t="shared" ca="1" si="4"/>
        <v>12</v>
      </c>
      <c r="B22" s="4">
        <f t="shared" ca="1" si="0"/>
        <v>4.878048780487805E-2</v>
      </c>
      <c r="C22">
        <f t="shared" ca="1" si="5"/>
        <v>48.780487804878049</v>
      </c>
      <c r="E22" s="11">
        <f t="shared" si="15"/>
        <v>0.35416666666666657</v>
      </c>
      <c r="F22" s="13">
        <f t="shared" ca="1" si="16"/>
        <v>26</v>
      </c>
      <c r="G22" s="13">
        <f t="shared" ca="1" si="16"/>
        <v>25</v>
      </c>
      <c r="H22" s="13">
        <f t="shared" ca="1" si="16"/>
        <v>28</v>
      </c>
      <c r="I22" s="13">
        <f t="shared" ca="1" si="16"/>
        <v>27</v>
      </c>
      <c r="J22" s="13">
        <f t="shared" ca="1" si="16"/>
        <v>27</v>
      </c>
      <c r="K22" s="13">
        <f t="shared" ca="1" si="16"/>
        <v>22</v>
      </c>
      <c r="L22" s="13">
        <f t="shared" ca="1" si="16"/>
        <v>29</v>
      </c>
      <c r="M22" s="13">
        <f t="shared" ca="1" si="16"/>
        <v>27</v>
      </c>
      <c r="N22" s="13">
        <f t="shared" ca="1" si="16"/>
        <v>26</v>
      </c>
      <c r="O22" s="13">
        <f t="shared" ca="1" si="16"/>
        <v>23</v>
      </c>
      <c r="P22" s="13">
        <f t="shared" ca="1" si="16"/>
        <v>26</v>
      </c>
      <c r="Q22" s="13">
        <f t="shared" ca="1" si="16"/>
        <v>21</v>
      </c>
      <c r="R22" s="13">
        <f t="shared" ca="1" si="16"/>
        <v>29</v>
      </c>
      <c r="S22" s="13">
        <f t="shared" ca="1" si="16"/>
        <v>24</v>
      </c>
      <c r="T22" s="13">
        <f t="shared" ca="1" si="17"/>
        <v>30</v>
      </c>
      <c r="U22" s="13">
        <f t="shared" ca="1" si="17"/>
        <v>28</v>
      </c>
      <c r="V22" s="13">
        <f t="shared" ca="1" si="17"/>
        <v>20</v>
      </c>
      <c r="W22" s="13">
        <f t="shared" ca="1" si="17"/>
        <v>28</v>
      </c>
      <c r="X22" s="13">
        <f t="shared" ca="1" si="17"/>
        <v>26</v>
      </c>
      <c r="Y22" s="13">
        <f t="shared" ca="1" si="17"/>
        <v>24</v>
      </c>
      <c r="Z22" s="13">
        <f t="shared" ca="1" si="17"/>
        <v>21</v>
      </c>
      <c r="AA22" s="13">
        <f t="shared" ca="1" si="17"/>
        <v>20</v>
      </c>
      <c r="AB22" s="13">
        <f t="shared" ca="1" si="17"/>
        <v>24</v>
      </c>
      <c r="AC22" s="13">
        <f t="shared" ca="1" si="17"/>
        <v>20</v>
      </c>
      <c r="AD22" s="13">
        <f t="shared" ca="1" si="17"/>
        <v>24</v>
      </c>
      <c r="AE22" s="13">
        <f t="shared" ca="1" si="17"/>
        <v>23</v>
      </c>
      <c r="AF22" s="13">
        <f t="shared" ca="1" si="17"/>
        <v>27</v>
      </c>
      <c r="AG22" s="13">
        <f t="shared" ca="1" si="17"/>
        <v>20</v>
      </c>
      <c r="AI22" s="6">
        <f t="shared" si="12"/>
        <v>0.37499999999999989</v>
      </c>
      <c r="AJ22" s="7">
        <f t="shared" ca="1" si="9"/>
        <v>25</v>
      </c>
      <c r="AK22" s="7">
        <f t="shared" ca="1" si="9"/>
        <v>26</v>
      </c>
      <c r="AL22" s="7">
        <f t="shared" ca="1" si="9"/>
        <v>24.25</v>
      </c>
      <c r="AM22" s="7">
        <f t="shared" ca="1" si="9"/>
        <v>23.25</v>
      </c>
      <c r="AN22" s="7">
        <f t="shared" ca="1" si="9"/>
        <v>17.598958333333332</v>
      </c>
      <c r="AO22" s="7">
        <f t="shared" ca="1" si="9"/>
        <v>44.875</v>
      </c>
      <c r="AP22" s="7">
        <f t="shared" ca="1" si="9"/>
        <v>46.8125</v>
      </c>
      <c r="AR22" s="6">
        <f t="shared" si="18"/>
        <v>0.37499999999999989</v>
      </c>
      <c r="AS22" s="8">
        <f t="shared" ca="1" si="10"/>
        <v>8.7275266189561877E-3</v>
      </c>
      <c r="AT22" s="8">
        <f t="shared" ca="1" si="10"/>
        <v>9.1252083881723269E-3</v>
      </c>
      <c r="AU22" s="8">
        <f t="shared" ca="1" si="10"/>
        <v>8.5485150259980609E-3</v>
      </c>
      <c r="AV22" s="8">
        <f t="shared" ca="1" si="10"/>
        <v>8.0989288513454664E-3</v>
      </c>
      <c r="AW22" s="8">
        <f t="shared" ca="1" si="10"/>
        <v>8.152855791688382E-3</v>
      </c>
      <c r="AX22" s="8">
        <f t="shared" ca="1" si="10"/>
        <v>1.253710494150515E-2</v>
      </c>
      <c r="AY22" s="8">
        <f t="shared" ca="1" si="10"/>
        <v>1.3112745098039216E-2</v>
      </c>
      <c r="BA22" s="6">
        <f t="shared" si="19"/>
        <v>0.37499999999999989</v>
      </c>
      <c r="BB22" s="10">
        <f t="shared" ca="1" si="11"/>
        <v>12.060253024108446</v>
      </c>
      <c r="BC22" s="10">
        <f t="shared" ca="1" si="3"/>
        <v>12.542663145072785</v>
      </c>
      <c r="BD22" s="10">
        <f t="shared" ca="1" si="3"/>
        <v>11.698445433385194</v>
      </c>
      <c r="BE22" s="10">
        <f t="shared" ca="1" si="3"/>
        <v>11.216035312420855</v>
      </c>
      <c r="BF22" s="10">
        <f t="shared" ca="1" si="3"/>
        <v>8.4899156184296753</v>
      </c>
      <c r="BG22" s="10">
        <f t="shared" ca="1" si="3"/>
        <v>21.648154178274659</v>
      </c>
      <c r="BH22" s="10">
        <f t="shared" ca="1" si="3"/>
        <v>22.582823787643065</v>
      </c>
    </row>
    <row r="23" spans="1:60" x14ac:dyDescent="0.3">
      <c r="A23">
        <f t="shared" ca="1" si="4"/>
        <v>17</v>
      </c>
      <c r="B23" s="4">
        <f t="shared" ca="1" si="0"/>
        <v>6.910569105691057E-2</v>
      </c>
      <c r="C23">
        <f t="shared" ca="1" si="5"/>
        <v>69.105691056910572</v>
      </c>
      <c r="E23" s="11">
        <f t="shared" si="15"/>
        <v>0.37499999999999989</v>
      </c>
      <c r="F23" s="13">
        <f t="shared" ca="1" si="16"/>
        <v>23</v>
      </c>
      <c r="G23" s="13">
        <f t="shared" ca="1" si="16"/>
        <v>25</v>
      </c>
      <c r="H23" s="13">
        <f t="shared" ca="1" si="16"/>
        <v>30</v>
      </c>
      <c r="I23" s="13">
        <f t="shared" ca="1" si="16"/>
        <v>22</v>
      </c>
      <c r="J23" s="13">
        <f t="shared" ca="1" si="16"/>
        <v>22</v>
      </c>
      <c r="K23" s="13">
        <f t="shared" ca="1" si="16"/>
        <v>28</v>
      </c>
      <c r="L23" s="13">
        <f t="shared" ca="1" si="16"/>
        <v>20</v>
      </c>
      <c r="M23" s="13">
        <f t="shared" ca="1" si="16"/>
        <v>22</v>
      </c>
      <c r="N23" s="13">
        <f t="shared" ca="1" si="16"/>
        <v>22</v>
      </c>
      <c r="O23" s="13">
        <f t="shared" ca="1" si="16"/>
        <v>28</v>
      </c>
      <c r="P23" s="13">
        <f t="shared" ca="1" si="16"/>
        <v>26</v>
      </c>
      <c r="Q23" s="13">
        <f t="shared" ca="1" si="16"/>
        <v>26</v>
      </c>
      <c r="R23" s="13">
        <f t="shared" ca="1" si="16"/>
        <v>28</v>
      </c>
      <c r="S23" s="13">
        <f t="shared" ca="1" si="16"/>
        <v>24</v>
      </c>
      <c r="T23" s="13">
        <f t="shared" ca="1" si="17"/>
        <v>28</v>
      </c>
      <c r="U23" s="13">
        <f t="shared" ca="1" si="17"/>
        <v>24</v>
      </c>
      <c r="V23" s="13">
        <f t="shared" ca="1" si="17"/>
        <v>21</v>
      </c>
      <c r="W23" s="13">
        <f t="shared" ca="1" si="17"/>
        <v>27</v>
      </c>
      <c r="X23" s="13">
        <f t="shared" ca="1" si="17"/>
        <v>28</v>
      </c>
      <c r="Y23" s="13">
        <f t="shared" ca="1" si="17"/>
        <v>24</v>
      </c>
      <c r="Z23" s="13">
        <f t="shared" ca="1" si="17"/>
        <v>23</v>
      </c>
      <c r="AA23" s="13">
        <f t="shared" ca="1" si="17"/>
        <v>27</v>
      </c>
      <c r="AB23" s="13">
        <f t="shared" ca="1" si="17"/>
        <v>24</v>
      </c>
      <c r="AC23" s="13">
        <f t="shared" ca="1" si="17"/>
        <v>25</v>
      </c>
      <c r="AD23" s="13">
        <f t="shared" ca="1" si="17"/>
        <v>26</v>
      </c>
      <c r="AE23" s="13">
        <f t="shared" ca="1" si="17"/>
        <v>21</v>
      </c>
      <c r="AF23" s="13">
        <f t="shared" ca="1" si="17"/>
        <v>22</v>
      </c>
      <c r="AG23" s="13">
        <f t="shared" ca="1" si="17"/>
        <v>26</v>
      </c>
      <c r="AI23" s="6">
        <f>AI22+"00:30"</f>
        <v>0.3958333333333332</v>
      </c>
      <c r="AJ23" s="7">
        <f t="shared" ca="1" si="9"/>
        <v>95.25</v>
      </c>
      <c r="AK23" s="7">
        <f t="shared" ca="1" si="9"/>
        <v>100.5</v>
      </c>
      <c r="AL23" s="7">
        <f t="shared" ca="1" si="9"/>
        <v>98.5</v>
      </c>
      <c r="AM23" s="7">
        <f t="shared" ca="1" si="9"/>
        <v>113.25</v>
      </c>
      <c r="AN23" s="7">
        <f t="shared" ca="1" si="9"/>
        <v>76.604166666666671</v>
      </c>
      <c r="AO23" s="7">
        <f t="shared" ca="1" si="9"/>
        <v>105.625</v>
      </c>
      <c r="AP23" s="7">
        <f t="shared" ca="1" si="9"/>
        <v>92.1875</v>
      </c>
      <c r="AR23" s="6">
        <f>AR22+"00:30"</f>
        <v>0.3958333333333332</v>
      </c>
      <c r="AS23" s="8">
        <f t="shared" ca="1" si="10"/>
        <v>3.3251876418223074E-2</v>
      </c>
      <c r="AT23" s="8">
        <f t="shared" ca="1" si="10"/>
        <v>3.5272440115819953E-2</v>
      </c>
      <c r="AU23" s="8">
        <f t="shared" ca="1" si="10"/>
        <v>3.472283422931171E-2</v>
      </c>
      <c r="AV23" s="8">
        <f t="shared" ca="1" si="10"/>
        <v>3.9449621179134371E-2</v>
      </c>
      <c r="AW23" s="8">
        <f t="shared" ca="1" si="10"/>
        <v>3.5487482386550084E-2</v>
      </c>
      <c r="AX23" s="8">
        <f t="shared" ca="1" si="10"/>
        <v>2.9509341714684827E-2</v>
      </c>
      <c r="AY23" s="8">
        <f t="shared" ca="1" si="10"/>
        <v>2.582282913165266E-2</v>
      </c>
      <c r="BA23" s="6">
        <f>BA22+"00:30"</f>
        <v>0.3958333333333332</v>
      </c>
      <c r="BB23" s="10">
        <f t="shared" ca="1" si="11"/>
        <v>45.94956402185317</v>
      </c>
      <c r="BC23" s="10">
        <f t="shared" ca="1" si="3"/>
        <v>48.482217156915958</v>
      </c>
      <c r="BD23" s="10">
        <f t="shared" ca="1" si="3"/>
        <v>47.51739691498728</v>
      </c>
      <c r="BE23" s="10">
        <f t="shared" ca="1" si="3"/>
        <v>54.632946199211261</v>
      </c>
      <c r="BF23" s="10">
        <f t="shared" ca="1" si="3"/>
        <v>36.95462530803897</v>
      </c>
      <c r="BG23" s="10">
        <f t="shared" ca="1" si="3"/>
        <v>50.954569026858181</v>
      </c>
      <c r="BH23" s="10">
        <f t="shared" ca="1" si="3"/>
        <v>44.472183026399897</v>
      </c>
    </row>
    <row r="24" spans="1:60" x14ac:dyDescent="0.3">
      <c r="A24">
        <f t="shared" ca="1" si="4"/>
        <v>19</v>
      </c>
      <c r="B24" s="4">
        <f t="shared" ca="1" si="0"/>
        <v>7.7235772357723581E-2</v>
      </c>
      <c r="C24">
        <f t="shared" ca="1" si="5"/>
        <v>77.235772357723576</v>
      </c>
      <c r="E24" s="11">
        <f t="shared" si="15"/>
        <v>0.3958333333333332</v>
      </c>
      <c r="F24" s="13">
        <f ca="1">RANDBETWEEN(80,120)</f>
        <v>120</v>
      </c>
      <c r="G24" s="13">
        <f t="shared" ref="G24:AG37" ca="1" si="20">RANDBETWEEN(80,120)</f>
        <v>116</v>
      </c>
      <c r="H24" s="13">
        <f t="shared" ca="1" si="20"/>
        <v>98</v>
      </c>
      <c r="I24" s="13">
        <f t="shared" ca="1" si="20"/>
        <v>84</v>
      </c>
      <c r="J24" s="13">
        <f t="shared" ca="1" si="20"/>
        <v>94</v>
      </c>
      <c r="K24" s="13">
        <f t="shared" ca="1" si="20"/>
        <v>91</v>
      </c>
      <c r="L24" s="13">
        <f t="shared" ca="1" si="20"/>
        <v>115</v>
      </c>
      <c r="M24" s="13">
        <f ca="1">RANDBETWEEN(80,120)</f>
        <v>80</v>
      </c>
      <c r="N24" s="13">
        <f t="shared" ca="1" si="20"/>
        <v>98</v>
      </c>
      <c r="O24" s="13">
        <f t="shared" ca="1" si="20"/>
        <v>102</v>
      </c>
      <c r="P24" s="13">
        <f t="shared" ca="1" si="20"/>
        <v>115</v>
      </c>
      <c r="Q24" s="13">
        <f t="shared" ca="1" si="20"/>
        <v>98</v>
      </c>
      <c r="R24" s="13">
        <f t="shared" ca="1" si="20"/>
        <v>85</v>
      </c>
      <c r="S24" s="13">
        <f t="shared" ca="1" si="20"/>
        <v>117</v>
      </c>
      <c r="T24" s="13">
        <f ca="1">RANDBETWEEN(80,120)</f>
        <v>100</v>
      </c>
      <c r="U24" s="13">
        <f t="shared" ca="1" si="20"/>
        <v>91</v>
      </c>
      <c r="V24" s="13">
        <f t="shared" ca="1" si="20"/>
        <v>112</v>
      </c>
      <c r="W24" s="13">
        <f t="shared" ca="1" si="20"/>
        <v>107</v>
      </c>
      <c r="X24" s="13">
        <f t="shared" ca="1" si="20"/>
        <v>99</v>
      </c>
      <c r="Y24" s="13">
        <f t="shared" ca="1" si="20"/>
        <v>90</v>
      </c>
      <c r="Z24" s="13">
        <f t="shared" ca="1" si="20"/>
        <v>117</v>
      </c>
      <c r="AA24" s="13">
        <f ca="1">RANDBETWEEN(80,120)</f>
        <v>81</v>
      </c>
      <c r="AB24" s="13">
        <f t="shared" ca="1" si="20"/>
        <v>117</v>
      </c>
      <c r="AC24" s="13">
        <f t="shared" ca="1" si="20"/>
        <v>90</v>
      </c>
      <c r="AD24" s="13">
        <f t="shared" ca="1" si="20"/>
        <v>102</v>
      </c>
      <c r="AE24" s="13">
        <f t="shared" ca="1" si="20"/>
        <v>103</v>
      </c>
      <c r="AF24" s="13">
        <f t="shared" ca="1" si="20"/>
        <v>96</v>
      </c>
      <c r="AG24" s="13">
        <f t="shared" ca="1" si="20"/>
        <v>104</v>
      </c>
      <c r="AI24" s="6">
        <f t="shared" si="12"/>
        <v>0.41666666666666652</v>
      </c>
      <c r="AJ24" s="7">
        <f t="shared" ca="1" si="9"/>
        <v>105.25</v>
      </c>
      <c r="AK24" s="7">
        <f t="shared" ca="1" si="9"/>
        <v>98.5</v>
      </c>
      <c r="AL24" s="7">
        <f t="shared" ca="1" si="9"/>
        <v>95.25</v>
      </c>
      <c r="AM24" s="7">
        <f t="shared" ca="1" si="9"/>
        <v>97.75</v>
      </c>
      <c r="AN24" s="7">
        <f t="shared" ca="1" si="9"/>
        <v>86.859375</v>
      </c>
      <c r="AO24" s="7">
        <f t="shared" ca="1" si="9"/>
        <v>107.375</v>
      </c>
      <c r="AP24" s="7">
        <f t="shared" ca="1" si="9"/>
        <v>100.5</v>
      </c>
      <c r="AR24" s="6">
        <f t="shared" ref="AR24:AR27" si="21">AR23+"00:30"</f>
        <v>0.41666666666666652</v>
      </c>
      <c r="AS24" s="8">
        <f t="shared" ca="1" si="10"/>
        <v>3.674288706580555E-2</v>
      </c>
      <c r="AT24" s="8">
        <f t="shared" ca="1" si="10"/>
        <v>3.4570501009037469E-2</v>
      </c>
      <c r="AU24" s="8">
        <f t="shared" ca="1" si="10"/>
        <v>3.3577156957786201E-2</v>
      </c>
      <c r="AV24" s="8">
        <f t="shared" ca="1" si="10"/>
        <v>3.4050335278237392E-2</v>
      </c>
      <c r="AW24" s="8">
        <f t="shared" ca="1" si="10"/>
        <v>4.023828826220395E-2</v>
      </c>
      <c r="AX24" s="8">
        <f t="shared" ca="1" si="10"/>
        <v>2.9998253885105641E-2</v>
      </c>
      <c r="AY24" s="8">
        <f t="shared" ca="1" si="10"/>
        <v>2.8151260504201681E-2</v>
      </c>
      <c r="BA24" s="6">
        <f t="shared" ref="BA24:BA27" si="22">BA23+"00:30"</f>
        <v>0.41666666666666652</v>
      </c>
      <c r="BB24" s="10">
        <f t="shared" ca="1" si="11"/>
        <v>50.773665231496558</v>
      </c>
      <c r="BC24" s="10">
        <f t="shared" ca="1" si="3"/>
        <v>47.51739691498728</v>
      </c>
      <c r="BD24" s="10">
        <f t="shared" ca="1" si="3"/>
        <v>45.949564021853185</v>
      </c>
      <c r="BE24" s="10">
        <f t="shared" ca="1" si="3"/>
        <v>47.155589324264028</v>
      </c>
      <c r="BF24" s="10">
        <f t="shared" ca="1" si="3"/>
        <v>41.901841600636786</v>
      </c>
      <c r="BG24" s="10">
        <f t="shared" ca="1" si="3"/>
        <v>51.798786738545772</v>
      </c>
      <c r="BH24" s="10">
        <f t="shared" ca="1" si="3"/>
        <v>48.482217156915951</v>
      </c>
    </row>
    <row r="25" spans="1:60" x14ac:dyDescent="0.3">
      <c r="E25" s="11">
        <f t="shared" si="15"/>
        <v>0.41666666666666652</v>
      </c>
      <c r="F25" s="13">
        <f t="shared" ref="F25:U45" ca="1" si="23">RANDBETWEEN(80,120)</f>
        <v>115</v>
      </c>
      <c r="G25" s="13">
        <f t="shared" ca="1" si="23"/>
        <v>100</v>
      </c>
      <c r="H25" s="13">
        <f t="shared" ca="1" si="23"/>
        <v>102</v>
      </c>
      <c r="I25" s="13">
        <f t="shared" ca="1" si="23"/>
        <v>85</v>
      </c>
      <c r="J25" s="13">
        <f t="shared" ca="1" si="23"/>
        <v>88</v>
      </c>
      <c r="K25" s="13">
        <f t="shared" ca="1" si="23"/>
        <v>91</v>
      </c>
      <c r="L25" s="13">
        <f t="shared" ca="1" si="23"/>
        <v>83</v>
      </c>
      <c r="M25" s="13">
        <f t="shared" ca="1" si="23"/>
        <v>88</v>
      </c>
      <c r="N25" s="13">
        <f t="shared" ca="1" si="23"/>
        <v>111</v>
      </c>
      <c r="O25" s="13">
        <f t="shared" ca="1" si="23"/>
        <v>89</v>
      </c>
      <c r="P25" s="13">
        <f t="shared" ca="1" si="23"/>
        <v>108</v>
      </c>
      <c r="Q25" s="13">
        <f t="shared" ca="1" si="23"/>
        <v>87</v>
      </c>
      <c r="R25" s="13">
        <f t="shared" ca="1" si="23"/>
        <v>117</v>
      </c>
      <c r="S25" s="13">
        <f t="shared" ca="1" si="23"/>
        <v>100</v>
      </c>
      <c r="T25" s="13">
        <f t="shared" ca="1" si="23"/>
        <v>119</v>
      </c>
      <c r="U25" s="13">
        <f t="shared" ca="1" si="23"/>
        <v>119</v>
      </c>
      <c r="V25" s="13">
        <f t="shared" ca="1" si="20"/>
        <v>95</v>
      </c>
      <c r="W25" s="13">
        <f t="shared" ca="1" si="20"/>
        <v>108</v>
      </c>
      <c r="X25" s="13">
        <f t="shared" ca="1" si="20"/>
        <v>107</v>
      </c>
      <c r="Y25" s="13">
        <f t="shared" ca="1" si="20"/>
        <v>82</v>
      </c>
      <c r="Z25" s="13">
        <f t="shared" ca="1" si="20"/>
        <v>97</v>
      </c>
      <c r="AA25" s="13">
        <f t="shared" ca="1" si="20"/>
        <v>99</v>
      </c>
      <c r="AB25" s="13">
        <f t="shared" ca="1" si="20"/>
        <v>117</v>
      </c>
      <c r="AC25" s="13">
        <f t="shared" ca="1" si="20"/>
        <v>108</v>
      </c>
      <c r="AD25" s="13">
        <f t="shared" ca="1" si="20"/>
        <v>103</v>
      </c>
      <c r="AE25" s="13">
        <f t="shared" ca="1" si="20"/>
        <v>99</v>
      </c>
      <c r="AF25" s="13">
        <f t="shared" ca="1" si="20"/>
        <v>107</v>
      </c>
      <c r="AG25" s="13">
        <f t="shared" ca="1" si="20"/>
        <v>111</v>
      </c>
      <c r="AI25" s="6">
        <f t="shared" si="12"/>
        <v>0.43749999999999983</v>
      </c>
      <c r="AJ25" s="7">
        <f t="shared" ca="1" si="9"/>
        <v>96.5</v>
      </c>
      <c r="AK25" s="7">
        <f t="shared" ca="1" si="9"/>
        <v>110.5</v>
      </c>
      <c r="AL25" s="7">
        <f t="shared" ca="1" si="9"/>
        <v>97.25</v>
      </c>
      <c r="AM25" s="7">
        <f t="shared" ca="1" si="9"/>
        <v>96</v>
      </c>
      <c r="AN25" s="7">
        <f t="shared" ca="1" si="9"/>
        <v>74.364583333333329</v>
      </c>
      <c r="AO25" s="7">
        <f t="shared" ca="1" si="9"/>
        <v>108.3125</v>
      </c>
      <c r="AP25" s="7">
        <f t="shared" ca="1" si="9"/>
        <v>98.1875</v>
      </c>
      <c r="AR25" s="6">
        <f t="shared" si="21"/>
        <v>0.43749999999999983</v>
      </c>
      <c r="AS25" s="8">
        <f t="shared" ca="1" si="10"/>
        <v>3.3688252749170887E-2</v>
      </c>
      <c r="AT25" s="8">
        <f t="shared" ca="1" si="10"/>
        <v>3.8782135649732388E-2</v>
      </c>
      <c r="AU25" s="8">
        <f t="shared" ca="1" si="10"/>
        <v>3.428218912487882E-2</v>
      </c>
      <c r="AV25" s="8">
        <f t="shared" ca="1" si="10"/>
        <v>3.3440738482974831E-2</v>
      </c>
      <c r="AW25" s="8">
        <f t="shared" ca="1" si="10"/>
        <v>3.4449977802227499E-2</v>
      </c>
      <c r="AX25" s="8">
        <f t="shared" ca="1" si="10"/>
        <v>3.0260171119259646E-2</v>
      </c>
      <c r="AY25" s="8">
        <f t="shared" ca="1" si="10"/>
        <v>2.7503501400560224E-2</v>
      </c>
      <c r="BA25" s="6">
        <f t="shared" si="22"/>
        <v>0.43749999999999983</v>
      </c>
      <c r="BB25" s="10">
        <f t="shared" ca="1" si="11"/>
        <v>46.552576673058603</v>
      </c>
      <c r="BC25" s="10">
        <f t="shared" ca="1" si="3"/>
        <v>53.306318366559339</v>
      </c>
      <c r="BD25" s="10">
        <f t="shared" ca="1" si="3"/>
        <v>46.914384263781848</v>
      </c>
      <c r="BE25" s="10">
        <f t="shared" ca="1" si="3"/>
        <v>46.31137161257643</v>
      </c>
      <c r="BF25" s="10">
        <f t="shared" ca="1" si="3"/>
        <v>35.874227641295917</v>
      </c>
      <c r="BG25" s="10">
        <f t="shared" ca="1" si="3"/>
        <v>52.251046226949832</v>
      </c>
      <c r="BH25" s="10">
        <f t="shared" ca="1" si="3"/>
        <v>47.366643752185922</v>
      </c>
    </row>
    <row r="26" spans="1:60" x14ac:dyDescent="0.3">
      <c r="E26" s="11">
        <f t="shared" si="15"/>
        <v>0.43749999999999983</v>
      </c>
      <c r="F26" s="13">
        <f t="shared" ca="1" si="23"/>
        <v>91</v>
      </c>
      <c r="G26" s="13">
        <f t="shared" ca="1" si="23"/>
        <v>80</v>
      </c>
      <c r="H26" s="13">
        <f t="shared" ca="1" si="23"/>
        <v>109</v>
      </c>
      <c r="I26" s="13">
        <f t="shared" ca="1" si="23"/>
        <v>112</v>
      </c>
      <c r="J26" s="13">
        <f t="shared" ca="1" si="23"/>
        <v>99</v>
      </c>
      <c r="K26" s="13">
        <f t="shared" ca="1" si="23"/>
        <v>115</v>
      </c>
      <c r="L26" s="13">
        <f t="shared" ca="1" si="23"/>
        <v>103</v>
      </c>
      <c r="M26" s="13">
        <f t="shared" ca="1" si="23"/>
        <v>120</v>
      </c>
      <c r="N26" s="13">
        <f t="shared" ca="1" si="23"/>
        <v>112</v>
      </c>
      <c r="O26" s="13">
        <f t="shared" ca="1" si="23"/>
        <v>103</v>
      </c>
      <c r="P26" s="13">
        <f t="shared" ca="1" si="23"/>
        <v>118</v>
      </c>
      <c r="Q26" s="13">
        <f t="shared" ca="1" si="23"/>
        <v>90</v>
      </c>
      <c r="R26" s="13">
        <f t="shared" ca="1" si="23"/>
        <v>103</v>
      </c>
      <c r="S26" s="13">
        <f t="shared" ca="1" si="23"/>
        <v>94</v>
      </c>
      <c r="T26" s="13">
        <f t="shared" ca="1" si="20"/>
        <v>87</v>
      </c>
      <c r="U26" s="13">
        <f t="shared" ca="1" si="20"/>
        <v>82</v>
      </c>
      <c r="V26" s="13">
        <f t="shared" ca="1" si="20"/>
        <v>114</v>
      </c>
      <c r="W26" s="13">
        <f t="shared" ca="1" si="20"/>
        <v>108</v>
      </c>
      <c r="X26" s="13">
        <f t="shared" ca="1" si="20"/>
        <v>81</v>
      </c>
      <c r="Y26" s="13">
        <f t="shared" ca="1" si="20"/>
        <v>97</v>
      </c>
      <c r="Z26" s="13">
        <f t="shared" ca="1" si="20"/>
        <v>92</v>
      </c>
      <c r="AA26" s="13">
        <f t="shared" ca="1" si="20"/>
        <v>88</v>
      </c>
      <c r="AB26" s="13">
        <f t="shared" ca="1" si="20"/>
        <v>103</v>
      </c>
      <c r="AC26" s="13">
        <f t="shared" ca="1" si="20"/>
        <v>116</v>
      </c>
      <c r="AD26" s="13">
        <f t="shared" ca="1" si="20"/>
        <v>107</v>
      </c>
      <c r="AE26" s="13">
        <f t="shared" ca="1" si="20"/>
        <v>119</v>
      </c>
      <c r="AF26" s="13">
        <f t="shared" ca="1" si="20"/>
        <v>104</v>
      </c>
      <c r="AG26" s="13">
        <f t="shared" ca="1" si="20"/>
        <v>95</v>
      </c>
      <c r="AI26" s="6">
        <f t="shared" si="12"/>
        <v>0.45833333333333315</v>
      </c>
      <c r="AJ26" s="7">
        <f t="shared" ca="1" si="9"/>
        <v>109.75</v>
      </c>
      <c r="AK26" s="7">
        <f t="shared" ca="1" si="9"/>
        <v>100.25</v>
      </c>
      <c r="AL26" s="7">
        <f t="shared" ca="1" si="9"/>
        <v>101.25</v>
      </c>
      <c r="AM26" s="7">
        <f t="shared" ca="1" si="9"/>
        <v>88.75</v>
      </c>
      <c r="AN26" s="7">
        <f t="shared" ca="1" si="9"/>
        <v>78.369791666666671</v>
      </c>
      <c r="AO26" s="7">
        <f t="shared" ca="1" si="9"/>
        <v>104.75</v>
      </c>
      <c r="AP26" s="7">
        <f t="shared" ca="1" si="9"/>
        <v>102.875</v>
      </c>
      <c r="AR26" s="6">
        <f t="shared" si="21"/>
        <v>0.45833333333333315</v>
      </c>
      <c r="AS26" s="8">
        <f t="shared" ca="1" si="10"/>
        <v>3.8313841857217666E-2</v>
      </c>
      <c r="AT26" s="8">
        <f t="shared" ca="1" si="10"/>
        <v>3.5184697727472139E-2</v>
      </c>
      <c r="AU26" s="8">
        <f t="shared" ca="1" si="10"/>
        <v>3.5692253459064072E-2</v>
      </c>
      <c r="AV26" s="8">
        <f t="shared" ca="1" si="10"/>
        <v>3.0915266045458505E-2</v>
      </c>
      <c r="AW26" s="8">
        <f t="shared" ca="1" si="10"/>
        <v>3.6305422047213702E-2</v>
      </c>
      <c r="AX26" s="8">
        <f t="shared" ca="1" si="10"/>
        <v>2.9264885629474418E-2</v>
      </c>
      <c r="AY26" s="8">
        <f t="shared" ca="1" si="10"/>
        <v>2.8816526610644259E-2</v>
      </c>
      <c r="BA26" s="6">
        <f t="shared" si="22"/>
        <v>0.45833333333333315</v>
      </c>
      <c r="BB26" s="10">
        <f t="shared" ca="1" si="11"/>
        <v>52.944510775836079</v>
      </c>
      <c r="BC26" s="10">
        <f t="shared" ca="1" si="3"/>
        <v>48.361614626674864</v>
      </c>
      <c r="BD26" s="10">
        <f t="shared" ca="1" si="3"/>
        <v>48.844024747639217</v>
      </c>
      <c r="BE26" s="10">
        <f t="shared" ca="1" si="3"/>
        <v>42.813898235584986</v>
      </c>
      <c r="BF26" s="10">
        <f t="shared" ca="1" si="3"/>
        <v>37.806380677866628</v>
      </c>
      <c r="BG26" s="10">
        <f t="shared" ca="1" si="3"/>
        <v>50.532460171014385</v>
      </c>
      <c r="BH26" s="10">
        <f t="shared" ca="1" si="3"/>
        <v>49.627941194206258</v>
      </c>
    </row>
    <row r="27" spans="1:60" x14ac:dyDescent="0.3">
      <c r="E27" s="11">
        <f t="shared" si="15"/>
        <v>0.45833333333333315</v>
      </c>
      <c r="F27" s="13">
        <f t="shared" ca="1" si="23"/>
        <v>114</v>
      </c>
      <c r="G27" s="13">
        <f t="shared" ca="1" si="23"/>
        <v>114</v>
      </c>
      <c r="H27" s="13">
        <f t="shared" ca="1" si="23"/>
        <v>101</v>
      </c>
      <c r="I27" s="13">
        <f t="shared" ca="1" si="23"/>
        <v>93</v>
      </c>
      <c r="J27" s="13">
        <f t="shared" ca="1" si="23"/>
        <v>80</v>
      </c>
      <c r="K27" s="13">
        <f t="shared" ca="1" si="23"/>
        <v>96</v>
      </c>
      <c r="L27" s="13">
        <f t="shared" ca="1" si="23"/>
        <v>98</v>
      </c>
      <c r="M27" s="13">
        <f t="shared" ca="1" si="23"/>
        <v>119</v>
      </c>
      <c r="N27" s="13">
        <f t="shared" ca="1" si="23"/>
        <v>110</v>
      </c>
      <c r="O27" s="13">
        <f t="shared" ca="1" si="23"/>
        <v>94</v>
      </c>
      <c r="P27" s="13">
        <f t="shared" ca="1" si="23"/>
        <v>103</v>
      </c>
      <c r="Q27" s="13">
        <f t="shared" ca="1" si="23"/>
        <v>111</v>
      </c>
      <c r="R27" s="13">
        <f t="shared" ca="1" si="23"/>
        <v>86</v>
      </c>
      <c r="S27" s="13">
        <f t="shared" ca="1" si="23"/>
        <v>94</v>
      </c>
      <c r="T27" s="13">
        <f t="shared" ca="1" si="20"/>
        <v>88</v>
      </c>
      <c r="U27" s="13">
        <f t="shared" ca="1" si="20"/>
        <v>107</v>
      </c>
      <c r="V27" s="13">
        <f t="shared" ca="1" si="20"/>
        <v>108</v>
      </c>
      <c r="W27" s="13">
        <f t="shared" ca="1" si="20"/>
        <v>116</v>
      </c>
      <c r="X27" s="13">
        <f t="shared" ca="1" si="20"/>
        <v>120</v>
      </c>
      <c r="Y27" s="13">
        <f t="shared" ca="1" si="20"/>
        <v>106</v>
      </c>
      <c r="Z27" s="13">
        <f t="shared" ca="1" si="20"/>
        <v>82</v>
      </c>
      <c r="AA27" s="13">
        <f t="shared" ca="1" si="20"/>
        <v>118</v>
      </c>
      <c r="AB27" s="13">
        <f t="shared" ca="1" si="20"/>
        <v>96</v>
      </c>
      <c r="AC27" s="13">
        <f t="shared" ca="1" si="20"/>
        <v>98</v>
      </c>
      <c r="AD27" s="13">
        <f t="shared" ca="1" si="20"/>
        <v>96</v>
      </c>
      <c r="AE27" s="13">
        <f t="shared" ca="1" si="20"/>
        <v>94</v>
      </c>
      <c r="AF27" s="13">
        <f t="shared" ca="1" si="20"/>
        <v>110</v>
      </c>
      <c r="AG27" s="13">
        <f t="shared" ca="1" si="20"/>
        <v>81</v>
      </c>
      <c r="AI27" s="6">
        <f t="shared" si="12"/>
        <v>0.47916666666666646</v>
      </c>
      <c r="AJ27" s="7">
        <f t="shared" ca="1" si="9"/>
        <v>94</v>
      </c>
      <c r="AK27" s="7">
        <f t="shared" ca="1" si="9"/>
        <v>104</v>
      </c>
      <c r="AL27" s="7">
        <f t="shared" ca="1" si="9"/>
        <v>91.75</v>
      </c>
      <c r="AM27" s="7">
        <f t="shared" ca="1" si="9"/>
        <v>109.5</v>
      </c>
      <c r="AN27" s="7">
        <f t="shared" ca="1" si="9"/>
        <v>70.625</v>
      </c>
      <c r="AO27" s="7">
        <f t="shared" ca="1" si="9"/>
        <v>95.6875</v>
      </c>
      <c r="AP27" s="7">
        <f t="shared" ca="1" si="9"/>
        <v>98.8125</v>
      </c>
      <c r="AR27" s="6">
        <f t="shared" si="21"/>
        <v>0.47916666666666646</v>
      </c>
      <c r="AS27" s="8">
        <f t="shared" ca="1" si="10"/>
        <v>3.2815500087275268E-2</v>
      </c>
      <c r="AT27" s="8">
        <f t="shared" ca="1" si="10"/>
        <v>3.6500833552689307E-2</v>
      </c>
      <c r="AU27" s="8">
        <f t="shared" ca="1" si="10"/>
        <v>3.234335066537411E-2</v>
      </c>
      <c r="AV27" s="8">
        <f t="shared" ca="1" si="10"/>
        <v>3.8143342332143171E-2</v>
      </c>
      <c r="AW27" s="8">
        <f t="shared" ca="1" si="10"/>
        <v>3.2717586426544674E-2</v>
      </c>
      <c r="AX27" s="8">
        <f t="shared" ca="1" si="10"/>
        <v>2.673301903265235E-2</v>
      </c>
      <c r="AY27" s="8">
        <f t="shared" ca="1" si="10"/>
        <v>2.7678571428571427E-2</v>
      </c>
      <c r="BA27" s="6">
        <f t="shared" si="22"/>
        <v>0.47916666666666646</v>
      </c>
      <c r="BB27" s="10">
        <f t="shared" ca="1" si="11"/>
        <v>45.346551370647759</v>
      </c>
      <c r="BC27" s="10">
        <f t="shared" ca="1" si="3"/>
        <v>50.17065258029114</v>
      </c>
      <c r="BD27" s="10">
        <f t="shared" ca="1" si="3"/>
        <v>44.261128598478003</v>
      </c>
      <c r="BE27" s="10">
        <f t="shared" ca="1" si="3"/>
        <v>52.823908245595</v>
      </c>
      <c r="BF27" s="10">
        <f t="shared" ca="1" si="3"/>
        <v>34.070214793106359</v>
      </c>
      <c r="BG27" s="10">
        <f t="shared" ca="1" si="3"/>
        <v>46.160618449775079</v>
      </c>
      <c r="BH27" s="10">
        <f t="shared" ca="1" si="3"/>
        <v>47.668150077788631</v>
      </c>
    </row>
    <row r="28" spans="1:60" x14ac:dyDescent="0.3">
      <c r="E28" s="11">
        <f t="shared" si="15"/>
        <v>0.47916666666666646</v>
      </c>
      <c r="F28" s="13">
        <f t="shared" ca="1" si="23"/>
        <v>88</v>
      </c>
      <c r="G28" s="13">
        <f t="shared" ca="1" si="23"/>
        <v>83</v>
      </c>
      <c r="H28" s="13">
        <f t="shared" ca="1" si="23"/>
        <v>113</v>
      </c>
      <c r="I28" s="13">
        <f t="shared" ca="1" si="23"/>
        <v>114</v>
      </c>
      <c r="J28" s="13">
        <f t="shared" ca="1" si="23"/>
        <v>86</v>
      </c>
      <c r="K28" s="13">
        <f t="shared" ca="1" si="23"/>
        <v>91</v>
      </c>
      <c r="L28" s="13">
        <f t="shared" ca="1" si="23"/>
        <v>87</v>
      </c>
      <c r="M28" s="13">
        <f t="shared" ca="1" si="23"/>
        <v>91</v>
      </c>
      <c r="N28" s="13">
        <f t="shared" ca="1" si="23"/>
        <v>91</v>
      </c>
      <c r="O28" s="13">
        <f t="shared" ca="1" si="23"/>
        <v>115</v>
      </c>
      <c r="P28" s="13">
        <f t="shared" ca="1" si="23"/>
        <v>90</v>
      </c>
      <c r="Q28" s="13">
        <f t="shared" ca="1" si="23"/>
        <v>100</v>
      </c>
      <c r="R28" s="13">
        <f t="shared" ca="1" si="23"/>
        <v>116</v>
      </c>
      <c r="S28" s="13">
        <f t="shared" ca="1" si="23"/>
        <v>112</v>
      </c>
      <c r="T28" s="13">
        <f t="shared" ca="1" si="20"/>
        <v>112</v>
      </c>
      <c r="U28" s="13">
        <f t="shared" ca="1" si="20"/>
        <v>110</v>
      </c>
      <c r="V28" s="13">
        <f t="shared" ca="1" si="20"/>
        <v>89</v>
      </c>
      <c r="W28" s="13">
        <f t="shared" ca="1" si="20"/>
        <v>81</v>
      </c>
      <c r="X28" s="13">
        <f t="shared" ca="1" si="20"/>
        <v>94</v>
      </c>
      <c r="Y28" s="13">
        <f t="shared" ca="1" si="20"/>
        <v>96</v>
      </c>
      <c r="Z28" s="13">
        <f t="shared" ca="1" si="20"/>
        <v>120</v>
      </c>
      <c r="AA28" s="13">
        <f t="shared" ca="1" si="20"/>
        <v>85</v>
      </c>
      <c r="AB28" s="13">
        <f t="shared" ca="1" si="20"/>
        <v>81</v>
      </c>
      <c r="AC28" s="13">
        <f t="shared" ca="1" si="20"/>
        <v>99</v>
      </c>
      <c r="AD28" s="13">
        <f t="shared" ca="1" si="20"/>
        <v>111</v>
      </c>
      <c r="AE28" s="13">
        <f t="shared" ca="1" si="20"/>
        <v>87</v>
      </c>
      <c r="AF28" s="13">
        <f t="shared" ca="1" si="20"/>
        <v>84</v>
      </c>
      <c r="AG28" s="13">
        <f t="shared" ca="1" si="20"/>
        <v>119</v>
      </c>
      <c r="AI28" s="14">
        <f t="shared" ref="AI28:AI51" si="24">AI27+"00:30"</f>
        <v>0.49999999999999978</v>
      </c>
      <c r="AJ28" s="7">
        <f ca="1">AVERAGEIF($F$4:$AG$4,AJ$3,F29:AG29)</f>
        <v>95.5</v>
      </c>
      <c r="AK28" s="7">
        <f t="shared" ref="AK28:AL51" ca="1" si="25">AVERAGEIF($F$4:$AG$4,AK$3,G29:AH29)</f>
        <v>100.75</v>
      </c>
      <c r="AL28" s="7">
        <f ca="1">AVERAGEIF($F$4:$AG$4,AL$3,H29:AI29)</f>
        <v>103</v>
      </c>
      <c r="AM28" s="7">
        <f t="shared" ref="AM28:AP51" ca="1" si="26">AVERAGEIF($F$4:$AG$4,AM$3,I29:AJ29)</f>
        <v>99.25</v>
      </c>
      <c r="AN28" s="7">
        <f t="shared" ca="1" si="26"/>
        <v>72.130208333333329</v>
      </c>
      <c r="AO28" s="7">
        <f t="shared" ca="1" si="26"/>
        <v>100.25</v>
      </c>
      <c r="AP28" s="7">
        <f t="shared" ca="1" si="26"/>
        <v>103.9375</v>
      </c>
      <c r="AR28" s="14">
        <f t="shared" ref="AR28:AR51" si="27">AR27+"00:30"</f>
        <v>0.49999999999999978</v>
      </c>
      <c r="AS28" s="8">
        <f t="shared" ca="1" si="10"/>
        <v>3.3339151684412635E-2</v>
      </c>
      <c r="AT28" s="8">
        <f t="shared" ca="1" si="10"/>
        <v>3.536018250416776E-2</v>
      </c>
      <c r="AU28" s="8">
        <f t="shared" ca="1" si="10"/>
        <v>3.6309156605270114E-2</v>
      </c>
      <c r="AV28" s="8">
        <f t="shared" ca="1" si="10"/>
        <v>3.4572846817033875E-2</v>
      </c>
      <c r="AW28" s="8">
        <f t="shared" ca="1" si="10"/>
        <v>3.3414886019263804E-2</v>
      </c>
      <c r="AX28" s="8">
        <f t="shared" ca="1" si="10"/>
        <v>2.8007682905535184E-2</v>
      </c>
      <c r="AY28" s="8">
        <f t="shared" ca="1" si="10"/>
        <v>2.9114145658263306E-2</v>
      </c>
      <c r="BA28" s="14">
        <f t="shared" ref="BA28:BA51" si="28">BA27+"00:30"</f>
        <v>0.49999999999999978</v>
      </c>
      <c r="BB28" s="10">
        <f t="shared" ca="1" si="11"/>
        <v>46.070166552094257</v>
      </c>
      <c r="BC28" s="10">
        <f t="shared" ca="1" si="3"/>
        <v>48.60281968715703</v>
      </c>
      <c r="BD28" s="10">
        <f t="shared" ca="1" si="3"/>
        <v>49.688242459326794</v>
      </c>
      <c r="BE28" s="10">
        <f t="shared" ca="1" si="3"/>
        <v>47.879204505710533</v>
      </c>
      <c r="BF28" s="10">
        <f t="shared" ca="1" si="3"/>
        <v>34.796342527266219</v>
      </c>
      <c r="BG28" s="10">
        <f t="shared" ca="1" si="3"/>
        <v>48.361614626674864</v>
      </c>
      <c r="BH28" s="10">
        <f t="shared" ca="1" si="3"/>
        <v>50.140501947730868</v>
      </c>
    </row>
    <row r="29" spans="1:60" x14ac:dyDescent="0.3">
      <c r="E29" s="11">
        <f t="shared" si="15"/>
        <v>0.49999999999999978</v>
      </c>
      <c r="F29" s="13">
        <f t="shared" ca="1" si="23"/>
        <v>93</v>
      </c>
      <c r="G29" s="13">
        <f t="shared" ca="1" si="23"/>
        <v>98</v>
      </c>
      <c r="H29" s="13">
        <f t="shared" ca="1" si="23"/>
        <v>85</v>
      </c>
      <c r="I29" s="13">
        <f t="shared" ca="1" si="23"/>
        <v>117</v>
      </c>
      <c r="J29" s="13">
        <f t="shared" ca="1" si="23"/>
        <v>118</v>
      </c>
      <c r="K29" s="13">
        <f t="shared" ca="1" si="23"/>
        <v>109</v>
      </c>
      <c r="L29" s="13">
        <f t="shared" ca="1" si="23"/>
        <v>92</v>
      </c>
      <c r="M29" s="13">
        <f t="shared" ca="1" si="23"/>
        <v>94</v>
      </c>
      <c r="N29" s="13">
        <f t="shared" ca="1" si="23"/>
        <v>92</v>
      </c>
      <c r="O29" s="13">
        <f t="shared" ca="1" si="23"/>
        <v>114</v>
      </c>
      <c r="P29" s="13">
        <f t="shared" ca="1" si="23"/>
        <v>108</v>
      </c>
      <c r="Q29" s="13">
        <f t="shared" ca="1" si="23"/>
        <v>95</v>
      </c>
      <c r="R29" s="13">
        <f t="shared" ca="1" si="23"/>
        <v>100</v>
      </c>
      <c r="S29" s="13">
        <f t="shared" ca="1" si="23"/>
        <v>106</v>
      </c>
      <c r="T29" s="13">
        <f t="shared" ca="1" si="20"/>
        <v>102</v>
      </c>
      <c r="U29" s="13">
        <f t="shared" ca="1" si="20"/>
        <v>89</v>
      </c>
      <c r="V29" s="13">
        <f t="shared" ca="1" si="20"/>
        <v>85</v>
      </c>
      <c r="W29" s="13">
        <f t="shared" ca="1" si="20"/>
        <v>82</v>
      </c>
      <c r="X29" s="13">
        <f t="shared" ca="1" si="20"/>
        <v>103</v>
      </c>
      <c r="Y29" s="13">
        <f t="shared" ca="1" si="20"/>
        <v>116</v>
      </c>
      <c r="Z29" s="13">
        <f t="shared" ca="1" si="20"/>
        <v>88</v>
      </c>
      <c r="AA29" s="13">
        <f t="shared" ca="1" si="20"/>
        <v>93</v>
      </c>
      <c r="AB29" s="13">
        <f t="shared" ca="1" si="20"/>
        <v>107</v>
      </c>
      <c r="AC29" s="13">
        <f t="shared" ca="1" si="20"/>
        <v>119</v>
      </c>
      <c r="AD29" s="13">
        <f t="shared" ca="1" si="20"/>
        <v>109</v>
      </c>
      <c r="AE29" s="13">
        <f t="shared" ca="1" si="20"/>
        <v>96</v>
      </c>
      <c r="AF29" s="13">
        <f t="shared" ca="1" si="20"/>
        <v>85</v>
      </c>
      <c r="AG29" s="13">
        <f t="shared" ca="1" si="20"/>
        <v>111</v>
      </c>
      <c r="AI29" s="15">
        <f t="shared" si="24"/>
        <v>0.52083333333333315</v>
      </c>
      <c r="AJ29" s="7">
        <f ca="1">AVERAGEIF($F$4:$AG$4,AJ$3,F30:AG30)</f>
        <v>100</v>
      </c>
      <c r="AK29" s="7">
        <f t="shared" ca="1" si="25"/>
        <v>102</v>
      </c>
      <c r="AL29" s="7">
        <f t="shared" ca="1" si="25"/>
        <v>101.75</v>
      </c>
      <c r="AM29" s="7">
        <f t="shared" ca="1" si="26"/>
        <v>114.75</v>
      </c>
      <c r="AN29" s="7">
        <f t="shared" ca="1" si="26"/>
        <v>75.135416666666671</v>
      </c>
      <c r="AO29" s="7">
        <f t="shared" ca="1" si="26"/>
        <v>95.1875</v>
      </c>
      <c r="AP29" s="7">
        <f t="shared" ca="1" si="26"/>
        <v>95.25</v>
      </c>
      <c r="AR29" s="15">
        <f t="shared" si="27"/>
        <v>0.52083333333333315</v>
      </c>
      <c r="AS29" s="8">
        <f t="shared" ca="1" si="10"/>
        <v>3.4910106475824751E-2</v>
      </c>
      <c r="AT29" s="8">
        <f t="shared" ca="1" si="10"/>
        <v>3.5798894445906816E-2</v>
      </c>
      <c r="AU29" s="8">
        <f t="shared" ca="1" si="10"/>
        <v>3.5868511500837225E-2</v>
      </c>
      <c r="AV29" s="8">
        <f t="shared" ca="1" si="10"/>
        <v>3.9972132717930854E-2</v>
      </c>
      <c r="AW29" s="8">
        <f t="shared" ca="1" si="10"/>
        <v>3.480707240334318E-2</v>
      </c>
      <c r="AX29" s="8">
        <f t="shared" ca="1" si="10"/>
        <v>2.6593329841103543E-2</v>
      </c>
      <c r="AY29" s="8">
        <f t="shared" ca="1" si="10"/>
        <v>2.6680672268907562E-2</v>
      </c>
      <c r="BA29" s="15">
        <f t="shared" si="28"/>
        <v>0.52083333333333315</v>
      </c>
      <c r="BB29" s="10">
        <f t="shared" ca="1" si="11"/>
        <v>48.241012096433785</v>
      </c>
      <c r="BC29" s="10">
        <f t="shared" ca="1" si="3"/>
        <v>49.205832338362455</v>
      </c>
      <c r="BD29" s="10">
        <f t="shared" ca="1" si="3"/>
        <v>49.085229808121376</v>
      </c>
      <c r="BE29" s="10">
        <f t="shared" ca="1" si="3"/>
        <v>55.356561380657773</v>
      </c>
      <c r="BF29" s="10">
        <f t="shared" ca="1" si="3"/>
        <v>36.246085442872598</v>
      </c>
      <c r="BG29" s="10">
        <f t="shared" ca="1" si="3"/>
        <v>45.919413389292899</v>
      </c>
      <c r="BH29" s="10">
        <f t="shared" ca="1" si="3"/>
        <v>45.949564021853178</v>
      </c>
    </row>
    <row r="30" spans="1:60" x14ac:dyDescent="0.3">
      <c r="E30" s="11">
        <f t="shared" si="15"/>
        <v>0.52083333333333315</v>
      </c>
      <c r="F30" s="13">
        <f t="shared" ca="1" si="23"/>
        <v>112</v>
      </c>
      <c r="G30" s="13">
        <f t="shared" ca="1" si="23"/>
        <v>94</v>
      </c>
      <c r="H30" s="13">
        <f t="shared" ca="1" si="23"/>
        <v>103</v>
      </c>
      <c r="I30" s="13">
        <f t="shared" ca="1" si="23"/>
        <v>89</v>
      </c>
      <c r="J30" s="13">
        <f t="shared" ca="1" si="23"/>
        <v>112</v>
      </c>
      <c r="K30" s="13">
        <f t="shared" ca="1" si="23"/>
        <v>98</v>
      </c>
      <c r="L30" s="13">
        <f t="shared" ca="1" si="23"/>
        <v>103</v>
      </c>
      <c r="M30" s="13">
        <f t="shared" ca="1" si="23"/>
        <v>89</v>
      </c>
      <c r="N30" s="13">
        <f t="shared" ca="1" si="23"/>
        <v>118</v>
      </c>
      <c r="O30" s="13">
        <f t="shared" ca="1" si="23"/>
        <v>105</v>
      </c>
      <c r="P30" s="13">
        <f t="shared" ca="1" si="23"/>
        <v>89</v>
      </c>
      <c r="Q30" s="13">
        <f t="shared" ca="1" si="23"/>
        <v>109</v>
      </c>
      <c r="R30" s="13">
        <f t="shared" ca="1" si="23"/>
        <v>113</v>
      </c>
      <c r="S30" s="13">
        <f t="shared" ca="1" si="23"/>
        <v>120</v>
      </c>
      <c r="T30" s="13">
        <f t="shared" ca="1" si="20"/>
        <v>103</v>
      </c>
      <c r="U30" s="13">
        <f t="shared" ca="1" si="20"/>
        <v>90</v>
      </c>
      <c r="V30" s="13">
        <f t="shared" ca="1" si="20"/>
        <v>90</v>
      </c>
      <c r="W30" s="13">
        <f t="shared" ca="1" si="20"/>
        <v>91</v>
      </c>
      <c r="X30" s="13">
        <f t="shared" ca="1" si="20"/>
        <v>99</v>
      </c>
      <c r="Y30" s="13">
        <f t="shared" ca="1" si="20"/>
        <v>95</v>
      </c>
      <c r="Z30" s="13">
        <f t="shared" ca="1" si="20"/>
        <v>118</v>
      </c>
      <c r="AA30" s="13">
        <f t="shared" ca="1" si="20"/>
        <v>96</v>
      </c>
      <c r="AB30" s="13">
        <f t="shared" ca="1" si="20"/>
        <v>92</v>
      </c>
      <c r="AC30" s="13">
        <f t="shared" ca="1" si="20"/>
        <v>110</v>
      </c>
      <c r="AD30" s="13">
        <f t="shared" ca="1" si="20"/>
        <v>95</v>
      </c>
      <c r="AE30" s="13">
        <f t="shared" ca="1" si="20"/>
        <v>87</v>
      </c>
      <c r="AF30" s="13">
        <f t="shared" ca="1" si="20"/>
        <v>82</v>
      </c>
      <c r="AG30" s="13">
        <f t="shared" ca="1" si="20"/>
        <v>118</v>
      </c>
      <c r="AI30" s="15">
        <f t="shared" si="24"/>
        <v>0.54166666666666652</v>
      </c>
      <c r="AJ30" s="7">
        <f t="shared" ref="AJ30:AJ51" ca="1" si="29">AVERAGEIF($F$4:$AG$4,AJ$3,F31:AG31)</f>
        <v>101.75</v>
      </c>
      <c r="AK30" s="7">
        <f t="shared" ca="1" si="25"/>
        <v>105.75</v>
      </c>
      <c r="AL30" s="7">
        <f t="shared" ca="1" si="25"/>
        <v>100.5</v>
      </c>
      <c r="AM30" s="7">
        <f t="shared" ca="1" si="26"/>
        <v>91</v>
      </c>
      <c r="AN30" s="7">
        <f t="shared" ca="1" si="26"/>
        <v>75.390625</v>
      </c>
      <c r="AO30" s="7">
        <f t="shared" ca="1" si="26"/>
        <v>103.125</v>
      </c>
      <c r="AP30" s="7">
        <f t="shared" ca="1" si="26"/>
        <v>98.6875</v>
      </c>
      <c r="AR30" s="15">
        <f t="shared" si="27"/>
        <v>0.54166666666666652</v>
      </c>
      <c r="AS30" s="8">
        <f t="shared" ca="1" si="10"/>
        <v>3.5521033339151686E-2</v>
      </c>
      <c r="AT30" s="8">
        <f t="shared" ca="1" si="10"/>
        <v>3.7115030271123978E-2</v>
      </c>
      <c r="AU30" s="8">
        <f t="shared" ca="1" si="10"/>
        <v>3.5427866396404335E-2</v>
      </c>
      <c r="AV30" s="8">
        <f t="shared" ca="1" si="10"/>
        <v>3.1699033353653226E-2</v>
      </c>
      <c r="AW30" s="8">
        <f t="shared" ca="1" si="10"/>
        <v>3.4925299669928772E-2</v>
      </c>
      <c r="AX30" s="8">
        <f t="shared" ca="1" si="10"/>
        <v>2.8810895756940808E-2</v>
      </c>
      <c r="AY30" s="8">
        <f t="shared" ca="1" si="10"/>
        <v>2.7643557422969187E-2</v>
      </c>
      <c r="BA30" s="15">
        <f t="shared" si="28"/>
        <v>0.54166666666666652</v>
      </c>
      <c r="BB30" s="10">
        <f t="shared" ca="1" si="11"/>
        <v>49.085229808121383</v>
      </c>
      <c r="BC30" s="10">
        <f t="shared" ca="1" si="3"/>
        <v>51.014870291978717</v>
      </c>
      <c r="BD30" s="10">
        <f t="shared" ca="1" si="3"/>
        <v>48.482217156915958</v>
      </c>
      <c r="BE30" s="10">
        <f t="shared" ca="1" si="3"/>
        <v>43.899321007754743</v>
      </c>
      <c r="BF30" s="10">
        <f t="shared" ca="1" si="3"/>
        <v>36.369200525827033</v>
      </c>
      <c r="BG30" s="10">
        <f t="shared" ca="1" si="3"/>
        <v>49.748543724447337</v>
      </c>
      <c r="BH30" s="10">
        <f t="shared" ca="1" si="3"/>
        <v>47.607848812668088</v>
      </c>
    </row>
    <row r="31" spans="1:60" x14ac:dyDescent="0.3">
      <c r="E31" s="11">
        <f t="shared" si="15"/>
        <v>0.54166666666666652</v>
      </c>
      <c r="F31" s="13">
        <f ca="1">RANDBETWEEN(60,100)</f>
        <v>89</v>
      </c>
      <c r="G31" s="13">
        <f t="shared" ca="1" si="23"/>
        <v>85</v>
      </c>
      <c r="H31" s="13">
        <f t="shared" ca="1" si="23"/>
        <v>107</v>
      </c>
      <c r="I31" s="13">
        <f t="shared" ca="1" si="23"/>
        <v>103</v>
      </c>
      <c r="J31" s="13">
        <f t="shared" ca="1" si="23"/>
        <v>113</v>
      </c>
      <c r="K31" s="13">
        <f t="shared" ca="1" si="23"/>
        <v>111</v>
      </c>
      <c r="L31" s="13">
        <f t="shared" ca="1" si="23"/>
        <v>91</v>
      </c>
      <c r="M31" s="13">
        <f t="shared" ca="1" si="23"/>
        <v>100</v>
      </c>
      <c r="N31" s="13">
        <f t="shared" ca="1" si="23"/>
        <v>106</v>
      </c>
      <c r="O31" s="13">
        <f t="shared" ca="1" si="23"/>
        <v>117</v>
      </c>
      <c r="P31" s="13">
        <f t="shared" ca="1" si="23"/>
        <v>104</v>
      </c>
      <c r="Q31" s="13">
        <f t="shared" ca="1" si="23"/>
        <v>100</v>
      </c>
      <c r="R31" s="13">
        <f t="shared" ca="1" si="23"/>
        <v>89</v>
      </c>
      <c r="S31" s="13">
        <f t="shared" ca="1" si="23"/>
        <v>80</v>
      </c>
      <c r="T31" s="13">
        <f t="shared" ca="1" si="20"/>
        <v>111</v>
      </c>
      <c r="U31" s="13">
        <f t="shared" ca="1" si="20"/>
        <v>83</v>
      </c>
      <c r="V31" s="13">
        <f t="shared" ca="1" si="20"/>
        <v>118</v>
      </c>
      <c r="W31" s="13">
        <f t="shared" ca="1" si="20"/>
        <v>101</v>
      </c>
      <c r="X31" s="13">
        <f t="shared" ca="1" si="20"/>
        <v>96</v>
      </c>
      <c r="Y31" s="13">
        <f t="shared" ca="1" si="20"/>
        <v>112</v>
      </c>
      <c r="Z31" s="13">
        <f t="shared" ca="1" si="20"/>
        <v>93</v>
      </c>
      <c r="AA31" s="13">
        <f t="shared" ca="1" si="20"/>
        <v>107</v>
      </c>
      <c r="AB31" s="13">
        <f t="shared" ca="1" si="20"/>
        <v>112</v>
      </c>
      <c r="AC31" s="13">
        <f t="shared" ca="1" si="20"/>
        <v>81</v>
      </c>
      <c r="AD31" s="13">
        <f t="shared" ca="1" si="20"/>
        <v>107</v>
      </c>
      <c r="AE31" s="13">
        <f t="shared" ca="1" si="20"/>
        <v>93</v>
      </c>
      <c r="AF31" s="13">
        <f t="shared" ca="1" si="20"/>
        <v>95</v>
      </c>
      <c r="AG31" s="16">
        <f t="shared" ca="1" si="20"/>
        <v>100</v>
      </c>
      <c r="AI31" s="15">
        <f t="shared" si="24"/>
        <v>0.56249999999999989</v>
      </c>
      <c r="AJ31" s="7">
        <f t="shared" ca="1" si="29"/>
        <v>111</v>
      </c>
      <c r="AK31" s="7">
        <f t="shared" ca="1" si="25"/>
        <v>100.5</v>
      </c>
      <c r="AL31" s="7">
        <f t="shared" ca="1" si="25"/>
        <v>104.25</v>
      </c>
      <c r="AM31" s="7">
        <f t="shared" ca="1" si="26"/>
        <v>98.75</v>
      </c>
      <c r="AN31" s="7">
        <f t="shared" ca="1" si="26"/>
        <v>78.645833333333329</v>
      </c>
      <c r="AO31" s="7">
        <f t="shared" ca="1" si="26"/>
        <v>87.875</v>
      </c>
      <c r="AP31" s="7">
        <f t="shared" ca="1" si="26"/>
        <v>99.1875</v>
      </c>
      <c r="AR31" s="15">
        <f t="shared" si="27"/>
        <v>0.56249999999999989</v>
      </c>
      <c r="AS31" s="8">
        <f t="shared" ca="1" si="10"/>
        <v>3.8750218188165472E-2</v>
      </c>
      <c r="AT31" s="8">
        <f t="shared" ca="1" si="10"/>
        <v>3.5272440115819953E-2</v>
      </c>
      <c r="AU31" s="8">
        <f t="shared" ca="1" si="10"/>
        <v>3.6749801709703003E-2</v>
      </c>
      <c r="AV31" s="8">
        <f t="shared" ca="1" si="10"/>
        <v>3.4398676304101712E-2</v>
      </c>
      <c r="AW31" s="8">
        <f t="shared" ca="1" si="10"/>
        <v>3.6433300519234851E-2</v>
      </c>
      <c r="AX31" s="8">
        <f t="shared" ca="1" si="10"/>
        <v>2.4550375414702286E-2</v>
      </c>
      <c r="AY31" s="8">
        <f t="shared" ca="1" si="10"/>
        <v>2.778361344537815E-2</v>
      </c>
      <c r="BA31" s="15">
        <f t="shared" si="28"/>
        <v>0.56249999999999989</v>
      </c>
      <c r="BB31" s="10">
        <f t="shared" ca="1" si="11"/>
        <v>53.547523427041497</v>
      </c>
      <c r="BC31" s="10">
        <f t="shared" ca="1" si="3"/>
        <v>48.482217156915958</v>
      </c>
      <c r="BD31" s="10">
        <f t="shared" ca="1" si="3"/>
        <v>50.291255110532219</v>
      </c>
      <c r="BE31" s="10">
        <f t="shared" ca="1" si="3"/>
        <v>47.63799944522836</v>
      </c>
      <c r="BF31" s="10">
        <f t="shared" ca="1" si="3"/>
        <v>37.939545971674491</v>
      </c>
      <c r="BG31" s="10">
        <f t="shared" ca="1" si="3"/>
        <v>42.391789379741184</v>
      </c>
      <c r="BH31" s="10">
        <f t="shared" ca="1" si="3"/>
        <v>47.849053873150254</v>
      </c>
    </row>
    <row r="32" spans="1:60" x14ac:dyDescent="0.3">
      <c r="E32" s="11">
        <f t="shared" si="15"/>
        <v>0.56249999999999989</v>
      </c>
      <c r="F32" s="13">
        <f t="shared" ca="1" si="23"/>
        <v>97</v>
      </c>
      <c r="G32" s="13">
        <f t="shared" ca="1" si="23"/>
        <v>119</v>
      </c>
      <c r="H32" s="13">
        <f t="shared" ca="1" si="23"/>
        <v>88</v>
      </c>
      <c r="I32" s="13">
        <f t="shared" ca="1" si="23"/>
        <v>118</v>
      </c>
      <c r="J32" s="13">
        <f t="shared" ca="1" si="23"/>
        <v>111</v>
      </c>
      <c r="K32" s="13">
        <f t="shared" ca="1" si="23"/>
        <v>96</v>
      </c>
      <c r="L32" s="13">
        <f t="shared" ca="1" si="23"/>
        <v>101</v>
      </c>
      <c r="M32" s="13">
        <f t="shared" ca="1" si="23"/>
        <v>114</v>
      </c>
      <c r="N32" s="13">
        <f t="shared" ca="1" si="23"/>
        <v>104</v>
      </c>
      <c r="O32" s="13">
        <f t="shared" ca="1" si="23"/>
        <v>109</v>
      </c>
      <c r="P32" s="13">
        <f t="shared" ca="1" si="23"/>
        <v>82</v>
      </c>
      <c r="Q32" s="13">
        <f t="shared" ca="1" si="23"/>
        <v>89</v>
      </c>
      <c r="R32" s="13">
        <f t="shared" ca="1" si="23"/>
        <v>91</v>
      </c>
      <c r="S32" s="13">
        <f t="shared" ca="1" si="23"/>
        <v>95</v>
      </c>
      <c r="T32" s="13">
        <f t="shared" ca="1" si="23"/>
        <v>119</v>
      </c>
      <c r="U32" s="13">
        <f t="shared" ca="1" si="23"/>
        <v>114</v>
      </c>
      <c r="V32" s="13">
        <f t="shared" ca="1" si="20"/>
        <v>119</v>
      </c>
      <c r="W32" s="13">
        <f t="shared" ca="1" si="20"/>
        <v>83</v>
      </c>
      <c r="X32" s="13">
        <f t="shared" ca="1" si="20"/>
        <v>101</v>
      </c>
      <c r="Y32" s="13">
        <f t="shared" ca="1" si="20"/>
        <v>92</v>
      </c>
      <c r="Z32" s="13">
        <f t="shared" ca="1" si="20"/>
        <v>101</v>
      </c>
      <c r="AA32" s="13">
        <f t="shared" ca="1" si="20"/>
        <v>114</v>
      </c>
      <c r="AB32" s="13">
        <f t="shared" ca="1" si="20"/>
        <v>96</v>
      </c>
      <c r="AC32" s="13">
        <f t="shared" ca="1" si="20"/>
        <v>86</v>
      </c>
      <c r="AD32" s="13">
        <f t="shared" ca="1" si="20"/>
        <v>87</v>
      </c>
      <c r="AE32" s="13">
        <f t="shared" ca="1" si="20"/>
        <v>116</v>
      </c>
      <c r="AF32" s="13">
        <f t="shared" ca="1" si="20"/>
        <v>105</v>
      </c>
      <c r="AG32" s="13">
        <f t="shared" ca="1" si="20"/>
        <v>98</v>
      </c>
      <c r="AI32" s="15">
        <f t="shared" si="24"/>
        <v>0.58333333333333326</v>
      </c>
      <c r="AJ32" s="7">
        <f t="shared" ca="1" si="29"/>
        <v>107.25</v>
      </c>
      <c r="AK32" s="7">
        <f t="shared" ca="1" si="25"/>
        <v>99.5</v>
      </c>
      <c r="AL32" s="7">
        <f t="shared" ca="1" si="25"/>
        <v>91.25</v>
      </c>
      <c r="AM32" s="7">
        <f t="shared" ca="1" si="26"/>
        <v>108.75</v>
      </c>
      <c r="AN32" s="7">
        <f t="shared" ca="1" si="26"/>
        <v>73.401041666666671</v>
      </c>
      <c r="AO32" s="7">
        <f t="shared" ca="1" si="26"/>
        <v>102.4375</v>
      </c>
      <c r="AP32" s="7">
        <f t="shared" ca="1" si="26"/>
        <v>102.625</v>
      </c>
      <c r="AR32" s="15">
        <f t="shared" si="27"/>
        <v>0.58333333333333326</v>
      </c>
      <c r="AS32" s="8">
        <f t="shared" ca="1" si="10"/>
        <v>3.7441089195322047E-2</v>
      </c>
      <c r="AT32" s="8">
        <f t="shared" ca="1" si="10"/>
        <v>3.4921470562428711E-2</v>
      </c>
      <c r="AU32" s="8">
        <f t="shared" ca="1" si="10"/>
        <v>3.216709262360095E-2</v>
      </c>
      <c r="AV32" s="8">
        <f t="shared" ca="1" si="10"/>
        <v>3.7882086562744929E-2</v>
      </c>
      <c r="AW32" s="8">
        <f t="shared" ca="1" si="10"/>
        <v>3.4003609550832904E-2</v>
      </c>
      <c r="AX32" s="8">
        <f t="shared" ca="1" si="10"/>
        <v>2.8618823118561201E-2</v>
      </c>
      <c r="AY32" s="8">
        <f t="shared" ca="1" si="10"/>
        <v>2.8746498599439774E-2</v>
      </c>
      <c r="BA32" s="15">
        <f t="shared" si="28"/>
        <v>0.58333333333333326</v>
      </c>
      <c r="BB32" s="10">
        <f t="shared" ca="1" si="11"/>
        <v>51.738485473425236</v>
      </c>
      <c r="BC32" s="10">
        <f t="shared" ca="1" si="3"/>
        <v>47.999807035951612</v>
      </c>
      <c r="BD32" s="10">
        <f t="shared" ca="1" si="3"/>
        <v>44.01992353799583</v>
      </c>
      <c r="BE32" s="10">
        <f t="shared" ca="1" si="3"/>
        <v>52.46210065487174</v>
      </c>
      <c r="BF32" s="10">
        <f t="shared" ca="1" si="3"/>
        <v>35.409405389325073</v>
      </c>
      <c r="BG32" s="10">
        <f t="shared" ca="1" si="3"/>
        <v>49.41688676628435</v>
      </c>
      <c r="BH32" s="10">
        <f t="shared" ca="1" si="3"/>
        <v>49.507338663965172</v>
      </c>
    </row>
    <row r="33" spans="5:60" x14ac:dyDescent="0.3">
      <c r="E33" s="11">
        <f t="shared" si="15"/>
        <v>0.58333333333333326</v>
      </c>
      <c r="F33" s="13">
        <f t="shared" ca="1" si="23"/>
        <v>119</v>
      </c>
      <c r="G33" s="13">
        <f t="shared" ca="1" si="20"/>
        <v>95</v>
      </c>
      <c r="H33" s="13">
        <f t="shared" ca="1" si="20"/>
        <v>90</v>
      </c>
      <c r="I33" s="13">
        <f t="shared" ca="1" si="20"/>
        <v>83</v>
      </c>
      <c r="J33" s="13">
        <f t="shared" ca="1" si="20"/>
        <v>85</v>
      </c>
      <c r="K33" s="13">
        <f t="shared" ca="1" si="20"/>
        <v>96</v>
      </c>
      <c r="L33" s="13">
        <f t="shared" ca="1" si="20"/>
        <v>120</v>
      </c>
      <c r="M33" s="13">
        <f t="shared" ca="1" si="20"/>
        <v>82</v>
      </c>
      <c r="N33" s="13">
        <f t="shared" ca="1" si="20"/>
        <v>86</v>
      </c>
      <c r="O33" s="13">
        <f t="shared" ca="1" si="20"/>
        <v>97</v>
      </c>
      <c r="P33" s="13">
        <f t="shared" ca="1" si="20"/>
        <v>96</v>
      </c>
      <c r="Q33" s="13">
        <f t="shared" ca="1" si="20"/>
        <v>83</v>
      </c>
      <c r="R33" s="13">
        <f t="shared" ca="1" si="20"/>
        <v>93</v>
      </c>
      <c r="S33" s="13">
        <f t="shared" ca="1" si="20"/>
        <v>104</v>
      </c>
      <c r="T33" s="13">
        <f t="shared" ca="1" si="20"/>
        <v>118</v>
      </c>
      <c r="U33" s="13">
        <f t="shared" ca="1" si="20"/>
        <v>116</v>
      </c>
      <c r="V33" s="13">
        <f t="shared" ca="1" si="20"/>
        <v>109</v>
      </c>
      <c r="W33" s="13">
        <f t="shared" ca="1" si="20"/>
        <v>118</v>
      </c>
      <c r="X33" s="13">
        <f t="shared" ca="1" si="20"/>
        <v>94</v>
      </c>
      <c r="Y33" s="13">
        <f t="shared" ca="1" si="20"/>
        <v>117</v>
      </c>
      <c r="Z33" s="13">
        <f t="shared" ca="1" si="20"/>
        <v>112</v>
      </c>
      <c r="AA33" s="13">
        <f t="shared" ca="1" si="20"/>
        <v>110</v>
      </c>
      <c r="AB33" s="13">
        <f t="shared" ca="1" si="20"/>
        <v>91</v>
      </c>
      <c r="AC33" s="13">
        <f t="shared" ca="1" si="20"/>
        <v>102</v>
      </c>
      <c r="AD33" s="13">
        <f t="shared" ca="1" si="20"/>
        <v>99</v>
      </c>
      <c r="AE33" s="13">
        <f t="shared" ca="1" si="20"/>
        <v>103</v>
      </c>
      <c r="AF33" s="13">
        <f t="shared" ca="1" si="20"/>
        <v>107</v>
      </c>
      <c r="AG33" s="13">
        <f t="shared" ca="1" si="20"/>
        <v>99</v>
      </c>
      <c r="AI33" s="15">
        <f t="shared" si="24"/>
        <v>0.60416666666666663</v>
      </c>
      <c r="AJ33" s="7">
        <f t="shared" ca="1" si="29"/>
        <v>102.75</v>
      </c>
      <c r="AK33" s="7">
        <f t="shared" ca="1" si="25"/>
        <v>96.75</v>
      </c>
      <c r="AL33" s="7">
        <f t="shared" ca="1" si="25"/>
        <v>96.5</v>
      </c>
      <c r="AM33" s="7">
        <f t="shared" ca="1" si="26"/>
        <v>93.5</v>
      </c>
      <c r="AN33" s="7">
        <f t="shared" ca="1" si="26"/>
        <v>74.65625</v>
      </c>
      <c r="AO33" s="7">
        <f t="shared" ca="1" si="26"/>
        <v>102</v>
      </c>
      <c r="AP33" s="7">
        <f t="shared" ca="1" si="26"/>
        <v>102.3125</v>
      </c>
      <c r="AR33" s="15">
        <f t="shared" si="27"/>
        <v>0.60416666666666663</v>
      </c>
      <c r="AS33" s="8">
        <f t="shared" ca="1" si="10"/>
        <v>3.5870134403909931E-2</v>
      </c>
      <c r="AT33" s="8">
        <f t="shared" ca="1" si="10"/>
        <v>3.3956304290602791E-2</v>
      </c>
      <c r="AU33" s="8">
        <f t="shared" ca="1" si="10"/>
        <v>3.4017802062219091E-2</v>
      </c>
      <c r="AV33" s="8">
        <f t="shared" ca="1" si="10"/>
        <v>3.2569885918314029E-2</v>
      </c>
      <c r="AW33" s="8">
        <f t="shared" ca="1" si="10"/>
        <v>3.4585094678325323E-2</v>
      </c>
      <c r="AX33" s="8">
        <f t="shared" ca="1" si="10"/>
        <v>2.8496595075955998E-2</v>
      </c>
      <c r="AY33" s="8">
        <f t="shared" ca="1" si="10"/>
        <v>2.8658963585434172E-2</v>
      </c>
      <c r="BA33" s="15">
        <f t="shared" si="28"/>
        <v>0.60416666666666663</v>
      </c>
      <c r="BB33" s="10">
        <f t="shared" ca="1" si="11"/>
        <v>49.567639929085708</v>
      </c>
      <c r="BC33" s="10">
        <f t="shared" ca="1" si="3"/>
        <v>46.673179203299689</v>
      </c>
      <c r="BD33" s="10">
        <f t="shared" ca="1" si="3"/>
        <v>46.55257667305861</v>
      </c>
      <c r="BE33" s="10">
        <f t="shared" ca="1" si="3"/>
        <v>45.105346310165594</v>
      </c>
      <c r="BF33" s="10">
        <f t="shared" ca="1" si="3"/>
        <v>36.014930593243847</v>
      </c>
      <c r="BG33" s="10">
        <f t="shared" ca="1" si="3"/>
        <v>49.205832338362455</v>
      </c>
      <c r="BH33" s="10">
        <f t="shared" ca="1" si="3"/>
        <v>49.356585501163821</v>
      </c>
    </row>
    <row r="34" spans="5:60" x14ac:dyDescent="0.3">
      <c r="E34" s="11">
        <f t="shared" si="15"/>
        <v>0.60416666666666663</v>
      </c>
      <c r="F34" s="13">
        <f t="shared" ca="1" si="23"/>
        <v>119</v>
      </c>
      <c r="G34" s="13">
        <f t="shared" ca="1" si="20"/>
        <v>111</v>
      </c>
      <c r="H34" s="13">
        <f t="shared" ca="1" si="20"/>
        <v>82</v>
      </c>
      <c r="I34" s="13">
        <f t="shared" ca="1" si="20"/>
        <v>110</v>
      </c>
      <c r="J34" s="13">
        <f t="shared" ca="1" si="20"/>
        <v>88</v>
      </c>
      <c r="K34" s="13">
        <f t="shared" ca="1" si="20"/>
        <v>90</v>
      </c>
      <c r="L34" s="13">
        <f t="shared" ca="1" si="20"/>
        <v>88</v>
      </c>
      <c r="M34" s="13">
        <f t="shared" ca="1" si="20"/>
        <v>116</v>
      </c>
      <c r="N34" s="13">
        <f t="shared" ca="1" si="20"/>
        <v>91</v>
      </c>
      <c r="O34" s="13">
        <f t="shared" ca="1" si="20"/>
        <v>85</v>
      </c>
      <c r="P34" s="13">
        <f t="shared" ca="1" si="20"/>
        <v>97</v>
      </c>
      <c r="Q34" s="13">
        <f t="shared" ca="1" si="20"/>
        <v>92</v>
      </c>
      <c r="R34" s="13">
        <f t="shared" ca="1" si="20"/>
        <v>113</v>
      </c>
      <c r="S34" s="13">
        <f t="shared" ca="1" si="20"/>
        <v>89</v>
      </c>
      <c r="T34" s="13">
        <f t="shared" ca="1" si="20"/>
        <v>89</v>
      </c>
      <c r="U34" s="13">
        <f t="shared" ca="1" si="20"/>
        <v>98</v>
      </c>
      <c r="V34" s="13">
        <f t="shared" ca="1" si="20"/>
        <v>112</v>
      </c>
      <c r="W34" s="13">
        <f t="shared" ca="1" si="20"/>
        <v>107</v>
      </c>
      <c r="X34" s="13">
        <f t="shared" ca="1" si="20"/>
        <v>98</v>
      </c>
      <c r="Y34" s="13">
        <f t="shared" ca="1" si="20"/>
        <v>105</v>
      </c>
      <c r="Z34" s="13">
        <f t="shared" ca="1" si="20"/>
        <v>103</v>
      </c>
      <c r="AA34" s="13">
        <f t="shared" ca="1" si="20"/>
        <v>87</v>
      </c>
      <c r="AB34" s="13">
        <f t="shared" ca="1" si="20"/>
        <v>109</v>
      </c>
      <c r="AC34" s="13">
        <f t="shared" ca="1" si="20"/>
        <v>108</v>
      </c>
      <c r="AD34" s="13">
        <f t="shared" ca="1" si="20"/>
        <v>103</v>
      </c>
      <c r="AE34" s="13">
        <f t="shared" ca="1" si="20"/>
        <v>108</v>
      </c>
      <c r="AF34" s="13">
        <f t="shared" ca="1" si="20"/>
        <v>99</v>
      </c>
      <c r="AG34" s="13">
        <f t="shared" ca="1" si="20"/>
        <v>94</v>
      </c>
      <c r="AI34" s="15">
        <f t="shared" si="24"/>
        <v>0.625</v>
      </c>
      <c r="AJ34" s="7">
        <f t="shared" ca="1" si="29"/>
        <v>93</v>
      </c>
      <c r="AK34" s="7">
        <f t="shared" ca="1" si="25"/>
        <v>101</v>
      </c>
      <c r="AL34" s="7">
        <f t="shared" ca="1" si="25"/>
        <v>88.75</v>
      </c>
      <c r="AM34" s="7">
        <f t="shared" ca="1" si="26"/>
        <v>92.25</v>
      </c>
      <c r="AN34" s="7">
        <f t="shared" ca="1" si="26"/>
        <v>70.411458333333329</v>
      </c>
      <c r="AO34" s="7">
        <f t="shared" ca="1" si="26"/>
        <v>99.9375</v>
      </c>
      <c r="AP34" s="7">
        <f t="shared" ca="1" si="26"/>
        <v>98.9375</v>
      </c>
      <c r="AR34" s="15">
        <f t="shared" si="27"/>
        <v>0.625</v>
      </c>
      <c r="AS34" s="8">
        <f t="shared" ca="1" si="10"/>
        <v>3.2466399022517016E-2</v>
      </c>
      <c r="AT34" s="8">
        <f t="shared" ca="1" si="10"/>
        <v>3.5447924892515574E-2</v>
      </c>
      <c r="AU34" s="8">
        <f t="shared" ca="1" si="10"/>
        <v>3.1285802414735171E-2</v>
      </c>
      <c r="AV34" s="8">
        <f t="shared" ca="1" si="10"/>
        <v>3.2134459635983631E-2</v>
      </c>
      <c r="AW34" s="8">
        <f t="shared" ca="1" si="10"/>
        <v>3.2618661570830196E-2</v>
      </c>
      <c r="AX34" s="8">
        <f t="shared" ca="1" si="10"/>
        <v>2.7920377160817182E-2</v>
      </c>
      <c r="AY34" s="8">
        <f t="shared" ca="1" si="10"/>
        <v>2.7713585434173668E-2</v>
      </c>
      <c r="BA34" s="15">
        <f t="shared" si="28"/>
        <v>0.625</v>
      </c>
      <c r="BB34" s="10">
        <f t="shared" ca="1" si="11"/>
        <v>44.864141249683414</v>
      </c>
      <c r="BC34" s="10">
        <f t="shared" ca="1" si="3"/>
        <v>48.723422217398117</v>
      </c>
      <c r="BD34" s="10">
        <f t="shared" ca="1" si="3"/>
        <v>42.813898235584986</v>
      </c>
      <c r="BE34" s="10">
        <f t="shared" ca="1" si="3"/>
        <v>44.502333658960175</v>
      </c>
      <c r="BF34" s="10">
        <f t="shared" ca="1" si="3"/>
        <v>33.967200131858768</v>
      </c>
      <c r="BG34" s="10">
        <f t="shared" ca="1" si="3"/>
        <v>48.210861463873513</v>
      </c>
      <c r="BH34" s="10">
        <f t="shared" ca="1" si="3"/>
        <v>47.728451342909175</v>
      </c>
    </row>
    <row r="35" spans="5:60" x14ac:dyDescent="0.3">
      <c r="E35" s="11">
        <f t="shared" si="15"/>
        <v>0.625</v>
      </c>
      <c r="F35" s="13">
        <f t="shared" ca="1" si="23"/>
        <v>99</v>
      </c>
      <c r="G35" s="13">
        <f t="shared" ca="1" si="20"/>
        <v>109</v>
      </c>
      <c r="H35" s="13">
        <f t="shared" ca="1" si="20"/>
        <v>112</v>
      </c>
      <c r="I35" s="13">
        <f t="shared" ca="1" si="20"/>
        <v>83</v>
      </c>
      <c r="J35" s="13">
        <f t="shared" ca="1" si="20"/>
        <v>86</v>
      </c>
      <c r="K35" s="13">
        <f t="shared" ca="1" si="20"/>
        <v>82</v>
      </c>
      <c r="L35" s="13">
        <f t="shared" ca="1" si="20"/>
        <v>89</v>
      </c>
      <c r="M35" s="13">
        <f t="shared" ca="1" si="20"/>
        <v>84</v>
      </c>
      <c r="N35" s="13">
        <f t="shared" ca="1" si="20"/>
        <v>88</v>
      </c>
      <c r="O35" s="13">
        <f t="shared" ca="1" si="20"/>
        <v>103</v>
      </c>
      <c r="P35" s="13">
        <f t="shared" ca="1" si="20"/>
        <v>93</v>
      </c>
      <c r="Q35" s="13">
        <f t="shared" ca="1" si="20"/>
        <v>81</v>
      </c>
      <c r="R35" s="13">
        <f t="shared" ca="1" si="20"/>
        <v>107</v>
      </c>
      <c r="S35" s="13">
        <f t="shared" ca="1" si="20"/>
        <v>116</v>
      </c>
      <c r="T35" s="13">
        <f t="shared" ca="1" si="20"/>
        <v>84</v>
      </c>
      <c r="U35" s="13">
        <f t="shared" ca="1" si="20"/>
        <v>102</v>
      </c>
      <c r="V35" s="13">
        <f t="shared" ca="1" si="20"/>
        <v>104</v>
      </c>
      <c r="W35" s="13">
        <f t="shared" ca="1" si="20"/>
        <v>105</v>
      </c>
      <c r="X35" s="13">
        <f t="shared" ca="1" si="20"/>
        <v>86</v>
      </c>
      <c r="Y35" s="13">
        <f t="shared" ca="1" si="20"/>
        <v>86</v>
      </c>
      <c r="Z35" s="13">
        <f t="shared" ca="1" si="20"/>
        <v>82</v>
      </c>
      <c r="AA35" s="13">
        <f t="shared" ca="1" si="20"/>
        <v>105</v>
      </c>
      <c r="AB35" s="13">
        <f t="shared" ca="1" si="20"/>
        <v>91</v>
      </c>
      <c r="AC35" s="13">
        <f t="shared" ca="1" si="20"/>
        <v>85</v>
      </c>
      <c r="AD35" s="13">
        <f t="shared" ca="1" si="20"/>
        <v>101</v>
      </c>
      <c r="AE35" s="13">
        <f t="shared" ca="1" si="20"/>
        <v>102</v>
      </c>
      <c r="AF35" s="13">
        <f t="shared" ca="1" si="20"/>
        <v>88</v>
      </c>
      <c r="AG35" s="13">
        <f t="shared" ca="1" si="20"/>
        <v>82</v>
      </c>
      <c r="AI35" s="15">
        <f t="shared" si="24"/>
        <v>0.64583333333333337</v>
      </c>
      <c r="AJ35" s="7">
        <f t="shared" ca="1" si="29"/>
        <v>101</v>
      </c>
      <c r="AK35" s="7">
        <f t="shared" ca="1" si="25"/>
        <v>100.75</v>
      </c>
      <c r="AL35" s="7">
        <f t="shared" ca="1" si="25"/>
        <v>95.25</v>
      </c>
      <c r="AM35" s="7">
        <f t="shared" ca="1" si="26"/>
        <v>114.75</v>
      </c>
      <c r="AN35" s="7">
        <f t="shared" ca="1" si="26"/>
        <v>77.666666666666671</v>
      </c>
      <c r="AO35" s="7">
        <f t="shared" ca="1" si="26"/>
        <v>111.6875</v>
      </c>
      <c r="AP35" s="7">
        <f t="shared" ca="1" si="26"/>
        <v>95.875</v>
      </c>
      <c r="AR35" s="15">
        <f t="shared" si="27"/>
        <v>0.64583333333333337</v>
      </c>
      <c r="AS35" s="8">
        <f t="shared" ca="1" si="10"/>
        <v>3.5259207540582996E-2</v>
      </c>
      <c r="AT35" s="8">
        <f t="shared" ca="1" si="10"/>
        <v>3.536018250416776E-2</v>
      </c>
      <c r="AU35" s="8">
        <f t="shared" ca="1" si="10"/>
        <v>3.3577156957786201E-2</v>
      </c>
      <c r="AV35" s="8">
        <f t="shared" ca="1" si="10"/>
        <v>3.9972132717930854E-2</v>
      </c>
      <c r="AW35" s="8">
        <f t="shared" ca="1" si="10"/>
        <v>3.5979693863763589E-2</v>
      </c>
      <c r="AX35" s="8">
        <f t="shared" ca="1" si="10"/>
        <v>3.1203073162214073E-2</v>
      </c>
      <c r="AY35" s="8">
        <f t="shared" ca="1" si="10"/>
        <v>2.6855742296918769E-2</v>
      </c>
      <c r="BA35" s="15">
        <f t="shared" si="28"/>
        <v>0.64583333333333337</v>
      </c>
      <c r="BB35" s="10">
        <f t="shared" ca="1" si="11"/>
        <v>48.723422217398117</v>
      </c>
      <c r="BC35" s="10">
        <f t="shared" ca="1" si="3"/>
        <v>48.60281968715703</v>
      </c>
      <c r="BD35" s="10">
        <f t="shared" ca="1" si="3"/>
        <v>45.949564021853185</v>
      </c>
      <c r="BE35" s="10">
        <f t="shared" ca="1" si="3"/>
        <v>55.356561380657773</v>
      </c>
      <c r="BF35" s="10">
        <f t="shared" ca="1" si="3"/>
        <v>37.467186061563581</v>
      </c>
      <c r="BG35" s="10">
        <f t="shared" ca="1" si="3"/>
        <v>53.879180385204478</v>
      </c>
      <c r="BH35" s="10">
        <f t="shared" ca="1" si="3"/>
        <v>46.251070347455901</v>
      </c>
    </row>
    <row r="36" spans="5:60" x14ac:dyDescent="0.3">
      <c r="E36" s="11">
        <f t="shared" si="15"/>
        <v>0.64583333333333337</v>
      </c>
      <c r="F36" s="13">
        <f t="shared" ca="1" si="23"/>
        <v>111</v>
      </c>
      <c r="G36" s="13">
        <f t="shared" ca="1" si="20"/>
        <v>86</v>
      </c>
      <c r="H36" s="13">
        <f t="shared" ca="1" si="20"/>
        <v>89</v>
      </c>
      <c r="I36" s="13">
        <f t="shared" ca="1" si="20"/>
        <v>82</v>
      </c>
      <c r="J36" s="13">
        <f t="shared" ca="1" si="20"/>
        <v>90</v>
      </c>
      <c r="K36" s="13">
        <f t="shared" ca="1" si="20"/>
        <v>108</v>
      </c>
      <c r="L36" s="13">
        <f t="shared" ca="1" si="20"/>
        <v>119</v>
      </c>
      <c r="M36" s="13">
        <f t="shared" ca="1" si="20"/>
        <v>99</v>
      </c>
      <c r="N36" s="13">
        <f t="shared" ca="1" si="20"/>
        <v>83</v>
      </c>
      <c r="O36" s="13">
        <f t="shared" ca="1" si="20"/>
        <v>108</v>
      </c>
      <c r="P36" s="13">
        <f t="shared" ca="1" si="20"/>
        <v>118</v>
      </c>
      <c r="Q36" s="13">
        <f t="shared" ca="1" si="20"/>
        <v>104</v>
      </c>
      <c r="R36" s="13">
        <f t="shared" ca="1" si="20"/>
        <v>85</v>
      </c>
      <c r="S36" s="13">
        <f t="shared" ca="1" si="20"/>
        <v>120</v>
      </c>
      <c r="T36" s="13">
        <f t="shared" ca="1" si="20"/>
        <v>92</v>
      </c>
      <c r="U36" s="13">
        <f t="shared" ca="1" si="20"/>
        <v>113</v>
      </c>
      <c r="V36" s="13">
        <f t="shared" ca="1" si="20"/>
        <v>89</v>
      </c>
      <c r="W36" s="13">
        <f t="shared" ca="1" si="20"/>
        <v>112</v>
      </c>
      <c r="X36" s="13">
        <f t="shared" ca="1" si="20"/>
        <v>83</v>
      </c>
      <c r="Y36" s="13">
        <f t="shared" ca="1" si="20"/>
        <v>95</v>
      </c>
      <c r="Z36" s="13">
        <f t="shared" ca="1" si="20"/>
        <v>108</v>
      </c>
      <c r="AA36" s="13">
        <f t="shared" ca="1" si="20"/>
        <v>102</v>
      </c>
      <c r="AB36" s="13">
        <f t="shared" ca="1" si="20"/>
        <v>114</v>
      </c>
      <c r="AC36" s="13">
        <f t="shared" ca="1" si="20"/>
        <v>117</v>
      </c>
      <c r="AD36" s="13">
        <f t="shared" ca="1" si="20"/>
        <v>120</v>
      </c>
      <c r="AE36" s="13">
        <f t="shared" ca="1" si="20"/>
        <v>104</v>
      </c>
      <c r="AF36" s="13">
        <f t="shared" ca="1" si="20"/>
        <v>104</v>
      </c>
      <c r="AG36" s="13">
        <f t="shared" ca="1" si="20"/>
        <v>112</v>
      </c>
      <c r="AI36" s="15">
        <f t="shared" si="24"/>
        <v>0.66666666666666674</v>
      </c>
      <c r="AJ36" s="7">
        <f t="shared" ca="1" si="29"/>
        <v>105.5</v>
      </c>
      <c r="AK36" s="7">
        <f t="shared" ca="1" si="25"/>
        <v>96.75</v>
      </c>
      <c r="AL36" s="7">
        <f t="shared" ca="1" si="25"/>
        <v>109.75</v>
      </c>
      <c r="AM36" s="7">
        <f t="shared" ca="1" si="26"/>
        <v>99.5</v>
      </c>
      <c r="AN36" s="7">
        <f t="shared" ca="1" si="26"/>
        <v>76.171875</v>
      </c>
      <c r="AO36" s="7">
        <f t="shared" ca="1" si="26"/>
        <v>101.8125</v>
      </c>
      <c r="AP36" s="7">
        <f t="shared" ca="1" si="26"/>
        <v>103.375</v>
      </c>
      <c r="AR36" s="15">
        <f t="shared" si="27"/>
        <v>0.66666666666666674</v>
      </c>
      <c r="AS36" s="8">
        <f t="shared" ca="1" si="10"/>
        <v>3.6830162331995112E-2</v>
      </c>
      <c r="AT36" s="8">
        <f t="shared" ca="1" si="10"/>
        <v>3.3956304290602791E-2</v>
      </c>
      <c r="AU36" s="8">
        <f t="shared" ca="1" si="10"/>
        <v>3.8688640169207721E-2</v>
      </c>
      <c r="AV36" s="8">
        <f t="shared" ca="1" si="10"/>
        <v>3.4659932073499954E-2</v>
      </c>
      <c r="AW36" s="8">
        <f t="shared" ca="1" si="10"/>
        <v>3.5287219873762231E-2</v>
      </c>
      <c r="AX36" s="8">
        <f t="shared" ca="1" si="10"/>
        <v>2.8444211629125197E-2</v>
      </c>
      <c r="AY36" s="8">
        <f t="shared" ca="1" si="10"/>
        <v>2.8956582633053222E-2</v>
      </c>
      <c r="BA36" s="15">
        <f t="shared" si="28"/>
        <v>0.66666666666666674</v>
      </c>
      <c r="BB36" s="10">
        <f t="shared" ca="1" si="11"/>
        <v>50.894267761737638</v>
      </c>
      <c r="BC36" s="10">
        <f t="shared" ca="1" si="3"/>
        <v>46.673179203299689</v>
      </c>
      <c r="BD36" s="10">
        <f t="shared" ca="1" si="3"/>
        <v>52.944510775836079</v>
      </c>
      <c r="BE36" s="10">
        <f t="shared" ca="1" si="3"/>
        <v>47.999807035951612</v>
      </c>
      <c r="BF36" s="10">
        <f t="shared" ca="1" si="3"/>
        <v>36.746083432830417</v>
      </c>
      <c r="BG36" s="10">
        <f t="shared" ca="1" si="3"/>
        <v>49.115380440681648</v>
      </c>
      <c r="BH36" s="10">
        <f t="shared" ca="1" si="3"/>
        <v>49.869146254688431</v>
      </c>
    </row>
    <row r="37" spans="5:60" x14ac:dyDescent="0.3">
      <c r="E37" s="11">
        <f t="shared" si="15"/>
        <v>0.66666666666666674</v>
      </c>
      <c r="F37" s="13">
        <f t="shared" ca="1" si="23"/>
        <v>119</v>
      </c>
      <c r="G37" s="13">
        <f t="shared" ca="1" si="20"/>
        <v>96</v>
      </c>
      <c r="H37" s="13">
        <f t="shared" ca="1" si="20"/>
        <v>83</v>
      </c>
      <c r="I37" s="13">
        <f t="shared" ca="1" si="20"/>
        <v>102</v>
      </c>
      <c r="J37" s="13">
        <f t="shared" ca="1" si="20"/>
        <v>116</v>
      </c>
      <c r="K37" s="13">
        <f t="shared" ca="1" si="20"/>
        <v>105</v>
      </c>
      <c r="L37" s="13">
        <f t="shared" ca="1" si="20"/>
        <v>83</v>
      </c>
      <c r="M37" s="13">
        <f t="shared" ca="1" si="20"/>
        <v>102</v>
      </c>
      <c r="N37" s="13">
        <f t="shared" ca="1" si="20"/>
        <v>103</v>
      </c>
      <c r="O37" s="13">
        <f t="shared" ca="1" si="20"/>
        <v>81</v>
      </c>
      <c r="P37" s="13">
        <f t="shared" ca="1" si="20"/>
        <v>80</v>
      </c>
      <c r="Q37" s="13">
        <f t="shared" ca="1" si="20"/>
        <v>115</v>
      </c>
      <c r="R37" s="13">
        <f t="shared" ca="1" si="20"/>
        <v>83</v>
      </c>
      <c r="S37" s="13">
        <f t="shared" ca="1" si="20"/>
        <v>119</v>
      </c>
      <c r="T37" s="13">
        <f t="shared" ca="1" si="20"/>
        <v>109</v>
      </c>
      <c r="U37" s="13">
        <f t="shared" ca="1" si="20"/>
        <v>83</v>
      </c>
      <c r="V37" s="13">
        <f t="shared" ref="V37:AG45" ca="1" si="30">RANDBETWEEN(80,120)</f>
        <v>110</v>
      </c>
      <c r="W37" s="13">
        <f t="shared" ca="1" si="30"/>
        <v>118</v>
      </c>
      <c r="X37" s="13">
        <f t="shared" ca="1" si="30"/>
        <v>108</v>
      </c>
      <c r="Y37" s="13">
        <f t="shared" ca="1" si="30"/>
        <v>120</v>
      </c>
      <c r="Z37" s="13">
        <f t="shared" ca="1" si="30"/>
        <v>87</v>
      </c>
      <c r="AA37" s="13">
        <f t="shared" ca="1" si="30"/>
        <v>92</v>
      </c>
      <c r="AB37" s="13">
        <f t="shared" ca="1" si="30"/>
        <v>118</v>
      </c>
      <c r="AC37" s="13">
        <f t="shared" ca="1" si="30"/>
        <v>113</v>
      </c>
      <c r="AD37" s="13">
        <f t="shared" ca="1" si="30"/>
        <v>114</v>
      </c>
      <c r="AE37" s="13">
        <f t="shared" ca="1" si="30"/>
        <v>100</v>
      </c>
      <c r="AF37" s="13">
        <f t="shared" ca="1" si="30"/>
        <v>115</v>
      </c>
      <c r="AG37" s="13">
        <f t="shared" ca="1" si="30"/>
        <v>109</v>
      </c>
      <c r="AI37" s="15">
        <f t="shared" si="24"/>
        <v>0.68750000000000011</v>
      </c>
      <c r="AJ37" s="7">
        <f t="shared" ca="1" si="29"/>
        <v>99.5</v>
      </c>
      <c r="AK37" s="7">
        <f t="shared" ca="1" si="25"/>
        <v>95.25</v>
      </c>
      <c r="AL37" s="7">
        <f t="shared" ca="1" si="25"/>
        <v>99.5</v>
      </c>
      <c r="AM37" s="7">
        <f t="shared" ca="1" si="26"/>
        <v>95.5</v>
      </c>
      <c r="AN37" s="7">
        <f t="shared" ca="1" si="26"/>
        <v>71.677083333333329</v>
      </c>
      <c r="AO37" s="7">
        <f t="shared" ca="1" si="26"/>
        <v>100.25</v>
      </c>
      <c r="AP37" s="7">
        <f t="shared" ca="1" si="26"/>
        <v>107.9375</v>
      </c>
      <c r="AR37" s="15">
        <f t="shared" si="27"/>
        <v>0.68750000000000011</v>
      </c>
      <c r="AS37" s="8">
        <f t="shared" ca="1" si="10"/>
        <v>3.4735555943445628E-2</v>
      </c>
      <c r="AT37" s="8">
        <f t="shared" ca="1" si="10"/>
        <v>3.3429849960515928E-2</v>
      </c>
      <c r="AU37" s="8">
        <f t="shared" ca="1" si="10"/>
        <v>3.5075350312858022E-2</v>
      </c>
      <c r="AV37" s="8">
        <f t="shared" ca="1" si="10"/>
        <v>3.3266567970042675E-2</v>
      </c>
      <c r="AW37" s="8">
        <f t="shared" ca="1" si="10"/>
        <v>3.32049723010404E-2</v>
      </c>
      <c r="AX37" s="8">
        <f t="shared" ca="1" si="10"/>
        <v>2.8007682905535184E-2</v>
      </c>
      <c r="AY37" s="8">
        <f t="shared" ca="1" si="10"/>
        <v>3.0234593837535014E-2</v>
      </c>
      <c r="BA37" s="15">
        <f t="shared" si="28"/>
        <v>0.68750000000000011</v>
      </c>
      <c r="BB37" s="10">
        <f t="shared" ca="1" si="11"/>
        <v>47.999807035951612</v>
      </c>
      <c r="BC37" s="10">
        <f t="shared" ca="1" si="3"/>
        <v>45.949564021853185</v>
      </c>
      <c r="BD37" s="10">
        <f t="shared" ca="1" si="3"/>
        <v>47.999807035951619</v>
      </c>
      <c r="BE37" s="10">
        <f t="shared" ca="1" si="3"/>
        <v>46.070166552094264</v>
      </c>
      <c r="BF37" s="10">
        <f t="shared" ca="1" si="3"/>
        <v>34.577750441204259</v>
      </c>
      <c r="BG37" s="10">
        <f t="shared" ca="1" si="3"/>
        <v>48.361614626674864</v>
      </c>
      <c r="BH37" s="10">
        <f t="shared" ca="1" si="3"/>
        <v>52.070142431588224</v>
      </c>
    </row>
    <row r="38" spans="5:60" x14ac:dyDescent="0.3">
      <c r="E38" s="11">
        <f t="shared" si="15"/>
        <v>0.68750000000000011</v>
      </c>
      <c r="F38" s="13">
        <f t="shared" ca="1" si="23"/>
        <v>111</v>
      </c>
      <c r="G38" s="13">
        <f t="shared" ca="1" si="23"/>
        <v>86</v>
      </c>
      <c r="H38" s="13">
        <f t="shared" ca="1" si="23"/>
        <v>87</v>
      </c>
      <c r="I38" s="13">
        <f t="shared" ca="1" si="23"/>
        <v>119</v>
      </c>
      <c r="J38" s="13">
        <f t="shared" ca="1" si="23"/>
        <v>117</v>
      </c>
      <c r="K38" s="13">
        <f t="shared" ca="1" si="23"/>
        <v>112</v>
      </c>
      <c r="L38" s="13">
        <f t="shared" ca="1" si="23"/>
        <v>99</v>
      </c>
      <c r="M38" s="13">
        <f t="shared" ca="1" si="23"/>
        <v>109</v>
      </c>
      <c r="N38" s="13">
        <f t="shared" ca="1" si="23"/>
        <v>113</v>
      </c>
      <c r="O38" s="13">
        <f t="shared" ca="1" si="23"/>
        <v>105</v>
      </c>
      <c r="P38" s="13">
        <f t="shared" ca="1" si="23"/>
        <v>97</v>
      </c>
      <c r="Q38" s="13">
        <f t="shared" ca="1" si="23"/>
        <v>96</v>
      </c>
      <c r="R38" s="13">
        <f t="shared" ca="1" si="23"/>
        <v>115</v>
      </c>
      <c r="S38" s="13">
        <f t="shared" ca="1" si="23"/>
        <v>93</v>
      </c>
      <c r="T38" s="13">
        <f t="shared" ca="1" si="23"/>
        <v>98</v>
      </c>
      <c r="U38" s="13">
        <f t="shared" ca="1" si="23"/>
        <v>85</v>
      </c>
      <c r="V38" s="13">
        <f t="shared" ca="1" si="30"/>
        <v>87</v>
      </c>
      <c r="W38" s="13">
        <f t="shared" ca="1" si="30"/>
        <v>107</v>
      </c>
      <c r="X38" s="13">
        <f t="shared" ca="1" si="30"/>
        <v>96</v>
      </c>
      <c r="Y38" s="13">
        <f t="shared" ca="1" si="30"/>
        <v>116</v>
      </c>
      <c r="Z38" s="13">
        <f t="shared" ca="1" si="30"/>
        <v>106</v>
      </c>
      <c r="AA38" s="13">
        <f t="shared" ca="1" si="30"/>
        <v>80</v>
      </c>
      <c r="AB38" s="13">
        <f t="shared" ca="1" si="30"/>
        <v>88</v>
      </c>
      <c r="AC38" s="13">
        <f t="shared" ca="1" si="30"/>
        <v>102</v>
      </c>
      <c r="AD38" s="13">
        <f t="shared" ca="1" si="30"/>
        <v>100</v>
      </c>
      <c r="AE38" s="13">
        <f t="shared" ca="1" si="30"/>
        <v>89</v>
      </c>
      <c r="AF38" s="13">
        <f t="shared" ca="1" si="30"/>
        <v>95</v>
      </c>
      <c r="AG38" s="13">
        <f t="shared" ca="1" si="30"/>
        <v>84</v>
      </c>
      <c r="AI38" s="15">
        <f t="shared" si="24"/>
        <v>0.70833333333333348</v>
      </c>
      <c r="AJ38" s="7">
        <f t="shared" ca="1" si="29"/>
        <v>108</v>
      </c>
      <c r="AK38" s="7">
        <f t="shared" ca="1" si="25"/>
        <v>97</v>
      </c>
      <c r="AL38" s="7">
        <f t="shared" ca="1" si="25"/>
        <v>104</v>
      </c>
      <c r="AM38" s="7">
        <f t="shared" ca="1" si="26"/>
        <v>105.75</v>
      </c>
      <c r="AN38" s="7">
        <f t="shared" ca="1" si="26"/>
        <v>74.182291666666671</v>
      </c>
      <c r="AO38" s="7">
        <f t="shared" ca="1" si="26"/>
        <v>102.875</v>
      </c>
      <c r="AP38" s="7">
        <f t="shared" ca="1" si="26"/>
        <v>96.375</v>
      </c>
      <c r="AR38" s="15">
        <f t="shared" si="27"/>
        <v>0.70833333333333348</v>
      </c>
      <c r="AS38" s="8">
        <f t="shared" ca="1" si="10"/>
        <v>3.7702914993890731E-2</v>
      </c>
      <c r="AT38" s="8">
        <f t="shared" ca="1" si="10"/>
        <v>3.4044046678950599E-2</v>
      </c>
      <c r="AU38" s="8">
        <f t="shared" ca="1" si="10"/>
        <v>3.6661672688816427E-2</v>
      </c>
      <c r="AV38" s="8">
        <f t="shared" ca="1" si="10"/>
        <v>3.6837063485151963E-2</v>
      </c>
      <c r="AW38" s="8">
        <f t="shared" ca="1" si="10"/>
        <v>3.4365529754666363E-2</v>
      </c>
      <c r="AX38" s="8">
        <f t="shared" ca="1" si="10"/>
        <v>2.8741051161166403E-2</v>
      </c>
      <c r="AY38" s="8">
        <f t="shared" ca="1" si="10"/>
        <v>2.6995798319327732E-2</v>
      </c>
      <c r="BA38" s="15">
        <f t="shared" si="28"/>
        <v>0.70833333333333348</v>
      </c>
      <c r="BB38" s="10">
        <f t="shared" ca="1" si="11"/>
        <v>52.100293064148488</v>
      </c>
      <c r="BC38" s="10">
        <f t="shared" ca="1" si="3"/>
        <v>46.793781733540769</v>
      </c>
      <c r="BD38" s="10">
        <f t="shared" ca="1" si="3"/>
        <v>50.17065258029114</v>
      </c>
      <c r="BE38" s="10">
        <f t="shared" ca="1" si="3"/>
        <v>51.014870291978731</v>
      </c>
      <c r="BF38" s="10">
        <f t="shared" ca="1" si="3"/>
        <v>35.786288296328465</v>
      </c>
      <c r="BG38" s="10">
        <f t="shared" ca="1" si="3"/>
        <v>49.627941194206251</v>
      </c>
      <c r="BH38" s="10">
        <f t="shared" ca="1" si="3"/>
        <v>46.49227540793806</v>
      </c>
    </row>
    <row r="39" spans="5:60" x14ac:dyDescent="0.3">
      <c r="E39" s="11">
        <f t="shared" si="15"/>
        <v>0.70833333333333348</v>
      </c>
      <c r="F39" s="13">
        <f t="shared" ca="1" si="23"/>
        <v>101</v>
      </c>
      <c r="G39" s="13">
        <f t="shared" ca="1" si="23"/>
        <v>96</v>
      </c>
      <c r="H39" s="13">
        <f t="shared" ca="1" si="23"/>
        <v>108</v>
      </c>
      <c r="I39" s="13">
        <f t="shared" ca="1" si="23"/>
        <v>120</v>
      </c>
      <c r="J39" s="13">
        <f t="shared" ca="1" si="23"/>
        <v>120</v>
      </c>
      <c r="K39" s="13">
        <f t="shared" ca="1" si="23"/>
        <v>97</v>
      </c>
      <c r="L39" s="13">
        <f t="shared" ca="1" si="23"/>
        <v>110</v>
      </c>
      <c r="M39" s="13">
        <f t="shared" ca="1" si="23"/>
        <v>111</v>
      </c>
      <c r="N39" s="13">
        <f t="shared" ca="1" si="23"/>
        <v>96</v>
      </c>
      <c r="O39" s="13">
        <f t="shared" ca="1" si="23"/>
        <v>96</v>
      </c>
      <c r="P39" s="13">
        <f t="shared" ca="1" si="23"/>
        <v>110</v>
      </c>
      <c r="Q39" s="13">
        <f t="shared" ca="1" si="23"/>
        <v>110</v>
      </c>
      <c r="R39" s="13">
        <f t="shared" ca="1" si="23"/>
        <v>82</v>
      </c>
      <c r="S39" s="13">
        <f t="shared" ca="1" si="23"/>
        <v>114</v>
      </c>
      <c r="T39" s="13">
        <f t="shared" ca="1" si="23"/>
        <v>100</v>
      </c>
      <c r="U39" s="13">
        <f t="shared" ca="1" si="23"/>
        <v>99</v>
      </c>
      <c r="V39" s="13">
        <f t="shared" ca="1" si="30"/>
        <v>94</v>
      </c>
      <c r="W39" s="13">
        <f t="shared" ca="1" si="30"/>
        <v>96</v>
      </c>
      <c r="X39" s="13">
        <f t="shared" ca="1" si="30"/>
        <v>82</v>
      </c>
      <c r="Y39" s="13">
        <f t="shared" ca="1" si="30"/>
        <v>118</v>
      </c>
      <c r="Z39" s="13">
        <f t="shared" ca="1" si="30"/>
        <v>107</v>
      </c>
      <c r="AA39" s="13">
        <f t="shared" ca="1" si="30"/>
        <v>120</v>
      </c>
      <c r="AB39" s="13">
        <f t="shared" ca="1" si="30"/>
        <v>101</v>
      </c>
      <c r="AC39" s="13">
        <f t="shared" ca="1" si="30"/>
        <v>90</v>
      </c>
      <c r="AD39" s="13">
        <f t="shared" ca="1" si="30"/>
        <v>109</v>
      </c>
      <c r="AE39" s="13">
        <f t="shared" ca="1" si="30"/>
        <v>104</v>
      </c>
      <c r="AF39" s="13">
        <f t="shared" ca="1" si="30"/>
        <v>92</v>
      </c>
      <c r="AG39" s="13">
        <f t="shared" ca="1" si="30"/>
        <v>92</v>
      </c>
      <c r="AI39" s="15">
        <f t="shared" si="24"/>
        <v>0.72916666666666685</v>
      </c>
      <c r="AJ39" s="7">
        <f t="shared" ca="1" si="29"/>
        <v>93.5</v>
      </c>
      <c r="AK39" s="7">
        <f t="shared" ca="1" si="25"/>
        <v>96.5</v>
      </c>
      <c r="AL39" s="7">
        <f t="shared" ca="1" si="25"/>
        <v>101.5</v>
      </c>
      <c r="AM39" s="7">
        <f t="shared" ca="1" si="26"/>
        <v>93.5</v>
      </c>
      <c r="AN39" s="7">
        <f t="shared" ca="1" si="26"/>
        <v>76.9375</v>
      </c>
      <c r="AO39" s="7">
        <f t="shared" ca="1" si="26"/>
        <v>95.8125</v>
      </c>
      <c r="AP39" s="7">
        <f t="shared" ca="1" si="26"/>
        <v>107.625</v>
      </c>
      <c r="AR39" s="15">
        <f t="shared" si="27"/>
        <v>0.72916666666666685</v>
      </c>
      <c r="AS39" s="8">
        <f t="shared" ca="1" si="10"/>
        <v>3.2640949554896145E-2</v>
      </c>
      <c r="AT39" s="8">
        <f t="shared" ca="1" si="10"/>
        <v>3.3868561902254977E-2</v>
      </c>
      <c r="AU39" s="8">
        <f t="shared" ca="1" si="10"/>
        <v>3.5780382479950648E-2</v>
      </c>
      <c r="AV39" s="8">
        <f t="shared" ca="1" si="10"/>
        <v>3.2569885918314029E-2</v>
      </c>
      <c r="AW39" s="8">
        <f t="shared" ca="1" si="10"/>
        <v>3.5641901673519022E-2</v>
      </c>
      <c r="AX39" s="8">
        <f t="shared" ca="1" si="10"/>
        <v>2.6767941330539551E-2</v>
      </c>
      <c r="AY39" s="8">
        <f t="shared" ca="1" si="10"/>
        <v>3.0147058823529412E-2</v>
      </c>
      <c r="BA39" s="15">
        <f t="shared" si="28"/>
        <v>0.72916666666666685</v>
      </c>
      <c r="BB39" s="10">
        <f t="shared" ca="1" si="11"/>
        <v>45.105346310165594</v>
      </c>
      <c r="BC39" s="10">
        <f t="shared" ca="1" si="3"/>
        <v>46.552576673058596</v>
      </c>
      <c r="BD39" s="10">
        <f t="shared" ca="1" si="3"/>
        <v>48.96462727788029</v>
      </c>
      <c r="BE39" s="10">
        <f t="shared" ca="1" si="3"/>
        <v>45.105346310165594</v>
      </c>
      <c r="BF39" s="10">
        <f t="shared" ca="1" si="3"/>
        <v>37.115428681693743</v>
      </c>
      <c r="BG39" s="10">
        <f t="shared" ca="1" si="3"/>
        <v>46.220919714895615</v>
      </c>
      <c r="BH39" s="10">
        <f t="shared" ca="1" si="3"/>
        <v>51.919389268786865</v>
      </c>
    </row>
    <row r="40" spans="5:60" x14ac:dyDescent="0.3">
      <c r="E40" s="11">
        <f t="shared" si="15"/>
        <v>0.72916666666666685</v>
      </c>
      <c r="F40" s="13">
        <f t="shared" ca="1" si="23"/>
        <v>87</v>
      </c>
      <c r="G40" s="13">
        <f t="shared" ca="1" si="23"/>
        <v>109</v>
      </c>
      <c r="H40" s="13">
        <f t="shared" ca="1" si="23"/>
        <v>85</v>
      </c>
      <c r="I40" s="13">
        <f t="shared" ca="1" si="23"/>
        <v>88</v>
      </c>
      <c r="J40" s="13">
        <f t="shared" ca="1" si="23"/>
        <v>86</v>
      </c>
      <c r="K40" s="13">
        <f t="shared" ca="1" si="23"/>
        <v>108</v>
      </c>
      <c r="L40" s="13">
        <f t="shared" ca="1" si="23"/>
        <v>81</v>
      </c>
      <c r="M40" s="13">
        <f t="shared" ca="1" si="23"/>
        <v>95</v>
      </c>
      <c r="N40" s="13">
        <f t="shared" ca="1" si="23"/>
        <v>116</v>
      </c>
      <c r="O40" s="13">
        <f t="shared" ca="1" si="23"/>
        <v>120</v>
      </c>
      <c r="P40" s="13">
        <f t="shared" ca="1" si="23"/>
        <v>100</v>
      </c>
      <c r="Q40" s="13">
        <f t="shared" ca="1" si="23"/>
        <v>119</v>
      </c>
      <c r="R40" s="13">
        <f t="shared" ca="1" si="23"/>
        <v>109</v>
      </c>
      <c r="S40" s="13">
        <f t="shared" ca="1" si="23"/>
        <v>86</v>
      </c>
      <c r="T40" s="13">
        <f t="shared" ca="1" si="23"/>
        <v>95</v>
      </c>
      <c r="U40" s="13">
        <f t="shared" ca="1" si="23"/>
        <v>88</v>
      </c>
      <c r="V40" s="13">
        <f t="shared" ca="1" si="30"/>
        <v>96</v>
      </c>
      <c r="W40" s="13">
        <f t="shared" ca="1" si="30"/>
        <v>84</v>
      </c>
      <c r="X40" s="13">
        <f t="shared" ca="1" si="30"/>
        <v>101</v>
      </c>
      <c r="Y40" s="13">
        <f t="shared" ca="1" si="30"/>
        <v>112</v>
      </c>
      <c r="Z40" s="13">
        <f t="shared" ca="1" si="30"/>
        <v>97</v>
      </c>
      <c r="AA40" s="13">
        <f t="shared" ca="1" si="30"/>
        <v>97</v>
      </c>
      <c r="AB40" s="13">
        <f t="shared" ca="1" si="30"/>
        <v>103</v>
      </c>
      <c r="AC40" s="13">
        <f t="shared" ca="1" si="30"/>
        <v>85</v>
      </c>
      <c r="AD40" s="13">
        <f t="shared" ca="1" si="30"/>
        <v>99</v>
      </c>
      <c r="AE40" s="13">
        <f t="shared" ca="1" si="30"/>
        <v>100</v>
      </c>
      <c r="AF40" s="13">
        <f t="shared" ca="1" si="30"/>
        <v>101</v>
      </c>
      <c r="AG40" s="13">
        <f t="shared" ca="1" si="30"/>
        <v>110</v>
      </c>
      <c r="AI40" s="15">
        <f t="shared" si="24"/>
        <v>0.75000000000000022</v>
      </c>
      <c r="AJ40" s="7">
        <f t="shared" ca="1" si="29"/>
        <v>96.5</v>
      </c>
      <c r="AK40" s="7">
        <f t="shared" ca="1" si="25"/>
        <v>100.25</v>
      </c>
      <c r="AL40" s="7">
        <f t="shared" ca="1" si="25"/>
        <v>104.5</v>
      </c>
      <c r="AM40" s="7">
        <f t="shared" ca="1" si="26"/>
        <v>108.5</v>
      </c>
      <c r="AN40" s="7">
        <f t="shared" ca="1" si="26"/>
        <v>73.942708333333329</v>
      </c>
      <c r="AO40" s="7">
        <f t="shared" ca="1" si="26"/>
        <v>102.8125</v>
      </c>
      <c r="AP40" s="7">
        <f t="shared" ca="1" si="26"/>
        <v>100.4375</v>
      </c>
      <c r="AR40" s="15">
        <f t="shared" si="27"/>
        <v>0.75000000000000022</v>
      </c>
      <c r="AS40" s="8">
        <f t="shared" ca="1" si="10"/>
        <v>3.3688252749170887E-2</v>
      </c>
      <c r="AT40" s="8">
        <f t="shared" ca="1" si="10"/>
        <v>3.5184697727472139E-2</v>
      </c>
      <c r="AU40" s="8">
        <f t="shared" ca="1" si="10"/>
        <v>3.683793073058958E-2</v>
      </c>
      <c r="AV40" s="8">
        <f t="shared" ca="1" si="10"/>
        <v>3.7795001306278844E-2</v>
      </c>
      <c r="AW40" s="8">
        <f t="shared" ca="1" si="10"/>
        <v>3.4254540892157431E-2</v>
      </c>
      <c r="AX40" s="8">
        <f t="shared" ca="1" si="10"/>
        <v>2.8723590012222803E-2</v>
      </c>
      <c r="AY40" s="8">
        <f t="shared" ca="1" si="10"/>
        <v>2.8133753501400561E-2</v>
      </c>
      <c r="BA40" s="15">
        <f t="shared" si="28"/>
        <v>0.75000000000000022</v>
      </c>
      <c r="BB40" s="10">
        <f t="shared" ca="1" si="11"/>
        <v>46.552576673058603</v>
      </c>
      <c r="BC40" s="10">
        <f t="shared" ca="1" si="3"/>
        <v>48.361614626674864</v>
      </c>
      <c r="BD40" s="10">
        <f t="shared" ca="1" si="3"/>
        <v>50.411857640773306</v>
      </c>
      <c r="BE40" s="10">
        <f t="shared" ca="1" si="3"/>
        <v>52.341498124630654</v>
      </c>
      <c r="BF40" s="10">
        <f t="shared" ca="1" si="3"/>
        <v>35.670710871514089</v>
      </c>
      <c r="BG40" s="10">
        <f t="shared" ca="1" si="3"/>
        <v>49.597790561645979</v>
      </c>
      <c r="BH40" s="10">
        <f t="shared" ca="1" si="3"/>
        <v>48.452066524355686</v>
      </c>
    </row>
    <row r="41" spans="5:60" x14ac:dyDescent="0.3">
      <c r="E41" s="11">
        <f t="shared" si="15"/>
        <v>0.75000000000000022</v>
      </c>
      <c r="F41" s="13">
        <f t="shared" ca="1" si="23"/>
        <v>96</v>
      </c>
      <c r="G41" s="13">
        <f t="shared" ca="1" si="23"/>
        <v>99</v>
      </c>
      <c r="H41" s="13">
        <f t="shared" ca="1" si="23"/>
        <v>116</v>
      </c>
      <c r="I41" s="13">
        <f t="shared" ca="1" si="23"/>
        <v>81</v>
      </c>
      <c r="J41" s="13">
        <f t="shared" ca="1" si="23"/>
        <v>115</v>
      </c>
      <c r="K41" s="13">
        <f t="shared" ca="1" si="23"/>
        <v>93</v>
      </c>
      <c r="L41" s="13">
        <f t="shared" ca="1" si="23"/>
        <v>107</v>
      </c>
      <c r="M41" s="13">
        <f t="shared" ca="1" si="23"/>
        <v>93</v>
      </c>
      <c r="N41" s="13">
        <f t="shared" ca="1" si="23"/>
        <v>101</v>
      </c>
      <c r="O41" s="13">
        <f t="shared" ca="1" si="23"/>
        <v>109</v>
      </c>
      <c r="P41" s="13">
        <f t="shared" ca="1" si="23"/>
        <v>88</v>
      </c>
      <c r="Q41" s="13">
        <f t="shared" ca="1" si="23"/>
        <v>120</v>
      </c>
      <c r="R41" s="13">
        <f t="shared" ca="1" si="23"/>
        <v>103</v>
      </c>
      <c r="S41" s="13">
        <f t="shared" ca="1" si="23"/>
        <v>92</v>
      </c>
      <c r="T41" s="13">
        <f t="shared" ca="1" si="23"/>
        <v>95</v>
      </c>
      <c r="U41" s="13">
        <f t="shared" ca="1" si="23"/>
        <v>87</v>
      </c>
      <c r="V41" s="13">
        <f t="shared" ca="1" si="30"/>
        <v>87</v>
      </c>
      <c r="W41" s="13">
        <f t="shared" ca="1" si="30"/>
        <v>120</v>
      </c>
      <c r="X41" s="13">
        <f t="shared" ca="1" si="30"/>
        <v>89</v>
      </c>
      <c r="Y41" s="13">
        <f t="shared" ca="1" si="30"/>
        <v>89</v>
      </c>
      <c r="Z41" s="13">
        <f t="shared" ca="1" si="30"/>
        <v>119</v>
      </c>
      <c r="AA41" s="13">
        <f t="shared" ca="1" si="30"/>
        <v>102</v>
      </c>
      <c r="AB41" s="13">
        <f t="shared" ca="1" si="30"/>
        <v>107</v>
      </c>
      <c r="AC41" s="13">
        <f t="shared" ca="1" si="30"/>
        <v>89</v>
      </c>
      <c r="AD41" s="13">
        <f t="shared" ca="1" si="30"/>
        <v>98</v>
      </c>
      <c r="AE41" s="13">
        <f t="shared" ca="1" si="30"/>
        <v>94</v>
      </c>
      <c r="AF41" s="13">
        <f t="shared" ca="1" si="30"/>
        <v>111</v>
      </c>
      <c r="AG41" s="13">
        <f t="shared" ca="1" si="30"/>
        <v>116</v>
      </c>
      <c r="AI41" s="15">
        <f t="shared" si="24"/>
        <v>0.77083333333333359</v>
      </c>
      <c r="AJ41" s="7">
        <f t="shared" ca="1" si="29"/>
        <v>107.75</v>
      </c>
      <c r="AK41" s="7">
        <f t="shared" ca="1" si="25"/>
        <v>105.25</v>
      </c>
      <c r="AL41" s="7">
        <f t="shared" ca="1" si="25"/>
        <v>105.25</v>
      </c>
      <c r="AM41" s="7">
        <f t="shared" ca="1" si="26"/>
        <v>98.75</v>
      </c>
      <c r="AN41" s="7">
        <f t="shared" ca="1" si="26"/>
        <v>65.197916666666671</v>
      </c>
      <c r="AO41" s="7">
        <f t="shared" ca="1" si="26"/>
        <v>100.625</v>
      </c>
      <c r="AP41" s="7">
        <f t="shared" ca="1" si="26"/>
        <v>101.5625</v>
      </c>
      <c r="AR41" s="15">
        <f t="shared" si="27"/>
        <v>0.77083333333333359</v>
      </c>
      <c r="AS41" s="8">
        <f t="shared" ca="1" si="10"/>
        <v>3.7615639727701169E-2</v>
      </c>
      <c r="AT41" s="8">
        <f t="shared" ca="1" si="10"/>
        <v>3.6939545494428357E-2</v>
      </c>
      <c r="AU41" s="8">
        <f t="shared" ca="1" si="10"/>
        <v>3.7102317793249316E-2</v>
      </c>
      <c r="AV41" s="8">
        <f t="shared" ca="1" si="10"/>
        <v>3.4398676304101712E-2</v>
      </c>
      <c r="AW41" s="8">
        <f t="shared" ca="1" si="10"/>
        <v>3.0203447410581584E-2</v>
      </c>
      <c r="AX41" s="8">
        <f t="shared" ca="1" si="10"/>
        <v>2.8112449799196786E-2</v>
      </c>
      <c r="AY41" s="8">
        <f t="shared" ca="1" si="10"/>
        <v>2.8448879551820728E-2</v>
      </c>
      <c r="BA41" s="15">
        <f t="shared" si="28"/>
        <v>0.77083333333333359</v>
      </c>
      <c r="BB41" s="10">
        <f t="shared" ca="1" si="11"/>
        <v>51.979690533907402</v>
      </c>
      <c r="BC41" s="10">
        <f t="shared" ca="1" si="3"/>
        <v>50.773665231496558</v>
      </c>
      <c r="BD41" s="10">
        <f t="shared" ca="1" si="3"/>
        <v>50.773665231496565</v>
      </c>
      <c r="BE41" s="10">
        <f t="shared" ca="1" si="3"/>
        <v>47.63799944522836</v>
      </c>
      <c r="BF41" s="10">
        <f t="shared" ca="1" si="3"/>
        <v>31.452134865789485</v>
      </c>
      <c r="BG41" s="10">
        <f t="shared" ca="1" si="3"/>
        <v>48.542518422036494</v>
      </c>
      <c r="BH41" s="10">
        <f t="shared" ca="1" si="3"/>
        <v>48.994777910440561</v>
      </c>
    </row>
    <row r="42" spans="5:60" x14ac:dyDescent="0.3">
      <c r="E42" s="11">
        <f t="shared" si="15"/>
        <v>0.77083333333333359</v>
      </c>
      <c r="F42" s="13">
        <f t="shared" ca="1" si="23"/>
        <v>101</v>
      </c>
      <c r="G42" s="13">
        <f t="shared" ca="1" si="23"/>
        <v>102</v>
      </c>
      <c r="H42" s="13">
        <f t="shared" ca="1" si="23"/>
        <v>118</v>
      </c>
      <c r="I42" s="13">
        <f t="shared" ca="1" si="23"/>
        <v>83</v>
      </c>
      <c r="J42" s="13">
        <f t="shared" ca="1" si="23"/>
        <v>114</v>
      </c>
      <c r="K42" s="13">
        <f t="shared" ca="1" si="23"/>
        <v>108</v>
      </c>
      <c r="L42" s="13">
        <f t="shared" ca="1" si="23"/>
        <v>91</v>
      </c>
      <c r="M42" s="13">
        <f t="shared" ca="1" si="23"/>
        <v>110</v>
      </c>
      <c r="N42" s="13">
        <f t="shared" ca="1" si="23"/>
        <v>80</v>
      </c>
      <c r="O42" s="13">
        <f t="shared" ca="1" si="23"/>
        <v>104</v>
      </c>
      <c r="P42" s="13">
        <f t="shared" ca="1" si="23"/>
        <v>86</v>
      </c>
      <c r="Q42" s="13">
        <f t="shared" ca="1" si="23"/>
        <v>107</v>
      </c>
      <c r="R42" s="13">
        <f t="shared" ca="1" si="23"/>
        <v>119</v>
      </c>
      <c r="S42" s="13">
        <f t="shared" ca="1" si="23"/>
        <v>92</v>
      </c>
      <c r="T42" s="13">
        <f t="shared" ca="1" si="23"/>
        <v>117</v>
      </c>
      <c r="U42" s="13">
        <f t="shared" ca="1" si="23"/>
        <v>93</v>
      </c>
      <c r="V42" s="13">
        <f t="shared" ca="1" si="30"/>
        <v>83</v>
      </c>
      <c r="W42" s="13">
        <f t="shared" ca="1" si="30"/>
        <v>111</v>
      </c>
      <c r="X42" s="13">
        <f t="shared" ca="1" si="30"/>
        <v>106</v>
      </c>
      <c r="Y42" s="13">
        <f t="shared" ca="1" si="30"/>
        <v>90</v>
      </c>
      <c r="Z42" s="13">
        <f t="shared" ca="1" si="30"/>
        <v>113</v>
      </c>
      <c r="AA42" s="13">
        <f t="shared" ca="1" si="30"/>
        <v>103</v>
      </c>
      <c r="AB42" s="13">
        <f t="shared" ca="1" si="30"/>
        <v>87</v>
      </c>
      <c r="AC42" s="13">
        <f t="shared" ca="1" si="30"/>
        <v>116</v>
      </c>
      <c r="AD42" s="13">
        <f t="shared" ca="1" si="30"/>
        <v>115</v>
      </c>
      <c r="AE42" s="13">
        <f t="shared" ca="1" si="30"/>
        <v>94</v>
      </c>
      <c r="AF42" s="13">
        <f t="shared" ca="1" si="30"/>
        <v>100</v>
      </c>
      <c r="AG42" s="13">
        <f t="shared" ca="1" si="30"/>
        <v>99</v>
      </c>
      <c r="AI42" s="15">
        <f t="shared" si="24"/>
        <v>0.79166666666666696</v>
      </c>
      <c r="AJ42" s="7">
        <f t="shared" ca="1" si="29"/>
        <v>99.5</v>
      </c>
      <c r="AK42" s="7">
        <f t="shared" ca="1" si="25"/>
        <v>90.5</v>
      </c>
      <c r="AL42" s="7">
        <f t="shared" ca="1" si="25"/>
        <v>97.75</v>
      </c>
      <c r="AM42" s="7">
        <f t="shared" ca="1" si="26"/>
        <v>97.25</v>
      </c>
      <c r="AN42" s="7">
        <f t="shared" ca="1" si="26"/>
        <v>87.453125</v>
      </c>
      <c r="AO42" s="7">
        <f t="shared" ca="1" si="26"/>
        <v>97.75</v>
      </c>
      <c r="AP42" s="7">
        <f t="shared" ca="1" si="26"/>
        <v>94.5</v>
      </c>
      <c r="AR42" s="15">
        <f t="shared" si="27"/>
        <v>0.79166666666666696</v>
      </c>
      <c r="AS42" s="8">
        <f t="shared" ca="1" si="10"/>
        <v>3.4735555943445628E-2</v>
      </c>
      <c r="AT42" s="8">
        <f t="shared" ca="1" si="10"/>
        <v>3.1762744581907518E-2</v>
      </c>
      <c r="AU42" s="8">
        <f t="shared" ca="1" si="10"/>
        <v>3.445844716665198E-2</v>
      </c>
      <c r="AV42" s="8">
        <f t="shared" ca="1" si="10"/>
        <v>3.3876164765305236E-2</v>
      </c>
      <c r="AW42" s="8">
        <f t="shared" ca="1" si="10"/>
        <v>4.0513347617117376E-2</v>
      </c>
      <c r="AX42" s="8">
        <f t="shared" ca="1" si="10"/>
        <v>2.7309236947791166E-2</v>
      </c>
      <c r="AY42" s="8">
        <f t="shared" ca="1" si="10"/>
        <v>2.6470588235294117E-2</v>
      </c>
      <c r="BA42" s="15">
        <f t="shared" si="28"/>
        <v>0.79166666666666696</v>
      </c>
      <c r="BB42" s="10">
        <f t="shared" ca="1" si="11"/>
        <v>47.999807035951612</v>
      </c>
      <c r="BC42" s="10">
        <f t="shared" ca="1" si="3"/>
        <v>43.65811594727257</v>
      </c>
      <c r="BD42" s="10">
        <f t="shared" ca="1" si="3"/>
        <v>47.155589324264028</v>
      </c>
      <c r="BE42" s="10">
        <f t="shared" ca="1" si="3"/>
        <v>46.914384263781862</v>
      </c>
      <c r="BF42" s="10">
        <f t="shared" ca="1" si="3"/>
        <v>42.188272609959355</v>
      </c>
      <c r="BG42" s="10">
        <f t="shared" ca="1" si="3"/>
        <v>47.155589324264021</v>
      </c>
      <c r="BH42" s="10">
        <f t="shared" ca="1" si="3"/>
        <v>45.587756431129925</v>
      </c>
    </row>
    <row r="43" spans="5:60" x14ac:dyDescent="0.3">
      <c r="E43" s="11">
        <f t="shared" si="15"/>
        <v>0.79166666666666696</v>
      </c>
      <c r="F43" s="13">
        <f t="shared" ca="1" si="23"/>
        <v>97</v>
      </c>
      <c r="G43" s="13">
        <f t="shared" ca="1" si="23"/>
        <v>120</v>
      </c>
      <c r="H43" s="13">
        <f t="shared" ca="1" si="23"/>
        <v>84</v>
      </c>
      <c r="I43" s="13">
        <f t="shared" ca="1" si="23"/>
        <v>108</v>
      </c>
      <c r="J43" s="13">
        <f t="shared" ca="1" si="23"/>
        <v>101</v>
      </c>
      <c r="K43" s="13">
        <f t="shared" ca="1" si="23"/>
        <v>113</v>
      </c>
      <c r="L43" s="13">
        <f t="shared" ca="1" si="23"/>
        <v>92</v>
      </c>
      <c r="M43" s="13">
        <f t="shared" ca="1" si="23"/>
        <v>93</v>
      </c>
      <c r="N43" s="13">
        <f t="shared" ca="1" si="23"/>
        <v>120</v>
      </c>
      <c r="O43" s="13">
        <f t="shared" ca="1" si="23"/>
        <v>82</v>
      </c>
      <c r="P43" s="13">
        <f t="shared" ca="1" si="23"/>
        <v>81</v>
      </c>
      <c r="Q43" s="13">
        <f t="shared" ca="1" si="23"/>
        <v>112</v>
      </c>
      <c r="R43" s="13">
        <f t="shared" ca="1" si="23"/>
        <v>94</v>
      </c>
      <c r="S43" s="13">
        <f t="shared" ca="1" si="23"/>
        <v>100</v>
      </c>
      <c r="T43" s="13">
        <f t="shared" ca="1" si="23"/>
        <v>91</v>
      </c>
      <c r="U43" s="13">
        <f t="shared" ca="1" si="23"/>
        <v>120</v>
      </c>
      <c r="V43" s="13">
        <f t="shared" ca="1" si="30"/>
        <v>92</v>
      </c>
      <c r="W43" s="13">
        <f t="shared" ca="1" si="30"/>
        <v>115</v>
      </c>
      <c r="X43" s="13">
        <f t="shared" ca="1" si="30"/>
        <v>92</v>
      </c>
      <c r="Y43" s="13">
        <f t="shared" ca="1" si="30"/>
        <v>95</v>
      </c>
      <c r="Z43" s="13">
        <f t="shared" ca="1" si="30"/>
        <v>101</v>
      </c>
      <c r="AA43" s="13">
        <f t="shared" ca="1" si="30"/>
        <v>117</v>
      </c>
      <c r="AB43" s="13">
        <f t="shared" ca="1" si="30"/>
        <v>109</v>
      </c>
      <c r="AC43" s="13">
        <f t="shared" ca="1" si="30"/>
        <v>104</v>
      </c>
      <c r="AD43" s="13">
        <f t="shared" ca="1" si="30"/>
        <v>92</v>
      </c>
      <c r="AE43" s="13">
        <f t="shared" ca="1" si="30"/>
        <v>86</v>
      </c>
      <c r="AF43" s="13">
        <f t="shared" ca="1" si="30"/>
        <v>81</v>
      </c>
      <c r="AG43" s="13">
        <f t="shared" ca="1" si="30"/>
        <v>96</v>
      </c>
      <c r="AI43" s="15">
        <f t="shared" si="24"/>
        <v>0.81250000000000033</v>
      </c>
      <c r="AJ43" s="7">
        <f t="shared" ca="1" si="29"/>
        <v>93</v>
      </c>
      <c r="AK43" s="7">
        <f t="shared" ca="1" si="25"/>
        <v>103</v>
      </c>
      <c r="AL43" s="7">
        <f t="shared" ca="1" si="25"/>
        <v>94.25</v>
      </c>
      <c r="AM43" s="7">
        <f t="shared" ca="1" si="26"/>
        <v>108</v>
      </c>
      <c r="AN43" s="7">
        <f t="shared" ca="1" si="26"/>
        <v>70.958333333333329</v>
      </c>
      <c r="AO43" s="7">
        <f t="shared" ca="1" si="26"/>
        <v>95.25</v>
      </c>
      <c r="AP43" s="7">
        <f t="shared" ca="1" si="26"/>
        <v>99.1875</v>
      </c>
      <c r="AR43" s="15">
        <f t="shared" si="27"/>
        <v>0.81250000000000033</v>
      </c>
      <c r="AS43" s="8">
        <f t="shared" ca="1" si="10"/>
        <v>3.2466399022517016E-2</v>
      </c>
      <c r="AT43" s="8">
        <f t="shared" ca="1" si="10"/>
        <v>3.6149863999298058E-2</v>
      </c>
      <c r="AU43" s="8">
        <f t="shared" ca="1" si="10"/>
        <v>3.3224640874239889E-2</v>
      </c>
      <c r="AV43" s="8">
        <f t="shared" ca="1" si="10"/>
        <v>3.7620830793346688E-2</v>
      </c>
      <c r="AW43" s="8">
        <f t="shared" ca="1" si="10"/>
        <v>3.2872005713513619E-2</v>
      </c>
      <c r="AX43" s="8">
        <f t="shared" ca="1" si="10"/>
        <v>2.6610790990047144E-2</v>
      </c>
      <c r="AY43" s="8">
        <f t="shared" ca="1" si="10"/>
        <v>2.778361344537815E-2</v>
      </c>
      <c r="BA43" s="15">
        <f t="shared" si="28"/>
        <v>0.81250000000000033</v>
      </c>
      <c r="BB43" s="10">
        <f t="shared" ca="1" si="11"/>
        <v>44.864141249683414</v>
      </c>
      <c r="BC43" s="10">
        <f t="shared" ca="1" si="3"/>
        <v>49.688242459326794</v>
      </c>
      <c r="BD43" s="10">
        <f t="shared" ca="1" si="3"/>
        <v>45.467153900888846</v>
      </c>
      <c r="BE43" s="10">
        <f t="shared" ca="1" si="3"/>
        <v>52.100293064148488</v>
      </c>
      <c r="BF43" s="10">
        <f t="shared" ca="1" si="3"/>
        <v>34.231018166761139</v>
      </c>
      <c r="BG43" s="10">
        <f t="shared" ca="1" si="3"/>
        <v>45.949564021853178</v>
      </c>
      <c r="BH43" s="10">
        <f t="shared" ca="1" si="3"/>
        <v>47.849053873150254</v>
      </c>
    </row>
    <row r="44" spans="5:60" x14ac:dyDescent="0.3">
      <c r="E44" s="11">
        <f t="shared" si="15"/>
        <v>0.81250000000000033</v>
      </c>
      <c r="F44" s="13">
        <f t="shared" ca="1" si="23"/>
        <v>100</v>
      </c>
      <c r="G44" s="13">
        <f t="shared" ca="1" si="23"/>
        <v>120</v>
      </c>
      <c r="H44" s="13">
        <f t="shared" ca="1" si="23"/>
        <v>99</v>
      </c>
      <c r="I44" s="13">
        <f t="shared" ca="1" si="23"/>
        <v>105</v>
      </c>
      <c r="J44" s="13">
        <f t="shared" ca="1" si="23"/>
        <v>112</v>
      </c>
      <c r="K44" s="13">
        <f t="shared" ca="1" si="23"/>
        <v>106</v>
      </c>
      <c r="L44" s="13">
        <f t="shared" ca="1" si="23"/>
        <v>85</v>
      </c>
      <c r="M44" s="13">
        <f t="shared" ca="1" si="23"/>
        <v>93</v>
      </c>
      <c r="N44" s="13">
        <f t="shared" ca="1" si="23"/>
        <v>86</v>
      </c>
      <c r="O44" s="13">
        <f t="shared" ca="1" si="23"/>
        <v>101</v>
      </c>
      <c r="P44" s="13">
        <f t="shared" ca="1" si="23"/>
        <v>92</v>
      </c>
      <c r="Q44" s="13">
        <f t="shared" ca="1" si="23"/>
        <v>87</v>
      </c>
      <c r="R44" s="13">
        <f t="shared" ca="1" si="23"/>
        <v>96</v>
      </c>
      <c r="S44" s="13">
        <f t="shared" ca="1" si="23"/>
        <v>118</v>
      </c>
      <c r="T44" s="13">
        <f t="shared" ca="1" si="23"/>
        <v>99</v>
      </c>
      <c r="U44" s="13">
        <f t="shared" ca="1" si="23"/>
        <v>106</v>
      </c>
      <c r="V44" s="13">
        <f t="shared" ca="1" si="30"/>
        <v>108</v>
      </c>
      <c r="W44" s="13">
        <f t="shared" ca="1" si="30"/>
        <v>93</v>
      </c>
      <c r="X44" s="13">
        <f t="shared" ca="1" si="30"/>
        <v>96</v>
      </c>
      <c r="Y44" s="13">
        <f t="shared" ca="1" si="30"/>
        <v>86</v>
      </c>
      <c r="Z44" s="13">
        <f t="shared" ca="1" si="30"/>
        <v>116</v>
      </c>
      <c r="AA44" s="13">
        <f t="shared" ca="1" si="30"/>
        <v>80</v>
      </c>
      <c r="AB44" s="13">
        <f t="shared" ca="1" si="30"/>
        <v>91</v>
      </c>
      <c r="AC44" s="13">
        <f t="shared" ca="1" si="30"/>
        <v>104</v>
      </c>
      <c r="AD44" s="13">
        <f t="shared" ca="1" si="30"/>
        <v>97</v>
      </c>
      <c r="AE44" s="13">
        <f t="shared" ca="1" si="30"/>
        <v>82</v>
      </c>
      <c r="AF44" s="13">
        <f t="shared" ca="1" si="30"/>
        <v>114</v>
      </c>
      <c r="AG44" s="13">
        <f t="shared" ca="1" si="30"/>
        <v>113</v>
      </c>
      <c r="AI44" s="15">
        <f t="shared" si="24"/>
        <v>0.8333333333333337</v>
      </c>
      <c r="AJ44" s="7">
        <f t="shared" ca="1" si="29"/>
        <v>91.5</v>
      </c>
      <c r="AK44" s="7">
        <f t="shared" ca="1" si="25"/>
        <v>99</v>
      </c>
      <c r="AL44" s="7">
        <f t="shared" ca="1" si="25"/>
        <v>95.75</v>
      </c>
      <c r="AM44" s="7">
        <f t="shared" ca="1" si="26"/>
        <v>100.75</v>
      </c>
      <c r="AN44" s="7">
        <f t="shared" ca="1" si="26"/>
        <v>80.463541666666671</v>
      </c>
      <c r="AO44" s="7">
        <f t="shared" ca="1" si="26"/>
        <v>80.5625</v>
      </c>
      <c r="AP44" s="7">
        <f t="shared" ca="1" si="26"/>
        <v>85.4375</v>
      </c>
      <c r="AR44" s="15">
        <f t="shared" si="27"/>
        <v>0.8333333333333337</v>
      </c>
      <c r="AS44" s="8">
        <f t="shared" ca="1" si="10"/>
        <v>3.1942747425379649E-2</v>
      </c>
      <c r="AT44" s="8">
        <f t="shared" ca="1" si="10"/>
        <v>3.474598578573309E-2</v>
      </c>
      <c r="AU44" s="8">
        <f t="shared" ca="1" si="10"/>
        <v>3.3753414999559354E-2</v>
      </c>
      <c r="AV44" s="8">
        <f t="shared" ca="1" si="10"/>
        <v>3.5095358355830358E-2</v>
      </c>
      <c r="AW44" s="8">
        <f t="shared" ca="1" si="10"/>
        <v>3.7275368193487368E-2</v>
      </c>
      <c r="AX44" s="8">
        <f t="shared" ca="1" si="10"/>
        <v>2.2507420988301031E-2</v>
      </c>
      <c r="AY44" s="8">
        <f t="shared" ca="1" si="10"/>
        <v>2.3932072829131654E-2</v>
      </c>
      <c r="BA44" s="15">
        <f t="shared" si="28"/>
        <v>0.8333333333333337</v>
      </c>
      <c r="BB44" s="10">
        <f t="shared" ca="1" si="11"/>
        <v>44.140526068236916</v>
      </c>
      <c r="BC44" s="10">
        <f t="shared" ca="1" si="3"/>
        <v>47.758601975469453</v>
      </c>
      <c r="BD44" s="10">
        <f t="shared" ca="1" si="3"/>
        <v>46.190769082335351</v>
      </c>
      <c r="BE44" s="10">
        <f t="shared" ca="1" si="3"/>
        <v>48.602819687157044</v>
      </c>
      <c r="BF44" s="10">
        <f t="shared" ca="1" si="3"/>
        <v>38.816426868635702</v>
      </c>
      <c r="BG44" s="10">
        <f t="shared" ca="1" si="3"/>
        <v>38.864165370189468</v>
      </c>
      <c r="BH44" s="10">
        <f t="shared" ca="1" si="3"/>
        <v>41.215914709890619</v>
      </c>
    </row>
    <row r="45" spans="5:60" x14ac:dyDescent="0.3">
      <c r="E45" s="11">
        <f t="shared" si="15"/>
        <v>0.8333333333333337</v>
      </c>
      <c r="F45" s="13">
        <f t="shared" ca="1" si="23"/>
        <v>83</v>
      </c>
      <c r="G45" s="13">
        <f t="shared" ca="1" si="23"/>
        <v>94</v>
      </c>
      <c r="H45" s="13">
        <f t="shared" ca="1" si="23"/>
        <v>92</v>
      </c>
      <c r="I45" s="13">
        <f t="shared" ca="1" si="23"/>
        <v>111</v>
      </c>
      <c r="J45" s="13">
        <f t="shared" ca="1" si="23"/>
        <v>92</v>
      </c>
      <c r="K45" s="13">
        <f t="shared" ca="1" si="23"/>
        <v>119</v>
      </c>
      <c r="L45" s="13">
        <f t="shared" ca="1" si="23"/>
        <v>95</v>
      </c>
      <c r="M45" s="13">
        <f t="shared" ca="1" si="23"/>
        <v>82</v>
      </c>
      <c r="N45" s="13">
        <f t="shared" ca="1" si="23"/>
        <v>120</v>
      </c>
      <c r="O45" s="13">
        <f t="shared" ca="1" si="23"/>
        <v>103</v>
      </c>
      <c r="P45" s="13">
        <f t="shared" ca="1" si="23"/>
        <v>90</v>
      </c>
      <c r="Q45" s="13">
        <f t="shared" ca="1" si="23"/>
        <v>100</v>
      </c>
      <c r="R45" s="13">
        <f t="shared" ca="1" si="23"/>
        <v>83</v>
      </c>
      <c r="S45" s="13">
        <f t="shared" ca="1" si="23"/>
        <v>112</v>
      </c>
      <c r="T45" s="13">
        <f t="shared" ca="1" si="23"/>
        <v>81</v>
      </c>
      <c r="U45" s="13">
        <f t="shared" ca="1" si="23"/>
        <v>120</v>
      </c>
      <c r="V45" s="13">
        <f t="shared" ca="1" si="30"/>
        <v>83</v>
      </c>
      <c r="W45" s="13">
        <f t="shared" ca="1" si="30"/>
        <v>109</v>
      </c>
      <c r="X45" s="13">
        <f t="shared" ca="1" si="30"/>
        <v>82</v>
      </c>
      <c r="Y45" s="13">
        <f t="shared" ca="1" si="30"/>
        <v>117</v>
      </c>
      <c r="Z45" s="13">
        <f t="shared" ca="1" si="30"/>
        <v>94</v>
      </c>
      <c r="AA45" s="13">
        <f t="shared" ca="1" si="30"/>
        <v>120</v>
      </c>
      <c r="AB45" s="13">
        <f t="shared" ca="1" si="30"/>
        <v>81</v>
      </c>
      <c r="AC45" s="13">
        <f t="shared" ca="1" si="30"/>
        <v>118</v>
      </c>
      <c r="AD45" s="13">
        <f t="shared" ca="1" si="30"/>
        <v>99</v>
      </c>
      <c r="AE45" s="13">
        <f t="shared" ca="1" si="30"/>
        <v>109</v>
      </c>
      <c r="AF45" s="13">
        <f t="shared" ca="1" si="30"/>
        <v>118</v>
      </c>
      <c r="AG45" s="13">
        <f t="shared" ca="1" si="30"/>
        <v>102</v>
      </c>
      <c r="AI45" s="15">
        <f t="shared" si="24"/>
        <v>0.85416666666666707</v>
      </c>
      <c r="AJ45" s="7">
        <f t="shared" ca="1" si="29"/>
        <v>25.75</v>
      </c>
      <c r="AK45" s="7">
        <f t="shared" ca="1" si="25"/>
        <v>24.25</v>
      </c>
      <c r="AL45" s="7">
        <f t="shared" ca="1" si="25"/>
        <v>23</v>
      </c>
      <c r="AM45" s="7">
        <f t="shared" ca="1" si="26"/>
        <v>23.75</v>
      </c>
      <c r="AN45" s="7">
        <f t="shared" ca="1" si="26"/>
        <v>17.71875</v>
      </c>
      <c r="AO45" s="7">
        <f t="shared" ca="1" si="26"/>
        <v>26.1875</v>
      </c>
      <c r="AP45" s="7">
        <f t="shared" ca="1" si="26"/>
        <v>27.4375</v>
      </c>
      <c r="AR45" s="15">
        <f t="shared" si="27"/>
        <v>0.85416666666666707</v>
      </c>
      <c r="AS45" s="8">
        <f t="shared" ca="1" si="10"/>
        <v>8.9893524175248731E-3</v>
      </c>
      <c r="AT45" s="8">
        <f t="shared" ca="1" si="10"/>
        <v>8.5110116697376496E-3</v>
      </c>
      <c r="AU45" s="8">
        <f t="shared" ca="1" si="10"/>
        <v>8.1078699215651716E-3</v>
      </c>
      <c r="AV45" s="8">
        <f t="shared" ca="1" si="10"/>
        <v>8.2730993642776279E-3</v>
      </c>
      <c r="AW45" s="8">
        <f t="shared" ca="1" si="10"/>
        <v>8.2083502229428461E-3</v>
      </c>
      <c r="AX45" s="8">
        <f t="shared" ca="1" si="10"/>
        <v>7.3162214073686045E-3</v>
      </c>
      <c r="AY45" s="8">
        <f t="shared" ca="1" si="10"/>
        <v>7.6855742296918763E-3</v>
      </c>
      <c r="BA45" s="15">
        <f t="shared" si="28"/>
        <v>0.85416666666666707</v>
      </c>
      <c r="BB45" s="10">
        <f t="shared" ca="1" si="11"/>
        <v>12.422060614831699</v>
      </c>
      <c r="BC45" s="10">
        <f t="shared" ca="1" si="3"/>
        <v>11.698445433385192</v>
      </c>
      <c r="BD45" s="10">
        <f t="shared" ca="1" si="3"/>
        <v>11.09543278217977</v>
      </c>
      <c r="BE45" s="10">
        <f t="shared" ca="1" si="3"/>
        <v>11.457240372903025</v>
      </c>
      <c r="BF45" s="10">
        <f t="shared" ca="1" si="3"/>
        <v>8.5477043308368614</v>
      </c>
      <c r="BG45" s="10">
        <f t="shared" ca="1" si="3"/>
        <v>12.633115042753596</v>
      </c>
      <c r="BH45" s="10">
        <f t="shared" ca="1" si="3"/>
        <v>13.23612769395902</v>
      </c>
    </row>
    <row r="46" spans="5:60" x14ac:dyDescent="0.3">
      <c r="E46" s="11">
        <f t="shared" si="15"/>
        <v>0.85416666666666707</v>
      </c>
      <c r="F46" s="13">
        <f ca="1">RANDBETWEEN(20,30)</f>
        <v>25</v>
      </c>
      <c r="G46" s="13">
        <f t="shared" ref="G46:AB52" ca="1" si="31">RANDBETWEEN(20,30)</f>
        <v>22</v>
      </c>
      <c r="H46" s="13">
        <f t="shared" ca="1" si="31"/>
        <v>25</v>
      </c>
      <c r="I46" s="13">
        <f t="shared" ca="1" si="31"/>
        <v>22</v>
      </c>
      <c r="J46" s="13">
        <f t="shared" ca="1" si="31"/>
        <v>21</v>
      </c>
      <c r="K46" s="13">
        <f t="shared" ca="1" si="31"/>
        <v>21</v>
      </c>
      <c r="L46" s="13">
        <f t="shared" ca="1" si="31"/>
        <v>20</v>
      </c>
      <c r="M46" s="13">
        <f ca="1">RANDBETWEEN(20,30)</f>
        <v>27</v>
      </c>
      <c r="N46" s="13">
        <f t="shared" ca="1" si="31"/>
        <v>20</v>
      </c>
      <c r="O46" s="13">
        <f t="shared" ca="1" si="31"/>
        <v>29</v>
      </c>
      <c r="P46" s="13">
        <f t="shared" ca="1" si="31"/>
        <v>26</v>
      </c>
      <c r="Q46" s="13">
        <f t="shared" ca="1" si="31"/>
        <v>24</v>
      </c>
      <c r="R46" s="13">
        <f t="shared" ca="1" si="31"/>
        <v>28</v>
      </c>
      <c r="S46" s="13">
        <f t="shared" ca="1" si="31"/>
        <v>22</v>
      </c>
      <c r="T46" s="13">
        <f ca="1">RANDBETWEEN(20,30)</f>
        <v>24</v>
      </c>
      <c r="U46" s="13">
        <f t="shared" ca="1" si="31"/>
        <v>20</v>
      </c>
      <c r="V46" s="13">
        <f t="shared" ca="1" si="31"/>
        <v>22</v>
      </c>
      <c r="W46" s="13">
        <f t="shared" ca="1" si="31"/>
        <v>30</v>
      </c>
      <c r="X46" s="13">
        <f t="shared" ca="1" si="31"/>
        <v>27</v>
      </c>
      <c r="Y46" s="13">
        <f t="shared" ca="1" si="31"/>
        <v>28</v>
      </c>
      <c r="Z46" s="13">
        <f t="shared" ca="1" si="31"/>
        <v>27</v>
      </c>
      <c r="AA46" s="13">
        <f ca="1">RANDBETWEEN(20,30)</f>
        <v>27</v>
      </c>
      <c r="AB46" s="13">
        <f t="shared" ca="1" si="31"/>
        <v>30</v>
      </c>
      <c r="AC46" s="13">
        <f t="shared" ref="AA46:AG52" ca="1" si="32">RANDBETWEEN(20,30)</f>
        <v>21</v>
      </c>
      <c r="AD46" s="13">
        <f t="shared" ca="1" si="32"/>
        <v>24</v>
      </c>
      <c r="AE46" s="13">
        <f t="shared" ca="1" si="32"/>
        <v>20</v>
      </c>
      <c r="AF46" s="13">
        <f t="shared" ca="1" si="32"/>
        <v>29</v>
      </c>
      <c r="AG46" s="13">
        <f t="shared" ca="1" si="32"/>
        <v>26</v>
      </c>
      <c r="AI46" s="15">
        <f t="shared" si="24"/>
        <v>0.87500000000000044</v>
      </c>
      <c r="AJ46" s="7">
        <f t="shared" ca="1" si="29"/>
        <v>22.25</v>
      </c>
      <c r="AK46" s="7">
        <f t="shared" ca="1" si="25"/>
        <v>24.75</v>
      </c>
      <c r="AL46" s="7">
        <f t="shared" ca="1" si="25"/>
        <v>25</v>
      </c>
      <c r="AM46" s="7">
        <f t="shared" ca="1" si="26"/>
        <v>24.75</v>
      </c>
      <c r="AN46" s="7">
        <f t="shared" ca="1" si="26"/>
        <v>17.723958333333332</v>
      </c>
      <c r="AO46" s="7">
        <f t="shared" ca="1" si="26"/>
        <v>25.3125</v>
      </c>
      <c r="AP46" s="7">
        <f t="shared" ca="1" si="26"/>
        <v>26.3125</v>
      </c>
      <c r="AR46" s="15">
        <f t="shared" si="27"/>
        <v>0.87500000000000044</v>
      </c>
      <c r="AS46" s="8">
        <f t="shared" ca="1" si="10"/>
        <v>7.7674986908710074E-3</v>
      </c>
      <c r="AT46" s="8">
        <f t="shared" ca="1" si="10"/>
        <v>8.6864964464332724E-3</v>
      </c>
      <c r="AU46" s="8">
        <f t="shared" ca="1" si="10"/>
        <v>8.8129020886577956E-3</v>
      </c>
      <c r="AV46" s="8">
        <f t="shared" ca="1" si="10"/>
        <v>8.6214403901419493E-3</v>
      </c>
      <c r="AW46" s="8">
        <f t="shared" ca="1" si="10"/>
        <v>8.2107630243017354E-3</v>
      </c>
      <c r="AX46" s="8">
        <f t="shared" ca="1" si="10"/>
        <v>7.0717653221581984E-3</v>
      </c>
      <c r="AY46" s="8">
        <f t="shared" ca="1" si="10"/>
        <v>7.3704481792717085E-3</v>
      </c>
      <c r="BA46" s="15">
        <f t="shared" si="28"/>
        <v>0.87500000000000044</v>
      </c>
      <c r="BB46" s="10">
        <f t="shared" ca="1" si="11"/>
        <v>10.733625191456516</v>
      </c>
      <c r="BC46" s="10">
        <f t="shared" ca="1" si="3"/>
        <v>11.939650493867363</v>
      </c>
      <c r="BD46" s="10">
        <f t="shared" ca="1" si="3"/>
        <v>12.060253024108448</v>
      </c>
      <c r="BE46" s="10">
        <f t="shared" ca="1" si="3"/>
        <v>11.939650493867362</v>
      </c>
      <c r="BF46" s="10">
        <f t="shared" ref="BF46:BH51" ca="1" si="33">10000*AW46*AN$53</f>
        <v>8.5502168835502168</v>
      </c>
      <c r="BG46" s="10">
        <f t="shared" ca="1" si="33"/>
        <v>12.211006186909801</v>
      </c>
      <c r="BH46" s="10">
        <f t="shared" ca="1" si="33"/>
        <v>12.693416307874141</v>
      </c>
    </row>
    <row r="47" spans="5:60" x14ac:dyDescent="0.3">
      <c r="E47" s="11">
        <f t="shared" si="15"/>
        <v>0.87500000000000044</v>
      </c>
      <c r="F47" s="13">
        <f t="shared" ref="F47:U52" ca="1" si="34">RANDBETWEEN(20,30)</f>
        <v>20</v>
      </c>
      <c r="G47" s="13">
        <f t="shared" ca="1" si="34"/>
        <v>24</v>
      </c>
      <c r="H47" s="13">
        <f t="shared" ca="1" si="34"/>
        <v>20</v>
      </c>
      <c r="I47" s="13">
        <f t="shared" ca="1" si="34"/>
        <v>25</v>
      </c>
      <c r="J47" s="13">
        <f t="shared" ca="1" si="34"/>
        <v>23</v>
      </c>
      <c r="K47" s="13">
        <f t="shared" ca="1" si="34"/>
        <v>21</v>
      </c>
      <c r="L47" s="13">
        <f t="shared" ca="1" si="34"/>
        <v>25</v>
      </c>
      <c r="M47" s="13">
        <f t="shared" ca="1" si="34"/>
        <v>23</v>
      </c>
      <c r="N47" s="13">
        <f t="shared" ca="1" si="34"/>
        <v>21</v>
      </c>
      <c r="O47" s="13">
        <f t="shared" ca="1" si="34"/>
        <v>25</v>
      </c>
      <c r="P47" s="13">
        <f t="shared" ca="1" si="34"/>
        <v>28</v>
      </c>
      <c r="Q47" s="13">
        <f t="shared" ca="1" si="34"/>
        <v>20</v>
      </c>
      <c r="R47" s="13">
        <f t="shared" ca="1" si="34"/>
        <v>27</v>
      </c>
      <c r="S47" s="13">
        <f t="shared" ca="1" si="34"/>
        <v>27</v>
      </c>
      <c r="T47" s="13">
        <f t="shared" ca="1" si="34"/>
        <v>25</v>
      </c>
      <c r="U47" s="13">
        <f t="shared" ca="1" si="34"/>
        <v>23</v>
      </c>
      <c r="V47" s="13">
        <f t="shared" ca="1" si="31"/>
        <v>26</v>
      </c>
      <c r="W47" s="13">
        <f t="shared" ca="1" si="31"/>
        <v>20</v>
      </c>
      <c r="X47" s="13">
        <f t="shared" ca="1" si="31"/>
        <v>30</v>
      </c>
      <c r="Y47" s="13">
        <f t="shared" ca="1" si="31"/>
        <v>29</v>
      </c>
      <c r="Z47" s="13">
        <f t="shared" ca="1" si="31"/>
        <v>21</v>
      </c>
      <c r="AA47" s="13">
        <f t="shared" ca="1" si="31"/>
        <v>21</v>
      </c>
      <c r="AB47" s="13">
        <f t="shared" ca="1" si="31"/>
        <v>26</v>
      </c>
      <c r="AC47" s="13">
        <f t="shared" ca="1" si="32"/>
        <v>28</v>
      </c>
      <c r="AD47" s="13">
        <f t="shared" ca="1" si="32"/>
        <v>29</v>
      </c>
      <c r="AE47" s="13">
        <f t="shared" ca="1" si="32"/>
        <v>27</v>
      </c>
      <c r="AF47" s="13">
        <f t="shared" ca="1" si="32"/>
        <v>23</v>
      </c>
      <c r="AG47" s="13">
        <f t="shared" ca="1" si="32"/>
        <v>26</v>
      </c>
      <c r="AI47" s="15">
        <f t="shared" si="24"/>
        <v>0.89583333333333381</v>
      </c>
      <c r="AJ47" s="7">
        <f t="shared" ca="1" si="29"/>
        <v>23.5</v>
      </c>
      <c r="AK47" s="7">
        <f t="shared" ca="1" si="25"/>
        <v>24.25</v>
      </c>
      <c r="AL47" s="7">
        <f t="shared" ca="1" si="25"/>
        <v>24.75</v>
      </c>
      <c r="AM47" s="7">
        <f t="shared" ca="1" si="26"/>
        <v>26.25</v>
      </c>
      <c r="AN47" s="7">
        <f t="shared" ca="1" si="26"/>
        <v>19.979166666666668</v>
      </c>
      <c r="AO47" s="7">
        <f t="shared" ca="1" si="26"/>
        <v>24.875</v>
      </c>
      <c r="AP47" s="7">
        <f t="shared" ca="1" si="26"/>
        <v>24.375</v>
      </c>
      <c r="AR47" s="15">
        <f t="shared" si="27"/>
        <v>0.89583333333333381</v>
      </c>
      <c r="AS47" s="8">
        <f t="shared" ca="1" si="10"/>
        <v>8.2038750218188169E-3</v>
      </c>
      <c r="AT47" s="8">
        <f t="shared" ca="1" si="10"/>
        <v>8.5110116697376496E-3</v>
      </c>
      <c r="AU47" s="8">
        <f t="shared" ca="1" si="10"/>
        <v>8.7247730677712174E-3</v>
      </c>
      <c r="AV47" s="8">
        <f t="shared" ca="1" si="10"/>
        <v>9.1439519289384305E-3</v>
      </c>
      <c r="AW47" s="8">
        <f t="shared" ca="1" si="10"/>
        <v>9.2555060127009862E-3</v>
      </c>
      <c r="AX47" s="8">
        <f t="shared" ca="1" si="10"/>
        <v>6.9495372795529949E-3</v>
      </c>
      <c r="AY47" s="8">
        <f t="shared" ca="1" si="10"/>
        <v>6.8277310924369748E-3</v>
      </c>
      <c r="BA47" s="15">
        <f t="shared" si="28"/>
        <v>0.89583333333333381</v>
      </c>
      <c r="BB47" s="10">
        <f t="shared" ca="1" si="11"/>
        <v>11.33663784266194</v>
      </c>
      <c r="BC47" s="10">
        <f t="shared" ca="1" si="11"/>
        <v>11.698445433385192</v>
      </c>
      <c r="BD47" s="10">
        <f t="shared" ca="1" si="11"/>
        <v>11.939650493867362</v>
      </c>
      <c r="BE47" s="10">
        <f t="shared" ca="1" si="11"/>
        <v>12.66326567531387</v>
      </c>
      <c r="BF47" s="10">
        <f t="shared" ca="1" si="33"/>
        <v>9.6381522084333326</v>
      </c>
      <c r="BG47" s="10">
        <f t="shared" ca="1" si="33"/>
        <v>11.999951758987903</v>
      </c>
      <c r="BH47" s="10">
        <f t="shared" ca="1" si="33"/>
        <v>11.758746698505735</v>
      </c>
    </row>
    <row r="48" spans="5:60" x14ac:dyDescent="0.3">
      <c r="E48" s="11">
        <f t="shared" si="15"/>
        <v>0.89583333333333381</v>
      </c>
      <c r="F48" s="13">
        <f t="shared" ca="1" si="34"/>
        <v>27</v>
      </c>
      <c r="G48" s="13">
        <f t="shared" ca="1" si="34"/>
        <v>21</v>
      </c>
      <c r="H48" s="13">
        <f t="shared" ca="1" si="34"/>
        <v>26</v>
      </c>
      <c r="I48" s="13">
        <f t="shared" ca="1" si="34"/>
        <v>24</v>
      </c>
      <c r="J48" s="13">
        <f t="shared" ca="1" si="34"/>
        <v>29</v>
      </c>
      <c r="K48" s="13">
        <f t="shared" ca="1" si="34"/>
        <v>27</v>
      </c>
      <c r="L48" s="13">
        <f t="shared" ca="1" si="34"/>
        <v>21</v>
      </c>
      <c r="M48" s="13">
        <f t="shared" ca="1" si="34"/>
        <v>22</v>
      </c>
      <c r="N48" s="13">
        <f t="shared" ca="1" si="34"/>
        <v>24</v>
      </c>
      <c r="O48" s="13">
        <f t="shared" ca="1" si="34"/>
        <v>21</v>
      </c>
      <c r="P48" s="13">
        <f t="shared" ca="1" si="34"/>
        <v>29</v>
      </c>
      <c r="Q48" s="13">
        <f t="shared" ca="1" si="34"/>
        <v>22</v>
      </c>
      <c r="R48" s="13">
        <f t="shared" ca="1" si="34"/>
        <v>23</v>
      </c>
      <c r="S48" s="13">
        <f t="shared" ca="1" si="34"/>
        <v>28</v>
      </c>
      <c r="T48" s="13">
        <f t="shared" ca="1" si="31"/>
        <v>25</v>
      </c>
      <c r="U48" s="13">
        <f t="shared" ca="1" si="31"/>
        <v>29</v>
      </c>
      <c r="V48" s="13">
        <f t="shared" ca="1" si="31"/>
        <v>24</v>
      </c>
      <c r="W48" s="13">
        <f t="shared" ca="1" si="31"/>
        <v>24</v>
      </c>
      <c r="X48" s="13">
        <f t="shared" ca="1" si="31"/>
        <v>26</v>
      </c>
      <c r="Y48" s="13">
        <f t="shared" ca="1" si="31"/>
        <v>26</v>
      </c>
      <c r="Z48" s="13">
        <f t="shared" ca="1" si="31"/>
        <v>26</v>
      </c>
      <c r="AA48" s="13">
        <f t="shared" ca="1" si="32"/>
        <v>20</v>
      </c>
      <c r="AB48" s="13">
        <f t="shared" ca="1" si="32"/>
        <v>26</v>
      </c>
      <c r="AC48" s="13">
        <f t="shared" ca="1" si="32"/>
        <v>26</v>
      </c>
      <c r="AD48" s="13">
        <f t="shared" ca="1" si="32"/>
        <v>21</v>
      </c>
      <c r="AE48" s="13">
        <f t="shared" ca="1" si="32"/>
        <v>22</v>
      </c>
      <c r="AF48" s="13">
        <f t="shared" ca="1" si="32"/>
        <v>24</v>
      </c>
      <c r="AG48" s="13">
        <f t="shared" ca="1" si="32"/>
        <v>30</v>
      </c>
      <c r="AI48" s="15">
        <f t="shared" si="24"/>
        <v>0.91666666666666718</v>
      </c>
      <c r="AJ48" s="7">
        <f t="shared" ca="1" si="29"/>
        <v>26.5</v>
      </c>
      <c r="AK48" s="7">
        <f t="shared" ca="1" si="25"/>
        <v>25.5</v>
      </c>
      <c r="AL48" s="7">
        <f t="shared" ca="1" si="25"/>
        <v>24.25</v>
      </c>
      <c r="AM48" s="7">
        <f t="shared" ca="1" si="26"/>
        <v>24.5</v>
      </c>
      <c r="AN48" s="7">
        <f t="shared" ca="1" si="26"/>
        <v>18.234375</v>
      </c>
      <c r="AO48" s="7">
        <f t="shared" ca="1" si="26"/>
        <v>26.0625</v>
      </c>
      <c r="AP48" s="7">
        <f t="shared" ca="1" si="26"/>
        <v>25.0625</v>
      </c>
      <c r="AR48" s="15">
        <f t="shared" si="27"/>
        <v>0.91666666666666718</v>
      </c>
      <c r="AS48" s="8">
        <f t="shared" ca="1" si="10"/>
        <v>9.2511782160935585E-3</v>
      </c>
      <c r="AT48" s="8">
        <f t="shared" ca="1" si="10"/>
        <v>8.949723611476704E-3</v>
      </c>
      <c r="AU48" s="8">
        <f t="shared" ca="1" si="10"/>
        <v>8.5485150259980609E-3</v>
      </c>
      <c r="AV48" s="8">
        <f t="shared" ca="1" si="10"/>
        <v>8.5343551336758694E-3</v>
      </c>
      <c r="AW48" s="8">
        <f t="shared" ca="1" si="10"/>
        <v>8.4472175574729289E-3</v>
      </c>
      <c r="AX48" s="8">
        <f t="shared" ca="1" si="10"/>
        <v>7.2812991094814037E-3</v>
      </c>
      <c r="AY48" s="8">
        <f t="shared" ca="1" si="10"/>
        <v>7.0203081232492999E-3</v>
      </c>
      <c r="BA48" s="15">
        <f t="shared" si="28"/>
        <v>0.91666666666666718</v>
      </c>
      <c r="BB48" s="10">
        <f t="shared" ca="1" si="11"/>
        <v>12.783868205554951</v>
      </c>
      <c r="BC48" s="10">
        <f t="shared" ca="1" si="11"/>
        <v>12.301458084590614</v>
      </c>
      <c r="BD48" s="10">
        <f t="shared" ca="1" si="11"/>
        <v>11.698445433385194</v>
      </c>
      <c r="BE48" s="10">
        <f t="shared" ca="1" si="11"/>
        <v>11.819047963626279</v>
      </c>
      <c r="BF48" s="10">
        <f t="shared" ca="1" si="33"/>
        <v>8.7964470494590987</v>
      </c>
      <c r="BG48" s="10">
        <f t="shared" ca="1" si="33"/>
        <v>12.572813777633055</v>
      </c>
      <c r="BH48" s="10">
        <f t="shared" ca="1" si="33"/>
        <v>12.09040365666872</v>
      </c>
    </row>
    <row r="49" spans="5:60" x14ac:dyDescent="0.3">
      <c r="E49" s="11">
        <f t="shared" si="15"/>
        <v>0.91666666666666718</v>
      </c>
      <c r="F49" s="13">
        <f t="shared" ca="1" si="34"/>
        <v>25</v>
      </c>
      <c r="G49" s="13">
        <f t="shared" ca="1" si="34"/>
        <v>21</v>
      </c>
      <c r="H49" s="13">
        <f t="shared" ca="1" si="34"/>
        <v>26</v>
      </c>
      <c r="I49" s="13">
        <f t="shared" ca="1" si="34"/>
        <v>21</v>
      </c>
      <c r="J49" s="13">
        <f t="shared" ca="1" si="34"/>
        <v>27</v>
      </c>
      <c r="K49" s="13">
        <f t="shared" ca="1" si="34"/>
        <v>28</v>
      </c>
      <c r="L49" s="13">
        <f t="shared" ca="1" si="34"/>
        <v>21</v>
      </c>
      <c r="M49" s="13">
        <f t="shared" ca="1" si="34"/>
        <v>29</v>
      </c>
      <c r="N49" s="13">
        <f t="shared" ca="1" si="34"/>
        <v>23</v>
      </c>
      <c r="O49" s="13">
        <f t="shared" ca="1" si="34"/>
        <v>27</v>
      </c>
      <c r="P49" s="13">
        <f t="shared" ca="1" si="34"/>
        <v>24</v>
      </c>
      <c r="Q49" s="13">
        <f t="shared" ca="1" si="34"/>
        <v>24</v>
      </c>
      <c r="R49" s="13">
        <f t="shared" ca="1" si="34"/>
        <v>26</v>
      </c>
      <c r="S49" s="13">
        <f t="shared" ca="1" si="34"/>
        <v>27</v>
      </c>
      <c r="T49" s="13">
        <f t="shared" ca="1" si="31"/>
        <v>23</v>
      </c>
      <c r="U49" s="13">
        <f t="shared" ca="1" si="31"/>
        <v>27</v>
      </c>
      <c r="V49" s="13">
        <f t="shared" ca="1" si="31"/>
        <v>23</v>
      </c>
      <c r="W49" s="13">
        <f t="shared" ca="1" si="31"/>
        <v>29</v>
      </c>
      <c r="X49" s="13">
        <f t="shared" ca="1" si="31"/>
        <v>25</v>
      </c>
      <c r="Y49" s="13">
        <f t="shared" ca="1" si="31"/>
        <v>25</v>
      </c>
      <c r="Z49" s="13">
        <f t="shared" ca="1" si="31"/>
        <v>20</v>
      </c>
      <c r="AA49" s="13">
        <f t="shared" ca="1" si="32"/>
        <v>29</v>
      </c>
      <c r="AB49" s="13">
        <f t="shared" ca="1" si="32"/>
        <v>22</v>
      </c>
      <c r="AC49" s="13">
        <f t="shared" ca="1" si="32"/>
        <v>26</v>
      </c>
      <c r="AD49" s="13">
        <f t="shared" ca="1" si="32"/>
        <v>24</v>
      </c>
      <c r="AE49" s="13">
        <f t="shared" ca="1" si="32"/>
        <v>21</v>
      </c>
      <c r="AF49" s="13">
        <f t="shared" ca="1" si="32"/>
        <v>21</v>
      </c>
      <c r="AG49" s="13">
        <f t="shared" ca="1" si="32"/>
        <v>30</v>
      </c>
      <c r="AI49" s="15">
        <f t="shared" si="24"/>
        <v>0.93750000000000056</v>
      </c>
      <c r="AJ49" s="7">
        <f t="shared" ca="1" si="29"/>
        <v>21.5</v>
      </c>
      <c r="AK49" s="7">
        <f t="shared" ca="1" si="25"/>
        <v>27.25</v>
      </c>
      <c r="AL49" s="7">
        <f t="shared" ca="1" si="25"/>
        <v>26.75</v>
      </c>
      <c r="AM49" s="7">
        <f t="shared" ca="1" si="26"/>
        <v>28.25</v>
      </c>
      <c r="AN49" s="7">
        <f t="shared" ca="1" si="26"/>
        <v>19.989583333333332</v>
      </c>
      <c r="AO49" s="7">
        <f t="shared" ca="1" si="26"/>
        <v>24.25</v>
      </c>
      <c r="AP49" s="7">
        <f t="shared" ca="1" si="26"/>
        <v>24.5</v>
      </c>
      <c r="AR49" s="15">
        <f t="shared" si="27"/>
        <v>0.93750000000000056</v>
      </c>
      <c r="AS49" s="8">
        <f t="shared" ca="1" si="10"/>
        <v>7.5056728923023211E-3</v>
      </c>
      <c r="AT49" s="8">
        <f t="shared" ca="1" si="10"/>
        <v>9.5639203299113795E-3</v>
      </c>
      <c r="AU49" s="8">
        <f t="shared" ca="1" si="10"/>
        <v>9.4298052348638414E-3</v>
      </c>
      <c r="AV49" s="8">
        <f t="shared" ca="1" si="10"/>
        <v>9.8406339806670733E-3</v>
      </c>
      <c r="AW49" s="8">
        <f t="shared" ca="1" si="10"/>
        <v>9.2603316154187647E-3</v>
      </c>
      <c r="AX49" s="8">
        <f t="shared" ca="1" si="10"/>
        <v>6.7749257901169894E-3</v>
      </c>
      <c r="AY49" s="8">
        <f t="shared" ca="1" si="10"/>
        <v>6.8627450980392156E-3</v>
      </c>
      <c r="BA49" s="15">
        <f t="shared" si="28"/>
        <v>0.93750000000000056</v>
      </c>
      <c r="BB49" s="10">
        <f t="shared" ca="1" si="11"/>
        <v>10.371817600733264</v>
      </c>
      <c r="BC49" s="10">
        <f t="shared" ca="1" si="11"/>
        <v>13.145675796278207</v>
      </c>
      <c r="BD49" s="10">
        <f t="shared" ca="1" si="11"/>
        <v>12.904470735796039</v>
      </c>
      <c r="BE49" s="10">
        <f t="shared" ca="1" si="11"/>
        <v>13.628085917242544</v>
      </c>
      <c r="BF49" s="10">
        <f t="shared" ca="1" si="33"/>
        <v>9.6431773138600452</v>
      </c>
      <c r="BG49" s="10">
        <f t="shared" ca="1" si="33"/>
        <v>11.698445433385192</v>
      </c>
      <c r="BH49" s="10">
        <f t="shared" ca="1" si="33"/>
        <v>11.819047963626277</v>
      </c>
    </row>
    <row r="50" spans="5:60" x14ac:dyDescent="0.3">
      <c r="E50" s="11">
        <f t="shared" si="15"/>
        <v>0.93750000000000056</v>
      </c>
      <c r="F50" s="13">
        <f t="shared" ca="1" si="34"/>
        <v>20</v>
      </c>
      <c r="G50" s="13">
        <f t="shared" ca="1" si="34"/>
        <v>20</v>
      </c>
      <c r="H50" s="13">
        <f t="shared" ca="1" si="34"/>
        <v>29</v>
      </c>
      <c r="I50" s="13">
        <f t="shared" ca="1" si="34"/>
        <v>24</v>
      </c>
      <c r="J50" s="13">
        <f t="shared" ca="1" si="34"/>
        <v>26</v>
      </c>
      <c r="K50" s="13">
        <f t="shared" ca="1" si="34"/>
        <v>25</v>
      </c>
      <c r="L50" s="13">
        <f t="shared" ca="1" si="34"/>
        <v>27</v>
      </c>
      <c r="M50" s="13">
        <f t="shared" ca="1" si="34"/>
        <v>23</v>
      </c>
      <c r="N50" s="13">
        <f t="shared" ca="1" si="34"/>
        <v>27</v>
      </c>
      <c r="O50" s="13">
        <f t="shared" ca="1" si="34"/>
        <v>27</v>
      </c>
      <c r="P50" s="13">
        <f t="shared" ca="1" si="34"/>
        <v>24</v>
      </c>
      <c r="Q50" s="13">
        <f t="shared" ca="1" si="34"/>
        <v>30</v>
      </c>
      <c r="R50" s="13">
        <f t="shared" ca="1" si="34"/>
        <v>26</v>
      </c>
      <c r="S50" s="13">
        <f t="shared" ca="1" si="34"/>
        <v>26</v>
      </c>
      <c r="T50" s="13">
        <f t="shared" ca="1" si="31"/>
        <v>22</v>
      </c>
      <c r="U50" s="13">
        <f t="shared" ca="1" si="31"/>
        <v>26</v>
      </c>
      <c r="V50" s="13">
        <f t="shared" ca="1" si="31"/>
        <v>29</v>
      </c>
      <c r="W50" s="13">
        <f t="shared" ca="1" si="31"/>
        <v>27</v>
      </c>
      <c r="X50" s="13">
        <f t="shared" ca="1" si="31"/>
        <v>21</v>
      </c>
      <c r="Y50" s="13">
        <f t="shared" ca="1" si="31"/>
        <v>21</v>
      </c>
      <c r="Z50" s="13">
        <f t="shared" ca="1" si="31"/>
        <v>30</v>
      </c>
      <c r="AA50" s="13">
        <f t="shared" ca="1" si="32"/>
        <v>21</v>
      </c>
      <c r="AB50" s="13">
        <f t="shared" ca="1" si="32"/>
        <v>26</v>
      </c>
      <c r="AC50" s="13">
        <f t="shared" ca="1" si="32"/>
        <v>24</v>
      </c>
      <c r="AD50" s="13">
        <f t="shared" ca="1" si="32"/>
        <v>20</v>
      </c>
      <c r="AE50" s="13">
        <f t="shared" ca="1" si="32"/>
        <v>30</v>
      </c>
      <c r="AF50" s="13">
        <f t="shared" ca="1" si="32"/>
        <v>26</v>
      </c>
      <c r="AG50" s="13">
        <f t="shared" ca="1" si="32"/>
        <v>30</v>
      </c>
      <c r="AI50" s="15">
        <f t="shared" si="24"/>
        <v>0.95833333333333393</v>
      </c>
      <c r="AJ50" s="7">
        <f t="shared" ca="1" si="29"/>
        <v>27.25</v>
      </c>
      <c r="AK50" s="7">
        <f t="shared" ca="1" si="25"/>
        <v>26</v>
      </c>
      <c r="AL50" s="7">
        <f t="shared" ca="1" si="25"/>
        <v>26.75</v>
      </c>
      <c r="AM50" s="7">
        <f t="shared" ca="1" si="26"/>
        <v>25</v>
      </c>
      <c r="AN50" s="7">
        <f t="shared" ca="1" si="26"/>
        <v>19.744791666666668</v>
      </c>
      <c r="AO50" s="7">
        <f t="shared" ca="1" si="26"/>
        <v>24.8125</v>
      </c>
      <c r="AP50" s="7">
        <f t="shared" ca="1" si="26"/>
        <v>24.75</v>
      </c>
      <c r="AR50" s="15">
        <f t="shared" si="27"/>
        <v>0.95833333333333393</v>
      </c>
      <c r="AS50" s="8">
        <f t="shared" ca="1" si="10"/>
        <v>9.5130040146622439E-3</v>
      </c>
      <c r="AT50" s="8">
        <f t="shared" ca="1" si="10"/>
        <v>9.1252083881723269E-3</v>
      </c>
      <c r="AU50" s="8">
        <f t="shared" ca="1" si="10"/>
        <v>9.4298052348638414E-3</v>
      </c>
      <c r="AV50" s="8">
        <f t="shared" ca="1" si="10"/>
        <v>8.7085256466080292E-3</v>
      </c>
      <c r="AW50" s="8">
        <f t="shared" ca="1" si="10"/>
        <v>9.146929951550949E-3</v>
      </c>
      <c r="AX50" s="8">
        <f t="shared" ca="1" si="10"/>
        <v>6.9320761306093945E-3</v>
      </c>
      <c r="AY50" s="8">
        <f t="shared" ca="1" si="10"/>
        <v>6.9327731092436971E-3</v>
      </c>
      <c r="BA50" s="15">
        <f t="shared" si="28"/>
        <v>0.95833333333333393</v>
      </c>
      <c r="BB50" s="10">
        <f t="shared" ca="1" si="11"/>
        <v>13.145675796278205</v>
      </c>
      <c r="BC50" s="10">
        <f t="shared" ca="1" si="11"/>
        <v>12.542663145072785</v>
      </c>
      <c r="BD50" s="10">
        <f t="shared" ca="1" si="11"/>
        <v>12.904470735796039</v>
      </c>
      <c r="BE50" s="10">
        <f t="shared" ca="1" si="11"/>
        <v>12.060253024108446</v>
      </c>
      <c r="BF50" s="10">
        <f t="shared" ca="1" si="33"/>
        <v>9.5250873363323176</v>
      </c>
      <c r="BG50" s="10">
        <f t="shared" ca="1" si="33"/>
        <v>11.969801126427631</v>
      </c>
      <c r="BH50" s="10">
        <f t="shared" ca="1" si="33"/>
        <v>11.939650493867363</v>
      </c>
    </row>
    <row r="51" spans="5:60" x14ac:dyDescent="0.3">
      <c r="E51" s="11">
        <f t="shared" si="15"/>
        <v>0.95833333333333393</v>
      </c>
      <c r="F51" s="13">
        <f t="shared" ca="1" si="34"/>
        <v>28</v>
      </c>
      <c r="G51" s="13">
        <f t="shared" ca="1" si="34"/>
        <v>23</v>
      </c>
      <c r="H51" s="13">
        <f ca="1">RANDBETWEEN(20,30)</f>
        <v>28</v>
      </c>
      <c r="I51" s="13">
        <f t="shared" ca="1" si="34"/>
        <v>23</v>
      </c>
      <c r="J51" s="13">
        <f t="shared" ca="1" si="34"/>
        <v>26</v>
      </c>
      <c r="K51" s="13">
        <f t="shared" ca="1" si="34"/>
        <v>30</v>
      </c>
      <c r="L51" s="13">
        <f t="shared" ca="1" si="34"/>
        <v>30</v>
      </c>
      <c r="M51" s="13">
        <f t="shared" ca="1" si="34"/>
        <v>22</v>
      </c>
      <c r="N51" s="13">
        <f t="shared" ca="1" si="34"/>
        <v>26</v>
      </c>
      <c r="O51" s="13">
        <f t="shared" ca="1" si="34"/>
        <v>28</v>
      </c>
      <c r="P51" s="13">
        <f t="shared" ca="1" si="34"/>
        <v>25</v>
      </c>
      <c r="Q51" s="13">
        <f t="shared" ca="1" si="34"/>
        <v>25</v>
      </c>
      <c r="R51" s="13">
        <f t="shared" ca="1" si="34"/>
        <v>21</v>
      </c>
      <c r="S51" s="13">
        <f t="shared" ca="1" si="34"/>
        <v>20</v>
      </c>
      <c r="T51" s="13">
        <f t="shared" ca="1" si="31"/>
        <v>30</v>
      </c>
      <c r="U51" s="13">
        <f t="shared" ca="1" si="31"/>
        <v>28</v>
      </c>
      <c r="V51" s="13">
        <f t="shared" ca="1" si="31"/>
        <v>20</v>
      </c>
      <c r="W51" s="13">
        <f t="shared" ca="1" si="31"/>
        <v>26</v>
      </c>
      <c r="X51" s="13">
        <f t="shared" ca="1" si="31"/>
        <v>27</v>
      </c>
      <c r="Y51" s="13">
        <f t="shared" ca="1" si="31"/>
        <v>25</v>
      </c>
      <c r="Z51" s="13">
        <f t="shared" ca="1" si="31"/>
        <v>28</v>
      </c>
      <c r="AA51" s="13">
        <f t="shared" ca="1" si="32"/>
        <v>29</v>
      </c>
      <c r="AB51" s="13">
        <f t="shared" ca="1" si="32"/>
        <v>24</v>
      </c>
      <c r="AC51" s="13">
        <f t="shared" ca="1" si="32"/>
        <v>28</v>
      </c>
      <c r="AD51" s="13">
        <f t="shared" ca="1" si="32"/>
        <v>26</v>
      </c>
      <c r="AE51" s="13">
        <f t="shared" ca="1" si="32"/>
        <v>29</v>
      </c>
      <c r="AF51" s="13">
        <f t="shared" ca="1" si="32"/>
        <v>29</v>
      </c>
      <c r="AG51" s="13">
        <f t="shared" ca="1" si="32"/>
        <v>22</v>
      </c>
      <c r="AI51" s="15">
        <f t="shared" si="24"/>
        <v>0.9791666666666673</v>
      </c>
      <c r="AJ51" s="7">
        <f t="shared" ca="1" si="29"/>
        <v>25.5</v>
      </c>
      <c r="AK51" s="7">
        <f t="shared" ca="1" si="25"/>
        <v>22.25</v>
      </c>
      <c r="AL51" s="7">
        <f t="shared" ca="1" si="25"/>
        <v>29.25</v>
      </c>
      <c r="AM51" s="7">
        <f t="shared" ca="1" si="26"/>
        <v>24</v>
      </c>
      <c r="AN51" s="7">
        <f t="shared" ca="1" si="26"/>
        <v>25</v>
      </c>
      <c r="AO51" s="7">
        <f t="shared" ca="1" si="26"/>
        <v>729.3125</v>
      </c>
      <c r="AP51" s="7">
        <f t="shared" ca="1" si="26"/>
        <v>735.6875</v>
      </c>
      <c r="AR51" s="17">
        <f t="shared" si="27"/>
        <v>0.9791666666666673</v>
      </c>
      <c r="AS51" s="8">
        <f t="shared" ca="1" si="10"/>
        <v>8.9020771513353119E-3</v>
      </c>
      <c r="AT51" s="8">
        <f t="shared" ca="1" si="10"/>
        <v>7.8090725629551636E-3</v>
      </c>
      <c r="AU51" s="8">
        <f t="shared" ca="1" si="10"/>
        <v>1.031109544372962E-2</v>
      </c>
      <c r="AV51" s="8">
        <f t="shared" ca="1" si="10"/>
        <v>8.3601846207437078E-3</v>
      </c>
      <c r="AW51" s="8">
        <f t="shared" ca="1" si="10"/>
        <v>1.1581446522670681E-2</v>
      </c>
      <c r="AX51" s="8">
        <f t="shared" ca="1" si="10"/>
        <v>0.20375414702287412</v>
      </c>
      <c r="AY51" s="8">
        <f t="shared" ca="1" si="10"/>
        <v>0.20607492997198879</v>
      </c>
      <c r="BA51" s="17">
        <f t="shared" si="28"/>
        <v>0.9791666666666673</v>
      </c>
      <c r="BB51" s="10">
        <f t="shared" ca="1" si="11"/>
        <v>12.301458084590616</v>
      </c>
      <c r="BC51" s="10">
        <f t="shared" ca="1" si="11"/>
        <v>10.733625191456518</v>
      </c>
      <c r="BD51" s="10">
        <f t="shared" ca="1" si="11"/>
        <v>14.110496038206882</v>
      </c>
      <c r="BE51" s="10">
        <f t="shared" ca="1" si="11"/>
        <v>11.577842903144107</v>
      </c>
      <c r="BF51" s="10">
        <f t="shared" ca="1" si="33"/>
        <v>12.060253024108446</v>
      </c>
      <c r="BG51" s="10">
        <f t="shared" ca="1" si="33"/>
        <v>351.82773134580367</v>
      </c>
      <c r="BH51" s="10">
        <f t="shared" ca="1" si="33"/>
        <v>354.90309586695128</v>
      </c>
    </row>
    <row r="52" spans="5:60" x14ac:dyDescent="0.3">
      <c r="E52" s="11">
        <f>E51+"00:30"</f>
        <v>0.9791666666666673</v>
      </c>
      <c r="F52" s="13">
        <f t="shared" ca="1" si="34"/>
        <v>24</v>
      </c>
      <c r="G52" s="13">
        <f t="shared" ca="1" si="34"/>
        <v>21</v>
      </c>
      <c r="H52" s="13">
        <f t="shared" ca="1" si="34"/>
        <v>21</v>
      </c>
      <c r="I52" s="13">
        <f t="shared" ca="1" si="34"/>
        <v>30</v>
      </c>
      <c r="J52" s="13">
        <f t="shared" ca="1" si="34"/>
        <v>29</v>
      </c>
      <c r="K52" s="13">
        <f t="shared" ca="1" si="34"/>
        <v>29</v>
      </c>
      <c r="L52" s="13">
        <f t="shared" ca="1" si="34"/>
        <v>23</v>
      </c>
      <c r="M52" s="13">
        <f t="shared" ca="1" si="34"/>
        <v>24</v>
      </c>
      <c r="N52" s="13">
        <f t="shared" ca="1" si="34"/>
        <v>23</v>
      </c>
      <c r="O52" s="13">
        <f t="shared" ca="1" si="34"/>
        <v>20</v>
      </c>
      <c r="P52" s="13">
        <f t="shared" ca="1" si="34"/>
        <v>21</v>
      </c>
      <c r="Q52" s="13">
        <f t="shared" ca="1" si="34"/>
        <v>29</v>
      </c>
      <c r="R52" s="13">
        <f t="shared" ca="1" si="34"/>
        <v>23</v>
      </c>
      <c r="S52" s="13">
        <f t="shared" ca="1" si="34"/>
        <v>23</v>
      </c>
      <c r="T52" s="13">
        <f t="shared" ca="1" si="31"/>
        <v>27</v>
      </c>
      <c r="U52" s="13">
        <f t="shared" ca="1" si="31"/>
        <v>27</v>
      </c>
      <c r="V52" s="13">
        <f t="shared" ca="1" si="31"/>
        <v>26</v>
      </c>
      <c r="W52" s="13">
        <f t="shared" ca="1" si="31"/>
        <v>23</v>
      </c>
      <c r="X52" s="13">
        <f t="shared" ca="1" si="31"/>
        <v>30</v>
      </c>
      <c r="Y52" s="13">
        <f t="shared" ca="1" si="31"/>
        <v>23</v>
      </c>
      <c r="Z52" s="13">
        <f t="shared" ca="1" si="31"/>
        <v>24</v>
      </c>
      <c r="AA52" s="13">
        <f t="shared" ca="1" si="32"/>
        <v>27</v>
      </c>
      <c r="AB52" s="13">
        <f t="shared" ca="1" si="32"/>
        <v>25</v>
      </c>
      <c r="AC52" s="13">
        <f t="shared" ca="1" si="32"/>
        <v>22</v>
      </c>
      <c r="AD52" s="13">
        <f t="shared" ca="1" si="32"/>
        <v>24</v>
      </c>
      <c r="AE52" s="13">
        <f t="shared" ca="1" si="32"/>
        <v>29</v>
      </c>
      <c r="AF52" s="13">
        <f t="shared" ca="1" si="32"/>
        <v>26</v>
      </c>
      <c r="AG52" s="13">
        <f t="shared" ca="1" si="32"/>
        <v>26</v>
      </c>
      <c r="AI52" s="2" t="s">
        <v>11</v>
      </c>
      <c r="AJ52" s="18">
        <f t="shared" ref="AJ52:AP52" ca="1" si="35">SUM(AJ4:AJ51)</f>
        <v>2864.5</v>
      </c>
      <c r="AK52" s="18">
        <f t="shared" ca="1" si="35"/>
        <v>2849.25</v>
      </c>
      <c r="AL52" s="18">
        <f t="shared" ca="1" si="35"/>
        <v>2836.75</v>
      </c>
      <c r="AM52" s="18">
        <f t="shared" ca="1" si="35"/>
        <v>2870.75</v>
      </c>
      <c r="AN52" s="18">
        <f t="shared" ca="1" si="35"/>
        <v>2158.625</v>
      </c>
      <c r="AO52" s="18">
        <f t="shared" ca="1" si="35"/>
        <v>3579.375</v>
      </c>
      <c r="AP52" s="18">
        <f t="shared" ca="1" si="35"/>
        <v>3570</v>
      </c>
      <c r="AR52" s="2" t="s">
        <v>11</v>
      </c>
      <c r="AS52" s="19">
        <f t="shared" ref="AS52:AY52" ca="1" si="36">SUM(AS4:AS51)</f>
        <v>1.0000000000000002</v>
      </c>
      <c r="AT52" s="19">
        <f t="shared" ca="1" si="36"/>
        <v>1</v>
      </c>
      <c r="AU52" s="19">
        <f t="shared" ca="1" si="36"/>
        <v>1</v>
      </c>
      <c r="AV52" s="19">
        <f t="shared" ca="1" si="36"/>
        <v>0.99999999999999989</v>
      </c>
      <c r="AW52" s="19">
        <f t="shared" ca="1" si="36"/>
        <v>0.99999999999999967</v>
      </c>
      <c r="AX52" s="19">
        <f t="shared" ca="1" si="36"/>
        <v>1.0000000000000002</v>
      </c>
      <c r="AY52" s="19">
        <f t="shared" ca="1" si="36"/>
        <v>1</v>
      </c>
      <c r="BA52" s="2" t="s">
        <v>11</v>
      </c>
      <c r="BB52" s="20">
        <f ca="1">SUM(BB4:BB51)</f>
        <v>1381.8637915023455</v>
      </c>
      <c r="BC52" s="20">
        <f t="shared" ref="BC52:BH52" ca="1" si="37">SUM(BC4:BC51)</f>
        <v>1374.5070371576396</v>
      </c>
      <c r="BD52" s="20">
        <f t="shared" ca="1" si="37"/>
        <v>1368.4769106455858</v>
      </c>
      <c r="BE52" s="20">
        <f t="shared" ca="1" si="37"/>
        <v>1384.8788547583729</v>
      </c>
      <c r="BF52" s="20">
        <f t="shared" ca="1" si="37"/>
        <v>1041.3425473666439</v>
      </c>
      <c r="BG52" s="20">
        <f t="shared" ca="1" si="37"/>
        <v>1726.7267267267266</v>
      </c>
      <c r="BH52" s="20">
        <f t="shared" ca="1" si="37"/>
        <v>1722.2041318426859</v>
      </c>
    </row>
    <row r="53" spans="5:60" x14ac:dyDescent="0.3">
      <c r="E53" s="21" t="s">
        <v>11</v>
      </c>
      <c r="F53" s="22">
        <f t="shared" ref="F53:AG53" ca="1" si="38">SUM(F5:F52)</f>
        <v>2897</v>
      </c>
      <c r="G53" s="22">
        <f t="shared" ca="1" si="38"/>
        <v>2857</v>
      </c>
      <c r="H53" s="22">
        <f t="shared" ca="1" si="38"/>
        <v>2820</v>
      </c>
      <c r="I53" s="22">
        <f t="shared" ca="1" si="38"/>
        <v>2802</v>
      </c>
      <c r="J53" s="22">
        <f t="shared" ca="1" si="38"/>
        <v>2878</v>
      </c>
      <c r="K53" s="22">
        <f t="shared" ca="1" si="38"/>
        <v>2899</v>
      </c>
      <c r="L53" s="22">
        <f t="shared" ca="1" si="38"/>
        <v>2769</v>
      </c>
      <c r="M53" s="22">
        <f t="shared" ca="1" si="38"/>
        <v>2822</v>
      </c>
      <c r="N53" s="22">
        <f t="shared" ca="1" si="38"/>
        <v>2876</v>
      </c>
      <c r="O53" s="22">
        <f t="shared" ca="1" si="38"/>
        <v>2902</v>
      </c>
      <c r="P53" s="22">
        <f t="shared" ca="1" si="38"/>
        <v>2798</v>
      </c>
      <c r="Q53" s="22">
        <f t="shared" ca="1" si="38"/>
        <v>2865</v>
      </c>
      <c r="R53" s="22">
        <f t="shared" ca="1" si="38"/>
        <v>2830</v>
      </c>
      <c r="S53" s="22">
        <f t="shared" ca="1" si="38"/>
        <v>2913</v>
      </c>
      <c r="T53" s="22">
        <f t="shared" ca="1" si="38"/>
        <v>2885</v>
      </c>
      <c r="U53" s="22">
        <f t="shared" ca="1" si="38"/>
        <v>2853</v>
      </c>
      <c r="V53" s="22">
        <f t="shared" ca="1" si="38"/>
        <v>2805</v>
      </c>
      <c r="W53" s="22">
        <f t="shared" ca="1" si="38"/>
        <v>2937</v>
      </c>
      <c r="X53" s="22">
        <f t="shared" ca="1" si="38"/>
        <v>2793</v>
      </c>
      <c r="Y53" s="22">
        <f t="shared" ca="1" si="38"/>
        <v>2869</v>
      </c>
      <c r="Z53" s="22">
        <f t="shared" ca="1" si="38"/>
        <v>2893</v>
      </c>
      <c r="AA53" s="22">
        <f t="shared" ca="1" si="38"/>
        <v>2854</v>
      </c>
      <c r="AB53" s="22">
        <f t="shared" ca="1" si="38"/>
        <v>2857</v>
      </c>
      <c r="AC53" s="22">
        <f t="shared" ca="1" si="38"/>
        <v>2870</v>
      </c>
      <c r="AD53" s="22">
        <f t="shared" ca="1" si="38"/>
        <v>2909</v>
      </c>
      <c r="AE53" s="22">
        <f t="shared" ca="1" si="38"/>
        <v>2811</v>
      </c>
      <c r="AF53" s="22">
        <f t="shared" ca="1" si="38"/>
        <v>2865</v>
      </c>
      <c r="AG53" s="22">
        <f t="shared" ca="1" si="38"/>
        <v>2908</v>
      </c>
      <c r="AI53" t="s">
        <v>12</v>
      </c>
      <c r="AJ53" s="23">
        <f ca="1">AJ52/SUM($AJ$52:$AP$52)</f>
        <v>0.13818637915023457</v>
      </c>
      <c r="AK53" s="23">
        <f t="shared" ref="AK53:AP53" ca="1" si="39">AK52/SUM($AJ$52:$AP$52)</f>
        <v>0.13745070371576396</v>
      </c>
      <c r="AL53" s="23">
        <f t="shared" ca="1" si="39"/>
        <v>0.13684769106455855</v>
      </c>
      <c r="AM53" s="23">
        <f t="shared" ca="1" si="39"/>
        <v>0.13848788547583729</v>
      </c>
      <c r="AN53" s="23">
        <f t="shared" ca="1" si="39"/>
        <v>0.10413425473666438</v>
      </c>
      <c r="AO53" s="23">
        <f t="shared" ca="1" si="39"/>
        <v>0.17267267267267267</v>
      </c>
      <c r="AP53" s="23">
        <f t="shared" ca="1" si="39"/>
        <v>0.17222041318426862</v>
      </c>
      <c r="AS53" s="23"/>
      <c r="AT53" s="23"/>
      <c r="AU53" s="23"/>
      <c r="AV53" s="23"/>
      <c r="AW53" s="23"/>
      <c r="AX53" s="23"/>
      <c r="AY53" s="23"/>
      <c r="BA53" s="2" t="s">
        <v>13</v>
      </c>
      <c r="BB53" s="19">
        <f ca="1">BB$52/SUM($BB$52:$BH$52)</f>
        <v>0.13818637915023455</v>
      </c>
      <c r="BC53" s="19">
        <f t="shared" ref="BC53:BH53" ca="1" si="40">BC$52/SUM($BB$52:$BH$52)</f>
        <v>0.13745070371576396</v>
      </c>
      <c r="BD53" s="19">
        <f t="shared" ca="1" si="40"/>
        <v>0.13684769106455857</v>
      </c>
      <c r="BE53" s="19">
        <f t="shared" ca="1" si="40"/>
        <v>0.13848788547583729</v>
      </c>
      <c r="BF53" s="19">
        <f t="shared" ca="1" si="40"/>
        <v>0.10413425473666439</v>
      </c>
      <c r="BG53" s="19">
        <f t="shared" ca="1" si="40"/>
        <v>0.17267267267267267</v>
      </c>
      <c r="BH53" s="19">
        <f t="shared" ca="1" si="40"/>
        <v>0.17222041318426859</v>
      </c>
    </row>
    <row r="54" spans="5:60" x14ac:dyDescent="0.3">
      <c r="E54" s="24"/>
    </row>
    <row r="55" spans="5:60" x14ac:dyDescent="0.3">
      <c r="E55" s="24"/>
    </row>
    <row r="56" spans="5:60" x14ac:dyDescent="0.3">
      <c r="E56" s="24"/>
    </row>
    <row r="57" spans="5:60" x14ac:dyDescent="0.3">
      <c r="E57" s="24"/>
      <c r="AR57" t="e">
        <f>AI57/AI$52</f>
        <v>#VALUE!</v>
      </c>
    </row>
    <row r="58" spans="5:60" x14ac:dyDescent="0.3">
      <c r="E58" s="24"/>
      <c r="AI58" s="2" t="s">
        <v>3</v>
      </c>
      <c r="AJ58" s="3" t="s">
        <v>4</v>
      </c>
      <c r="AK58" s="3" t="s">
        <v>5</v>
      </c>
      <c r="AL58" s="3" t="s">
        <v>6</v>
      </c>
      <c r="AM58" s="3" t="s">
        <v>7</v>
      </c>
      <c r="AN58" s="3" t="s">
        <v>8</v>
      </c>
      <c r="AO58" s="3" t="s">
        <v>9</v>
      </c>
      <c r="AP58" s="3" t="s">
        <v>10</v>
      </c>
    </row>
    <row r="59" spans="5:60" x14ac:dyDescent="0.3">
      <c r="E59" s="24"/>
      <c r="AI59" s="6">
        <v>0</v>
      </c>
      <c r="AJ59" s="8">
        <f t="shared" ref="AJ59:AP68" ca="1" si="41">AJ4/AJ$52</f>
        <v>8.7275266189561877E-3</v>
      </c>
      <c r="AK59" s="8">
        <f t="shared" ca="1" si="41"/>
        <v>8.774238834781083E-3</v>
      </c>
      <c r="AL59" s="8">
        <f t="shared" ca="1" si="41"/>
        <v>9.1654181722041067E-3</v>
      </c>
      <c r="AM59" s="8">
        <f t="shared" ca="1" si="41"/>
        <v>8.882696159540189E-3</v>
      </c>
      <c r="AN59" s="8">
        <f t="shared" ca="1" si="41"/>
        <v>8.6884976933619008E-3</v>
      </c>
      <c r="AO59" s="8">
        <f t="shared" ca="1" si="41"/>
        <v>7.438449449973808E-3</v>
      </c>
      <c r="AP59" s="8">
        <f t="shared" ca="1" si="41"/>
        <v>7.1428571428571426E-3</v>
      </c>
    </row>
    <row r="60" spans="5:60" x14ac:dyDescent="0.3">
      <c r="E60" s="24"/>
      <c r="AI60" s="6">
        <f>AI59+"00:30"</f>
        <v>2.0833333333333332E-2</v>
      </c>
      <c r="AJ60" s="8">
        <f t="shared" ca="1" si="41"/>
        <v>9.3384534822831215E-3</v>
      </c>
      <c r="AK60" s="8">
        <f t="shared" ca="1" si="41"/>
        <v>8.247784504694218E-3</v>
      </c>
      <c r="AL60" s="8">
        <f t="shared" ca="1" si="41"/>
        <v>8.6366440468846391E-3</v>
      </c>
      <c r="AM60" s="8">
        <f t="shared" ca="1" si="41"/>
        <v>9.0568666724723506E-3</v>
      </c>
      <c r="AN60" s="8">
        <f t="shared" ca="1" si="41"/>
        <v>9.0383538904009117E-3</v>
      </c>
      <c r="AO60" s="8">
        <f t="shared" ca="1" si="41"/>
        <v>7.1066876200453991E-3</v>
      </c>
      <c r="AP60" s="8">
        <f t="shared" ca="1" si="41"/>
        <v>7.0903361344537815E-3</v>
      </c>
    </row>
    <row r="61" spans="5:60" x14ac:dyDescent="0.3">
      <c r="E61" s="24"/>
      <c r="AI61" s="6">
        <f t="shared" ref="AI61:AI83" si="42">AI60+"00:30"</f>
        <v>4.1666666666666664E-2</v>
      </c>
      <c r="AJ61" s="8">
        <f t="shared" ca="1" si="41"/>
        <v>9.6002792808518068E-3</v>
      </c>
      <c r="AK61" s="8">
        <f t="shared" ca="1" si="41"/>
        <v>8.6864964464332724E-3</v>
      </c>
      <c r="AL61" s="8">
        <f t="shared" ca="1" si="41"/>
        <v>8.7247730677712174E-3</v>
      </c>
      <c r="AM61" s="8">
        <f t="shared" ca="1" si="41"/>
        <v>8.0989288513454664E-3</v>
      </c>
      <c r="AN61" s="8">
        <f t="shared" ca="1" si="41"/>
        <v>8.4616943656262659E-3</v>
      </c>
      <c r="AO61" s="8">
        <f t="shared" ca="1" si="41"/>
        <v>6.4257028112449802E-3</v>
      </c>
      <c r="AP61" s="8">
        <f t="shared" ca="1" si="41"/>
        <v>7.3179271708683474E-3</v>
      </c>
    </row>
    <row r="62" spans="5:60" x14ac:dyDescent="0.3">
      <c r="E62" s="24"/>
      <c r="AI62" s="6">
        <f t="shared" si="42"/>
        <v>6.25E-2</v>
      </c>
      <c r="AJ62" s="8">
        <f t="shared" ca="1" si="41"/>
        <v>8.6402513527666265E-3</v>
      </c>
      <c r="AK62" s="8">
        <f t="shared" ca="1" si="41"/>
        <v>9.1252083881723269E-3</v>
      </c>
      <c r="AL62" s="8">
        <f t="shared" ca="1" si="41"/>
        <v>7.4909667753591258E-3</v>
      </c>
      <c r="AM62" s="8">
        <f t="shared" ca="1" si="41"/>
        <v>8.186014107811548E-3</v>
      </c>
      <c r="AN62" s="8">
        <f t="shared" ca="1" si="41"/>
        <v>9.1589939583453968E-3</v>
      </c>
      <c r="AO62" s="8">
        <f t="shared" ca="1" si="41"/>
        <v>6.9844595774401956E-3</v>
      </c>
      <c r="AP62" s="8">
        <f t="shared" ca="1" si="41"/>
        <v>7.3179271708683474E-3</v>
      </c>
    </row>
    <row r="63" spans="5:60" x14ac:dyDescent="0.3">
      <c r="E63" s="24"/>
      <c r="AH63" s="25"/>
      <c r="AI63" s="6">
        <f t="shared" si="42"/>
        <v>8.3333333333333329E-2</v>
      </c>
      <c r="AJ63" s="8">
        <f t="shared" ca="1" si="41"/>
        <v>8.6402513527666265E-3</v>
      </c>
      <c r="AK63" s="8">
        <f t="shared" ca="1" si="41"/>
        <v>8.4232692813898391E-3</v>
      </c>
      <c r="AL63" s="8">
        <f t="shared" ca="1" si="41"/>
        <v>8.8129020886577956E-3</v>
      </c>
      <c r="AM63" s="8">
        <f t="shared" ca="1" si="41"/>
        <v>8.882696159540189E-3</v>
      </c>
      <c r="AN63" s="8">
        <f t="shared" ca="1" si="41"/>
        <v>8.9297778292508744E-3</v>
      </c>
      <c r="AO63" s="8">
        <f t="shared" ca="1" si="41"/>
        <v>7.8749781735638208E-3</v>
      </c>
      <c r="AP63" s="8">
        <f t="shared" ca="1" si="41"/>
        <v>6.6351540616246497E-3</v>
      </c>
    </row>
    <row r="64" spans="5:60" x14ac:dyDescent="0.3">
      <c r="AI64" s="6">
        <f t="shared" si="42"/>
        <v>0.10416666666666666</v>
      </c>
      <c r="AJ64" s="8">
        <f t="shared" ca="1" si="41"/>
        <v>9.6002792808518068E-3</v>
      </c>
      <c r="AK64" s="8">
        <f t="shared" ca="1" si="41"/>
        <v>8.6864964464332724E-3</v>
      </c>
      <c r="AL64" s="8">
        <f t="shared" ca="1" si="41"/>
        <v>1.0134837401956464E-2</v>
      </c>
      <c r="AM64" s="8">
        <f t="shared" ca="1" si="41"/>
        <v>8.9697814160062707E-3</v>
      </c>
      <c r="AN64" s="8">
        <f t="shared" ca="1" si="41"/>
        <v>9.5112629567432969E-3</v>
      </c>
      <c r="AO64" s="8">
        <f t="shared" ca="1" si="41"/>
        <v>7.246376811594203E-3</v>
      </c>
      <c r="AP64" s="8">
        <f t="shared" ca="1" si="41"/>
        <v>6.6176470588235293E-3</v>
      </c>
    </row>
    <row r="65" spans="35:42" x14ac:dyDescent="0.3">
      <c r="AI65" s="6">
        <f t="shared" si="42"/>
        <v>0.12499999999999999</v>
      </c>
      <c r="AJ65" s="8">
        <f t="shared" ca="1" si="41"/>
        <v>8.7275266189561877E-3</v>
      </c>
      <c r="AK65" s="8">
        <f t="shared" ca="1" si="41"/>
        <v>8.3355268930420286E-3</v>
      </c>
      <c r="AL65" s="8">
        <f t="shared" ca="1" si="41"/>
        <v>8.8129020886577956E-3</v>
      </c>
      <c r="AM65" s="8">
        <f t="shared" ca="1" si="41"/>
        <v>9.2310371854045104E-3</v>
      </c>
      <c r="AN65" s="8">
        <f t="shared" ca="1" si="41"/>
        <v>8.8187889667419462E-3</v>
      </c>
      <c r="AO65" s="8">
        <f t="shared" ca="1" si="41"/>
        <v>6.6003143006809848E-3</v>
      </c>
      <c r="AP65" s="8">
        <f t="shared" ca="1" si="41"/>
        <v>6.792717086834734E-3</v>
      </c>
    </row>
    <row r="66" spans="35:42" x14ac:dyDescent="0.3">
      <c r="AI66" s="6">
        <f t="shared" si="42"/>
        <v>0.14583333333333331</v>
      </c>
      <c r="AJ66" s="8">
        <f t="shared" ca="1" si="41"/>
        <v>7.9420492232501316E-3</v>
      </c>
      <c r="AK66" s="8">
        <f t="shared" ca="1" si="41"/>
        <v>7.8968149513029742E-3</v>
      </c>
      <c r="AL66" s="8">
        <f t="shared" ca="1" si="41"/>
        <v>8.4603860051114827E-3</v>
      </c>
      <c r="AM66" s="8">
        <f t="shared" ca="1" si="41"/>
        <v>8.3601846207437078E-3</v>
      </c>
      <c r="AN66" s="8">
        <f t="shared" ca="1" si="41"/>
        <v>8.2421294419673021E-3</v>
      </c>
      <c r="AO66" s="8">
        <f t="shared" ca="1" si="41"/>
        <v>7.6305220883534138E-3</v>
      </c>
      <c r="AP66" s="8">
        <f t="shared" ca="1" si="41"/>
        <v>7.5455182072829132E-3</v>
      </c>
    </row>
    <row r="67" spans="35:42" x14ac:dyDescent="0.3">
      <c r="AI67" s="6">
        <f t="shared" si="42"/>
        <v>0.16666666666666666</v>
      </c>
      <c r="AJ67" s="8">
        <f t="shared" ca="1" si="41"/>
        <v>9.6875545470413681E-3</v>
      </c>
      <c r="AK67" s="8">
        <f t="shared" ca="1" si="41"/>
        <v>8.8619812231288935E-3</v>
      </c>
      <c r="AL67" s="8">
        <f t="shared" ca="1" si="41"/>
        <v>8.4603860051114827E-3</v>
      </c>
      <c r="AM67" s="8">
        <f t="shared" ca="1" si="41"/>
        <v>8.9697814160062707E-3</v>
      </c>
      <c r="AN67" s="8">
        <f t="shared" ca="1" si="41"/>
        <v>8.939429034686433E-3</v>
      </c>
      <c r="AO67" s="8">
        <f t="shared" ca="1" si="41"/>
        <v>6.7050811943425879E-3</v>
      </c>
      <c r="AP67" s="8">
        <f t="shared" ca="1" si="41"/>
        <v>6.7752100840336137E-3</v>
      </c>
    </row>
    <row r="68" spans="35:42" x14ac:dyDescent="0.3">
      <c r="AI68" s="6">
        <f t="shared" si="42"/>
        <v>0.1875</v>
      </c>
      <c r="AJ68" s="8">
        <f t="shared" ca="1" si="41"/>
        <v>8.9893524175248731E-3</v>
      </c>
      <c r="AK68" s="8">
        <f t="shared" ca="1" si="41"/>
        <v>8.4232692813898391E-3</v>
      </c>
      <c r="AL68" s="8">
        <f t="shared" ca="1" si="41"/>
        <v>9.4298052348638414E-3</v>
      </c>
      <c r="AM68" s="8">
        <f t="shared" ca="1" si="41"/>
        <v>7.5764173125489852E-3</v>
      </c>
      <c r="AN68" s="8">
        <f t="shared" ca="1" si="41"/>
        <v>8.8260273708186138E-3</v>
      </c>
      <c r="AO68" s="8">
        <f t="shared" ca="1" si="41"/>
        <v>6.4431639601885806E-3</v>
      </c>
      <c r="AP68" s="8">
        <f t="shared" ca="1" si="41"/>
        <v>6.9852941176470592E-3</v>
      </c>
    </row>
    <row r="69" spans="35:42" x14ac:dyDescent="0.3">
      <c r="AI69" s="6">
        <f t="shared" si="42"/>
        <v>0.20833333333333334</v>
      </c>
      <c r="AJ69" s="8">
        <f t="shared" ref="AJ69:AP78" ca="1" si="43">AJ14/AJ$52</f>
        <v>8.7275266189561877E-3</v>
      </c>
      <c r="AK69" s="8">
        <f t="shared" ca="1" si="43"/>
        <v>8.8619812231288935E-3</v>
      </c>
      <c r="AL69" s="8">
        <f t="shared" ca="1" si="43"/>
        <v>9.3416762139772631E-3</v>
      </c>
      <c r="AM69" s="8">
        <f t="shared" ca="1" si="43"/>
        <v>8.9697814160062707E-3</v>
      </c>
      <c r="AN69" s="8">
        <f t="shared" ca="1" si="43"/>
        <v>7.6702955199104373E-3</v>
      </c>
      <c r="AO69" s="8">
        <f t="shared" ca="1" si="43"/>
        <v>6.6876200453989875E-3</v>
      </c>
      <c r="AP69" s="8">
        <f t="shared" ca="1" si="43"/>
        <v>6.8452380952380952E-3</v>
      </c>
    </row>
    <row r="70" spans="35:42" x14ac:dyDescent="0.3">
      <c r="AI70" s="6">
        <f t="shared" si="42"/>
        <v>0.22916666666666669</v>
      </c>
      <c r="AJ70" s="8">
        <f t="shared" ca="1" si="43"/>
        <v>9.6875545470413681E-3</v>
      </c>
      <c r="AK70" s="8">
        <f t="shared" ca="1" si="43"/>
        <v>8.3355268930420286E-3</v>
      </c>
      <c r="AL70" s="8">
        <f t="shared" ca="1" si="43"/>
        <v>8.8129020886577956E-3</v>
      </c>
      <c r="AM70" s="8">
        <f t="shared" ca="1" si="43"/>
        <v>9.3181224418705921E-3</v>
      </c>
      <c r="AN70" s="8">
        <f t="shared" ca="1" si="43"/>
        <v>9.409925299669929E-3</v>
      </c>
      <c r="AO70" s="8">
        <f t="shared" ca="1" si="43"/>
        <v>6.9844595774401956E-3</v>
      </c>
      <c r="AP70" s="8">
        <f t="shared" ca="1" si="43"/>
        <v>7.160364145658263E-3</v>
      </c>
    </row>
    <row r="71" spans="35:42" x14ac:dyDescent="0.3">
      <c r="AI71" s="6">
        <f t="shared" si="42"/>
        <v>0.25</v>
      </c>
      <c r="AJ71" s="8">
        <f t="shared" ca="1" si="43"/>
        <v>9.2511782160935585E-3</v>
      </c>
      <c r="AK71" s="8">
        <f t="shared" ca="1" si="43"/>
        <v>8.4232692813898391E-3</v>
      </c>
      <c r="AL71" s="8">
        <f t="shared" ca="1" si="43"/>
        <v>9.8704503392967307E-3</v>
      </c>
      <c r="AM71" s="8">
        <f t="shared" ca="1" si="43"/>
        <v>8.7956109030741091E-3</v>
      </c>
      <c r="AN71" s="8">
        <f t="shared" ca="1" si="43"/>
        <v>8.1383789835350433E-3</v>
      </c>
      <c r="AO71" s="8">
        <f t="shared" ca="1" si="43"/>
        <v>6.3209359175833771E-3</v>
      </c>
      <c r="AP71" s="8">
        <f t="shared" ca="1" si="43"/>
        <v>6.512605042016807E-3</v>
      </c>
    </row>
    <row r="72" spans="35:42" x14ac:dyDescent="0.3">
      <c r="AI72" s="6">
        <f t="shared" si="42"/>
        <v>0.27083333333333331</v>
      </c>
      <c r="AJ72" s="8">
        <f t="shared" ca="1" si="43"/>
        <v>8.8148018851457489E-3</v>
      </c>
      <c r="AK72" s="8">
        <f t="shared" ca="1" si="43"/>
        <v>9.3006931648679479E-3</v>
      </c>
      <c r="AL72" s="8">
        <f t="shared" ca="1" si="43"/>
        <v>7.8434828589054369E-3</v>
      </c>
      <c r="AM72" s="8">
        <f t="shared" ca="1" si="43"/>
        <v>8.3601846207437078E-3</v>
      </c>
      <c r="AN72" s="8">
        <f t="shared" ca="1" si="43"/>
        <v>8.7198641110274675E-3</v>
      </c>
      <c r="AO72" s="8">
        <f t="shared" ca="1" si="43"/>
        <v>7.1416099179325999E-3</v>
      </c>
      <c r="AP72" s="8">
        <f t="shared" ca="1" si="43"/>
        <v>6.7577030812324933E-3</v>
      </c>
    </row>
    <row r="73" spans="35:42" x14ac:dyDescent="0.3">
      <c r="AI73" s="6">
        <f t="shared" si="42"/>
        <v>0.29166666666666663</v>
      </c>
      <c r="AJ73" s="8">
        <f t="shared" ca="1" si="43"/>
        <v>8.0293244894396928E-3</v>
      </c>
      <c r="AK73" s="8">
        <f t="shared" ca="1" si="43"/>
        <v>9.2129507765201374E-3</v>
      </c>
      <c r="AL73" s="8">
        <f t="shared" ca="1" si="43"/>
        <v>8.7247730677712174E-3</v>
      </c>
      <c r="AM73" s="8">
        <f t="shared" ca="1" si="43"/>
        <v>8.5343551336758694E-3</v>
      </c>
      <c r="AN73" s="8">
        <f t="shared" ca="1" si="43"/>
        <v>8.3748335167062368E-3</v>
      </c>
      <c r="AO73" s="8">
        <f t="shared" ca="1" si="43"/>
        <v>7.0717653221581984E-3</v>
      </c>
      <c r="AP73" s="8">
        <f t="shared" ca="1" si="43"/>
        <v>7.0553221288515407E-3</v>
      </c>
    </row>
    <row r="74" spans="35:42" x14ac:dyDescent="0.3">
      <c r="AI74" s="6">
        <f t="shared" si="42"/>
        <v>0.31249999999999994</v>
      </c>
      <c r="AJ74" s="8">
        <f t="shared" ca="1" si="43"/>
        <v>9.2511782160935585E-3</v>
      </c>
      <c r="AK74" s="8">
        <f t="shared" ca="1" si="43"/>
        <v>9.5639203299113795E-3</v>
      </c>
      <c r="AL74" s="8">
        <f t="shared" ca="1" si="43"/>
        <v>9.4298052348638414E-3</v>
      </c>
      <c r="AM74" s="8">
        <f t="shared" ca="1" si="43"/>
        <v>8.9697814160062707E-3</v>
      </c>
      <c r="AN74" s="8">
        <f t="shared" ca="1" si="43"/>
        <v>8.7246897137452459E-3</v>
      </c>
      <c r="AO74" s="8">
        <f t="shared" ca="1" si="43"/>
        <v>7.438449449973808E-3</v>
      </c>
      <c r="AP74" s="8">
        <f t="shared" ca="1" si="43"/>
        <v>6.9502801120448175E-3</v>
      </c>
    </row>
    <row r="75" spans="35:42" x14ac:dyDescent="0.3">
      <c r="AI75" s="6">
        <f t="shared" si="42"/>
        <v>0.33333333333333326</v>
      </c>
      <c r="AJ75" s="8">
        <f t="shared" ca="1" si="43"/>
        <v>7.7674986908710074E-3</v>
      </c>
      <c r="AK75" s="8">
        <f t="shared" ca="1" si="43"/>
        <v>8.949723611476704E-3</v>
      </c>
      <c r="AL75" s="8">
        <f t="shared" ca="1" si="43"/>
        <v>9.7823213184101525E-3</v>
      </c>
      <c r="AM75" s="8">
        <f t="shared" ca="1" si="43"/>
        <v>7.7505878254811459E-3</v>
      </c>
      <c r="AN75" s="8">
        <f t="shared" ca="1" si="43"/>
        <v>9.4219893064643786E-3</v>
      </c>
      <c r="AO75" s="8">
        <f t="shared" ca="1" si="43"/>
        <v>6.8273092369477914E-3</v>
      </c>
      <c r="AP75" s="8">
        <f t="shared" ca="1" si="43"/>
        <v>7.1078431372549019E-3</v>
      </c>
    </row>
    <row r="76" spans="35:42" x14ac:dyDescent="0.3">
      <c r="AI76" s="6">
        <f t="shared" si="42"/>
        <v>0.35416666666666657</v>
      </c>
      <c r="AJ76" s="8">
        <f t="shared" ca="1" si="43"/>
        <v>8.9893524175248731E-3</v>
      </c>
      <c r="AK76" s="8">
        <f t="shared" ca="1" si="43"/>
        <v>7.9845573396507847E-3</v>
      </c>
      <c r="AL76" s="8">
        <f t="shared" ca="1" si="43"/>
        <v>8.5485150259980609E-3</v>
      </c>
      <c r="AM76" s="8">
        <f t="shared" ca="1" si="43"/>
        <v>8.186014107811548E-3</v>
      </c>
      <c r="AN76" s="8">
        <f t="shared" ca="1" si="43"/>
        <v>9.0769587121431461E-3</v>
      </c>
      <c r="AO76" s="8">
        <f t="shared" ca="1" si="43"/>
        <v>7.2638379605378034E-3</v>
      </c>
      <c r="AP76" s="8">
        <f t="shared" ca="1" si="43"/>
        <v>7.2303921568627454E-3</v>
      </c>
    </row>
    <row r="77" spans="35:42" x14ac:dyDescent="0.3">
      <c r="AI77" s="6">
        <f t="shared" si="42"/>
        <v>0.37499999999999989</v>
      </c>
      <c r="AJ77" s="8">
        <f t="shared" ca="1" si="43"/>
        <v>8.7275266189561877E-3</v>
      </c>
      <c r="AK77" s="8">
        <f t="shared" ca="1" si="43"/>
        <v>9.1252083881723269E-3</v>
      </c>
      <c r="AL77" s="8">
        <f t="shared" ca="1" si="43"/>
        <v>8.5485150259980609E-3</v>
      </c>
      <c r="AM77" s="8">
        <f t="shared" ca="1" si="43"/>
        <v>8.0989288513454664E-3</v>
      </c>
      <c r="AN77" s="8">
        <f t="shared" ca="1" si="43"/>
        <v>8.152855791688382E-3</v>
      </c>
      <c r="AO77" s="8">
        <f t="shared" ca="1" si="43"/>
        <v>1.253710494150515E-2</v>
      </c>
      <c r="AP77" s="8">
        <f t="shared" ca="1" si="43"/>
        <v>1.3112745098039216E-2</v>
      </c>
    </row>
    <row r="78" spans="35:42" x14ac:dyDescent="0.3">
      <c r="AI78" s="6">
        <f t="shared" si="42"/>
        <v>0.3958333333333332</v>
      </c>
      <c r="AJ78" s="8">
        <f t="shared" ca="1" si="43"/>
        <v>3.3251876418223074E-2</v>
      </c>
      <c r="AK78" s="8">
        <f t="shared" ca="1" si="43"/>
        <v>3.5272440115819953E-2</v>
      </c>
      <c r="AL78" s="8">
        <f t="shared" ca="1" si="43"/>
        <v>3.472283422931171E-2</v>
      </c>
      <c r="AM78" s="8">
        <f t="shared" ca="1" si="43"/>
        <v>3.9449621179134371E-2</v>
      </c>
      <c r="AN78" s="8">
        <f t="shared" ca="1" si="43"/>
        <v>3.5487482386550084E-2</v>
      </c>
      <c r="AO78" s="8">
        <f t="shared" ca="1" si="43"/>
        <v>2.9509341714684827E-2</v>
      </c>
      <c r="AP78" s="8">
        <f t="shared" ca="1" si="43"/>
        <v>2.582282913165266E-2</v>
      </c>
    </row>
    <row r="79" spans="35:42" x14ac:dyDescent="0.3">
      <c r="AI79" s="6">
        <f t="shared" si="42"/>
        <v>0.41666666666666652</v>
      </c>
      <c r="AJ79" s="8">
        <f t="shared" ref="AJ79:AP83" ca="1" si="44">AJ24/AJ$52</f>
        <v>3.674288706580555E-2</v>
      </c>
      <c r="AK79" s="8">
        <f t="shared" ca="1" si="44"/>
        <v>3.4570501009037469E-2</v>
      </c>
      <c r="AL79" s="8">
        <f t="shared" ca="1" si="44"/>
        <v>3.3577156957786201E-2</v>
      </c>
      <c r="AM79" s="8">
        <f t="shared" ca="1" si="44"/>
        <v>3.4050335278237392E-2</v>
      </c>
      <c r="AN79" s="8">
        <f t="shared" ca="1" si="44"/>
        <v>4.023828826220395E-2</v>
      </c>
      <c r="AO79" s="8">
        <f t="shared" ca="1" si="44"/>
        <v>2.9998253885105641E-2</v>
      </c>
      <c r="AP79" s="8">
        <f t="shared" ca="1" si="44"/>
        <v>2.8151260504201681E-2</v>
      </c>
    </row>
    <row r="80" spans="35:42" x14ac:dyDescent="0.3">
      <c r="AI80" s="6">
        <f t="shared" si="42"/>
        <v>0.43749999999999983</v>
      </c>
      <c r="AJ80" s="8">
        <f t="shared" ca="1" si="44"/>
        <v>3.3688252749170887E-2</v>
      </c>
      <c r="AK80" s="8">
        <f t="shared" ca="1" si="44"/>
        <v>3.8782135649732388E-2</v>
      </c>
      <c r="AL80" s="8">
        <f t="shared" ca="1" si="44"/>
        <v>3.428218912487882E-2</v>
      </c>
      <c r="AM80" s="8">
        <f t="shared" ca="1" si="44"/>
        <v>3.3440738482974831E-2</v>
      </c>
      <c r="AN80" s="8">
        <f t="shared" ca="1" si="44"/>
        <v>3.4449977802227499E-2</v>
      </c>
      <c r="AO80" s="8">
        <f t="shared" ca="1" si="44"/>
        <v>3.0260171119259646E-2</v>
      </c>
      <c r="AP80" s="8">
        <f t="shared" ca="1" si="44"/>
        <v>2.7503501400560224E-2</v>
      </c>
    </row>
    <row r="81" spans="35:42" x14ac:dyDescent="0.3">
      <c r="AI81" s="6">
        <f t="shared" si="42"/>
        <v>0.45833333333333315</v>
      </c>
      <c r="AJ81" s="8">
        <f t="shared" ca="1" si="44"/>
        <v>3.8313841857217666E-2</v>
      </c>
      <c r="AK81" s="8">
        <f t="shared" ca="1" si="44"/>
        <v>3.5184697727472139E-2</v>
      </c>
      <c r="AL81" s="8">
        <f t="shared" ca="1" si="44"/>
        <v>3.5692253459064072E-2</v>
      </c>
      <c r="AM81" s="8">
        <f t="shared" ca="1" si="44"/>
        <v>3.0915266045458505E-2</v>
      </c>
      <c r="AN81" s="8">
        <f t="shared" ca="1" si="44"/>
        <v>3.6305422047213702E-2</v>
      </c>
      <c r="AO81" s="8">
        <f t="shared" ca="1" si="44"/>
        <v>2.9264885629474418E-2</v>
      </c>
      <c r="AP81" s="8">
        <f t="shared" ca="1" si="44"/>
        <v>2.8816526610644259E-2</v>
      </c>
    </row>
    <row r="82" spans="35:42" x14ac:dyDescent="0.3">
      <c r="AI82" s="6">
        <f t="shared" si="42"/>
        <v>0.47916666666666646</v>
      </c>
      <c r="AJ82" s="8">
        <f t="shared" ca="1" si="44"/>
        <v>3.2815500087275268E-2</v>
      </c>
      <c r="AK82" s="8">
        <f t="shared" ca="1" si="44"/>
        <v>3.6500833552689307E-2</v>
      </c>
      <c r="AL82" s="8">
        <f t="shared" ca="1" si="44"/>
        <v>3.234335066537411E-2</v>
      </c>
      <c r="AM82" s="8">
        <f t="shared" ca="1" si="44"/>
        <v>3.8143342332143171E-2</v>
      </c>
      <c r="AN82" s="8">
        <f t="shared" ca="1" si="44"/>
        <v>3.2717586426544674E-2</v>
      </c>
      <c r="AO82" s="8">
        <f t="shared" ca="1" si="44"/>
        <v>2.673301903265235E-2</v>
      </c>
      <c r="AP82" s="8">
        <f t="shared" ca="1" si="44"/>
        <v>2.7678571428571427E-2</v>
      </c>
    </row>
    <row r="83" spans="35:42" x14ac:dyDescent="0.3">
      <c r="AI83" s="6">
        <f t="shared" si="42"/>
        <v>0.49999999999999978</v>
      </c>
      <c r="AJ83" s="8">
        <f t="shared" ca="1" si="44"/>
        <v>3.3339151684412635E-2</v>
      </c>
      <c r="AK83" s="8">
        <f t="shared" ca="1" si="44"/>
        <v>3.536018250416776E-2</v>
      </c>
      <c r="AL83" s="8">
        <f t="shared" ca="1" si="44"/>
        <v>3.6309156605270114E-2</v>
      </c>
      <c r="AM83" s="8">
        <f t="shared" ca="1" si="44"/>
        <v>3.4572846817033875E-2</v>
      </c>
      <c r="AN83" s="8">
        <f t="shared" ca="1" si="44"/>
        <v>3.3414886019263804E-2</v>
      </c>
      <c r="AO83" s="8">
        <f t="shared" ca="1" si="44"/>
        <v>2.8007682905535184E-2</v>
      </c>
      <c r="AP83" s="8">
        <f t="shared" ca="1" si="44"/>
        <v>2.9114145658263306E-2</v>
      </c>
    </row>
    <row r="84" spans="35:42" x14ac:dyDescent="0.3">
      <c r="AI84" s="2" t="s">
        <v>11</v>
      </c>
      <c r="AJ84" s="19">
        <f ca="1">SUM(AJ59:AJ83)</f>
        <v>0.377290975737476</v>
      </c>
      <c r="AK84" s="19">
        <f t="shared" ref="AK84:AP84" ca="1" si="45">SUM(AK59:AK83)</f>
        <v>0.38088970781784681</v>
      </c>
      <c r="AL84" s="19">
        <f t="shared" ca="1" si="45"/>
        <v>0.37595840310214157</v>
      </c>
      <c r="AM84" s="19">
        <f t="shared" ca="1" si="45"/>
        <v>0.37376992075241666</v>
      </c>
      <c r="AN84" s="19">
        <f t="shared" ca="1" si="45"/>
        <v>0.37891838940683692</v>
      </c>
      <c r="AO84" s="19">
        <f t="shared" ca="1" si="45"/>
        <v>0.31250218264361795</v>
      </c>
      <c r="AP84" s="19">
        <f t="shared" ca="1" si="45"/>
        <v>0.30603991596638663</v>
      </c>
    </row>
    <row r="85" spans="35:42" x14ac:dyDescent="0.3">
      <c r="AI85" t="s">
        <v>12</v>
      </c>
      <c r="AJ85" s="23">
        <f ca="1">AJ84/SUM($AJ$52:$AP$52)</f>
        <v>1.8200898524426885E-5</v>
      </c>
      <c r="AK85" s="23">
        <f t="shared" ref="AK85:AP85" ca="1" si="46">AK84/SUM($AJ$52:$AP$52)</f>
        <v>1.8374505002247878E-5</v>
      </c>
      <c r="AL85" s="23">
        <f t="shared" ca="1" si="46"/>
        <v>1.8136613871806341E-5</v>
      </c>
      <c r="AM85" s="23">
        <f t="shared" ca="1" si="46"/>
        <v>1.8031039268300428E-5</v>
      </c>
      <c r="AN85" s="23">
        <f t="shared" ca="1" si="46"/>
        <v>1.8279406606936427E-5</v>
      </c>
      <c r="AO85" s="23">
        <f t="shared" ca="1" si="46"/>
        <v>1.5075421573072733E-5</v>
      </c>
      <c r="AP85" s="23">
        <f t="shared" ca="1" si="46"/>
        <v>1.4763675288126037E-5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E912-1AD4-4E06-8E15-8CD05BF3E627}">
  <sheetPr codeName="Sheet2"/>
  <dimension ref="A2:BH85"/>
  <sheetViews>
    <sheetView showGridLines="0" topLeftCell="Z1" workbookViewId="0">
      <selection activeCell="AJ4" sqref="AJ4"/>
    </sheetView>
  </sheetViews>
  <sheetFormatPr defaultRowHeight="14.4" x14ac:dyDescent="0.3"/>
  <cols>
    <col min="5" max="21" width="9.33203125" bestFit="1" customWidth="1"/>
    <col min="22" max="29" width="8.33203125" bestFit="1" customWidth="1"/>
    <col min="30" max="33" width="9.33203125" bestFit="1" customWidth="1"/>
  </cols>
  <sheetData>
    <row r="2" spans="1:60" x14ac:dyDescent="0.3">
      <c r="AI2" t="s">
        <v>0</v>
      </c>
      <c r="AR2" t="s">
        <v>1</v>
      </c>
      <c r="BA2" t="s">
        <v>2</v>
      </c>
    </row>
    <row r="3" spans="1:60" x14ac:dyDescent="0.3">
      <c r="F3" s="1">
        <v>46038</v>
      </c>
      <c r="G3" s="1">
        <v>46039</v>
      </c>
      <c r="H3" s="1">
        <v>46040</v>
      </c>
      <c r="I3" s="1">
        <v>46041</v>
      </c>
      <c r="J3" s="1">
        <v>46042</v>
      </c>
      <c r="K3" s="1">
        <v>46043</v>
      </c>
      <c r="L3" s="1">
        <v>46044</v>
      </c>
      <c r="M3" s="1">
        <v>46045</v>
      </c>
      <c r="N3" s="1">
        <v>46046</v>
      </c>
      <c r="O3" s="1">
        <v>46047</v>
      </c>
      <c r="P3" s="1">
        <v>46048</v>
      </c>
      <c r="Q3" s="1">
        <v>46049</v>
      </c>
      <c r="R3" s="1">
        <v>46050</v>
      </c>
      <c r="S3" s="1">
        <v>46051</v>
      </c>
      <c r="T3" s="1">
        <v>46052</v>
      </c>
      <c r="U3" s="1">
        <v>46053</v>
      </c>
      <c r="V3" s="1">
        <v>46054</v>
      </c>
      <c r="W3" s="1">
        <v>46055</v>
      </c>
      <c r="X3" s="1">
        <v>46056</v>
      </c>
      <c r="Y3" s="1">
        <v>46057</v>
      </c>
      <c r="Z3" s="1">
        <v>46058</v>
      </c>
      <c r="AA3" s="1">
        <v>46059</v>
      </c>
      <c r="AB3" s="1">
        <v>46060</v>
      </c>
      <c r="AC3" s="1">
        <v>46061</v>
      </c>
      <c r="AD3" s="1">
        <v>46062</v>
      </c>
      <c r="AE3" s="1">
        <v>46063</v>
      </c>
      <c r="AF3" s="1">
        <v>46064</v>
      </c>
      <c r="AG3" s="1">
        <v>46065</v>
      </c>
      <c r="AI3" s="2" t="s">
        <v>3</v>
      </c>
      <c r="AJ3" s="3" t="s">
        <v>4</v>
      </c>
      <c r="AK3" s="3" t="s">
        <v>5</v>
      </c>
      <c r="AL3" s="3" t="s">
        <v>6</v>
      </c>
      <c r="AM3" s="3" t="s">
        <v>7</v>
      </c>
      <c r="AN3" s="3" t="s">
        <v>8</v>
      </c>
      <c r="AO3" s="3" t="s">
        <v>9</v>
      </c>
      <c r="AP3" s="3" t="s">
        <v>10</v>
      </c>
      <c r="AR3" s="2" t="s">
        <v>3</v>
      </c>
      <c r="AS3" s="3" t="s">
        <v>4</v>
      </c>
      <c r="AT3" s="3" t="s">
        <v>5</v>
      </c>
      <c r="AU3" s="3" t="s">
        <v>6</v>
      </c>
      <c r="AV3" s="3" t="s">
        <v>7</v>
      </c>
      <c r="AW3" s="3" t="s">
        <v>8</v>
      </c>
      <c r="AX3" s="3" t="s">
        <v>9</v>
      </c>
      <c r="AY3" s="3" t="s">
        <v>10</v>
      </c>
      <c r="BA3" s="2" t="s">
        <v>3</v>
      </c>
      <c r="BB3" s="3" t="s">
        <v>4</v>
      </c>
      <c r="BC3" s="3" t="s">
        <v>5</v>
      </c>
      <c r="BD3" s="3" t="s">
        <v>6</v>
      </c>
      <c r="BE3" s="3" t="s">
        <v>7</v>
      </c>
      <c r="BF3" s="3" t="s">
        <v>8</v>
      </c>
      <c r="BG3" s="3" t="s">
        <v>9</v>
      </c>
      <c r="BH3" s="3" t="s">
        <v>10</v>
      </c>
    </row>
    <row r="4" spans="1:60" x14ac:dyDescent="0.3">
      <c r="A4">
        <f ca="1">RANDBETWEEN(10,20)</f>
        <v>19</v>
      </c>
      <c r="B4" s="4">
        <f t="shared" ref="B4:B24" ca="1" si="0">A4/SUM($A$4:$A$19)</f>
        <v>7.8189300411522639E-2</v>
      </c>
      <c r="C4">
        <f ca="1">1000*B4</f>
        <v>78.189300411522638</v>
      </c>
      <c r="E4" s="5" t="s">
        <v>3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 t="s">
        <v>9</v>
      </c>
      <c r="L4" s="3" t="s">
        <v>10</v>
      </c>
      <c r="M4" s="3" t="s">
        <v>4</v>
      </c>
      <c r="N4" s="3" t="s">
        <v>5</v>
      </c>
      <c r="O4" s="3" t="s">
        <v>6</v>
      </c>
      <c r="P4" s="3" t="s">
        <v>7</v>
      </c>
      <c r="Q4" s="3" t="s">
        <v>8</v>
      </c>
      <c r="R4" s="3" t="s">
        <v>9</v>
      </c>
      <c r="S4" s="3" t="s">
        <v>10</v>
      </c>
      <c r="T4" s="3" t="s">
        <v>4</v>
      </c>
      <c r="U4" s="3" t="s">
        <v>5</v>
      </c>
      <c r="V4" s="3" t="s">
        <v>6</v>
      </c>
      <c r="W4" s="3" t="s">
        <v>7</v>
      </c>
      <c r="X4" s="3" t="s">
        <v>8</v>
      </c>
      <c r="Y4" s="3" t="s">
        <v>9</v>
      </c>
      <c r="Z4" s="3" t="s">
        <v>10</v>
      </c>
      <c r="AA4" s="3" t="s">
        <v>4</v>
      </c>
      <c r="AB4" s="3" t="s">
        <v>5</v>
      </c>
      <c r="AC4" s="3" t="s">
        <v>6</v>
      </c>
      <c r="AD4" s="3" t="s">
        <v>7</v>
      </c>
      <c r="AE4" s="3" t="s">
        <v>8</v>
      </c>
      <c r="AF4" s="3" t="s">
        <v>9</v>
      </c>
      <c r="AG4" s="3" t="s">
        <v>10</v>
      </c>
      <c r="AI4" s="6">
        <v>0</v>
      </c>
      <c r="AJ4" s="7">
        <f>AVERAGEIF($F$4:$AG$4,AJ$3,F5:AG5)</f>
        <v>25</v>
      </c>
      <c r="AK4" s="7">
        <f>AVERAGEIF($F$4:$AG$4,AK$3,G5:AH5)</f>
        <v>26.5</v>
      </c>
      <c r="AL4" s="7">
        <f t="shared" ref="AK4:AP19" si="1">AVERAGEIF($F$4:$AG$4,AL$3,H5:AI5)</f>
        <v>25</v>
      </c>
      <c r="AM4" s="7">
        <f t="shared" si="1"/>
        <v>24.75</v>
      </c>
      <c r="AN4" s="7">
        <f t="shared" si="1"/>
        <v>19.505208333333332</v>
      </c>
      <c r="AO4" s="7">
        <f t="shared" si="1"/>
        <v>25.1875</v>
      </c>
      <c r="AP4" s="7">
        <f t="shared" si="1"/>
        <v>24.625</v>
      </c>
      <c r="AR4" s="6">
        <v>0</v>
      </c>
      <c r="AS4" s="8">
        <f>AJ4/AJ$52</f>
        <v>8.9645898700134469E-3</v>
      </c>
      <c r="AT4" s="8">
        <f t="shared" ref="AT4:AY19" si="2">AK4/AK$52</f>
        <v>9.4922539625682811E-3</v>
      </c>
      <c r="AU4" s="8">
        <f t="shared" si="2"/>
        <v>8.6828167057393414E-3</v>
      </c>
      <c r="AV4" s="8">
        <f t="shared" si="2"/>
        <v>8.6811645036829182E-3</v>
      </c>
      <c r="AW4" s="8">
        <f t="shared" si="2"/>
        <v>9.0593733671356421E-3</v>
      </c>
      <c r="AX4" s="8">
        <f t="shared" si="2"/>
        <v>7.1403260099220413E-3</v>
      </c>
      <c r="AY4" s="8">
        <f t="shared" si="2"/>
        <v>6.9394296986455785E-3</v>
      </c>
      <c r="BA4" s="6">
        <v>0</v>
      </c>
      <c r="BB4" s="9">
        <f>10000*AS4*AJ$53</f>
        <v>12.171459347832922</v>
      </c>
      <c r="BC4" s="10">
        <f t="shared" ref="BC4:BH46" si="3">10000*AT4*AK$53</f>
        <v>12.901746908702899</v>
      </c>
      <c r="BD4" s="10">
        <f t="shared" si="3"/>
        <v>12.171459347832924</v>
      </c>
      <c r="BE4" s="10">
        <f t="shared" si="3"/>
        <v>12.049744754354593</v>
      </c>
      <c r="BF4" s="10">
        <f t="shared" si="3"/>
        <v>9.4962740120071452</v>
      </c>
      <c r="BG4" s="10">
        <f t="shared" si="3"/>
        <v>12.262745292941672</v>
      </c>
      <c r="BH4" s="10">
        <f t="shared" si="3"/>
        <v>11.98888745761543</v>
      </c>
    </row>
    <row r="5" spans="1:60" x14ac:dyDescent="0.3">
      <c r="A5">
        <f t="shared" ref="A5:A24" ca="1" si="4">RANDBETWEEN(10,20)</f>
        <v>11</v>
      </c>
      <c r="B5" s="4">
        <f t="shared" ca="1" si="0"/>
        <v>4.5267489711934158E-2</v>
      </c>
      <c r="C5">
        <f t="shared" ref="C5:C24" ca="1" si="5">1000*B5</f>
        <v>45.267489711934161</v>
      </c>
      <c r="E5" s="11">
        <v>0</v>
      </c>
      <c r="F5" s="12">
        <v>25</v>
      </c>
      <c r="G5" s="12">
        <v>27</v>
      </c>
      <c r="H5" s="12">
        <v>27</v>
      </c>
      <c r="I5" s="12">
        <v>23</v>
      </c>
      <c r="J5" s="12">
        <v>29</v>
      </c>
      <c r="K5" s="12">
        <v>29</v>
      </c>
      <c r="L5" s="12">
        <v>28</v>
      </c>
      <c r="M5" s="12">
        <v>25</v>
      </c>
      <c r="N5" s="12">
        <v>29</v>
      </c>
      <c r="O5" s="12">
        <v>30</v>
      </c>
      <c r="P5" s="12">
        <v>28</v>
      </c>
      <c r="Q5" s="12">
        <v>24</v>
      </c>
      <c r="R5" s="12">
        <v>21</v>
      </c>
      <c r="S5" s="12">
        <v>25</v>
      </c>
      <c r="T5" s="12">
        <v>25</v>
      </c>
      <c r="U5" s="12">
        <v>28</v>
      </c>
      <c r="V5" s="12">
        <v>21</v>
      </c>
      <c r="W5" s="12">
        <v>24</v>
      </c>
      <c r="X5" s="12">
        <v>25</v>
      </c>
      <c r="Y5" s="12">
        <v>23</v>
      </c>
      <c r="Z5" s="12">
        <v>23</v>
      </c>
      <c r="AA5" s="12">
        <v>25</v>
      </c>
      <c r="AB5" s="12">
        <v>21</v>
      </c>
      <c r="AC5" s="12">
        <v>28</v>
      </c>
      <c r="AD5" s="12">
        <v>24</v>
      </c>
      <c r="AE5" s="12">
        <v>22</v>
      </c>
      <c r="AF5" s="12">
        <v>27</v>
      </c>
      <c r="AG5" s="12">
        <v>23</v>
      </c>
      <c r="AI5" s="6">
        <f>AI4+"00:30"</f>
        <v>2.0833333333333332E-2</v>
      </c>
      <c r="AJ5" s="7">
        <f t="shared" ref="AJ5:AP27" si="6">AVERAGEIF($F$4:$AG$4,AJ$3,F6:AG6)</f>
        <v>25.25</v>
      </c>
      <c r="AK5" s="7">
        <f t="shared" si="1"/>
        <v>24.75</v>
      </c>
      <c r="AL5" s="7">
        <f t="shared" si="1"/>
        <v>24.75</v>
      </c>
      <c r="AM5" s="7">
        <f t="shared" si="1"/>
        <v>27.5</v>
      </c>
      <c r="AN5" s="7">
        <f t="shared" si="1"/>
        <v>18.510416666666668</v>
      </c>
      <c r="AO5" s="7">
        <f t="shared" si="1"/>
        <v>25</v>
      </c>
      <c r="AP5" s="7">
        <f t="shared" si="1"/>
        <v>27.375</v>
      </c>
      <c r="AR5" s="6">
        <f>AR4+"00:30"</f>
        <v>2.0833333333333332E-2</v>
      </c>
      <c r="AS5" s="8">
        <f t="shared" ref="AS5:AY51" si="7">AJ5/AJ$52</f>
        <v>9.0542357687135814E-3</v>
      </c>
      <c r="AT5" s="8">
        <f t="shared" si="2"/>
        <v>8.8654070027760368E-3</v>
      </c>
      <c r="AU5" s="8">
        <f t="shared" si="2"/>
        <v>8.5959885386819486E-3</v>
      </c>
      <c r="AV5" s="8">
        <f t="shared" si="2"/>
        <v>9.6457383374254652E-3</v>
      </c>
      <c r="AW5" s="8">
        <f t="shared" si="2"/>
        <v>8.5973332301201803E-3</v>
      </c>
      <c r="AX5" s="8">
        <f t="shared" si="2"/>
        <v>7.0871722182849041E-3</v>
      </c>
      <c r="AY5" s="8">
        <f t="shared" si="2"/>
        <v>7.7143913908801097E-3</v>
      </c>
      <c r="BA5" s="6">
        <f>BA4+"00:30"</f>
        <v>2.0833333333333332E-2</v>
      </c>
      <c r="BB5" s="10">
        <f t="shared" ref="BB5:BE51" si="8">10000*AS5*AJ$53</f>
        <v>12.293173941311252</v>
      </c>
      <c r="BC5" s="10">
        <f t="shared" si="3"/>
        <v>12.049744754354595</v>
      </c>
      <c r="BD5" s="10">
        <f t="shared" si="3"/>
        <v>12.049744754354595</v>
      </c>
      <c r="BE5" s="10">
        <f t="shared" si="3"/>
        <v>13.388605282616217</v>
      </c>
      <c r="BF5" s="10">
        <f t="shared" si="3"/>
        <v>9.0119513587912952</v>
      </c>
      <c r="BG5" s="10">
        <f t="shared" si="3"/>
        <v>12.171459347832922</v>
      </c>
      <c r="BH5" s="10">
        <f t="shared" si="3"/>
        <v>13.32774798587705</v>
      </c>
    </row>
    <row r="6" spans="1:60" x14ac:dyDescent="0.3">
      <c r="A6">
        <f t="shared" ca="1" si="4"/>
        <v>18</v>
      </c>
      <c r="B6" s="4">
        <f t="shared" ca="1" si="0"/>
        <v>7.407407407407407E-2</v>
      </c>
      <c r="C6">
        <f t="shared" ca="1" si="5"/>
        <v>74.074074074074076</v>
      </c>
      <c r="E6" s="11">
        <f>E5+"00:30"</f>
        <v>2.0833333333333332E-2</v>
      </c>
      <c r="F6" s="13">
        <v>21</v>
      </c>
      <c r="G6" s="13">
        <v>29</v>
      </c>
      <c r="H6" s="13">
        <v>23</v>
      </c>
      <c r="I6" s="13">
        <v>22</v>
      </c>
      <c r="J6" s="13">
        <v>20</v>
      </c>
      <c r="K6" s="13">
        <v>25</v>
      </c>
      <c r="L6" s="13">
        <v>30</v>
      </c>
      <c r="M6" s="13">
        <v>30</v>
      </c>
      <c r="N6" s="13">
        <v>23</v>
      </c>
      <c r="O6" s="13">
        <v>29</v>
      </c>
      <c r="P6" s="13">
        <v>24</v>
      </c>
      <c r="Q6" s="13">
        <v>21</v>
      </c>
      <c r="R6" s="13">
        <v>29</v>
      </c>
      <c r="S6" s="13">
        <v>27</v>
      </c>
      <c r="T6" s="13">
        <v>28</v>
      </c>
      <c r="U6" s="13">
        <v>23</v>
      </c>
      <c r="V6" s="13">
        <v>22</v>
      </c>
      <c r="W6" s="13">
        <v>23</v>
      </c>
      <c r="X6" s="13">
        <v>28</v>
      </c>
      <c r="Y6" s="13">
        <v>29</v>
      </c>
      <c r="Z6" s="13">
        <v>27</v>
      </c>
      <c r="AA6" s="13">
        <v>22</v>
      </c>
      <c r="AB6" s="13">
        <v>28</v>
      </c>
      <c r="AC6" s="13">
        <v>25</v>
      </c>
      <c r="AD6" s="13">
        <v>28</v>
      </c>
      <c r="AE6" s="13">
        <v>30</v>
      </c>
      <c r="AF6" s="13">
        <v>28</v>
      </c>
      <c r="AG6" s="13">
        <v>26</v>
      </c>
      <c r="AI6" s="6">
        <f t="shared" ref="AI6:AI27" si="9">AI5+"00:30"</f>
        <v>4.1666666666666664E-2</v>
      </c>
      <c r="AJ6" s="7">
        <f t="shared" si="6"/>
        <v>26</v>
      </c>
      <c r="AK6" s="7">
        <f t="shared" si="1"/>
        <v>25</v>
      </c>
      <c r="AL6" s="7">
        <f t="shared" si="1"/>
        <v>25</v>
      </c>
      <c r="AM6" s="7">
        <f t="shared" si="1"/>
        <v>23.5</v>
      </c>
      <c r="AN6" s="7">
        <f t="shared" si="1"/>
        <v>19.265625</v>
      </c>
      <c r="AO6" s="7">
        <f t="shared" si="1"/>
        <v>27.9375</v>
      </c>
      <c r="AP6" s="7">
        <f t="shared" si="1"/>
        <v>23.9375</v>
      </c>
      <c r="AR6" s="6">
        <f t="shared" ref="AR6:AR19" si="10">AR5+"00:30"</f>
        <v>4.1666666666666664E-2</v>
      </c>
      <c r="AS6" s="8">
        <f t="shared" si="7"/>
        <v>9.3231734648139847E-3</v>
      </c>
      <c r="AT6" s="8">
        <f t="shared" si="2"/>
        <v>8.9549565684606432E-3</v>
      </c>
      <c r="AU6" s="8">
        <f t="shared" si="2"/>
        <v>8.6828167057393414E-3</v>
      </c>
      <c r="AV6" s="8">
        <f t="shared" si="2"/>
        <v>8.2427218519817609E-3</v>
      </c>
      <c r="AW6" s="8">
        <f t="shared" si="2"/>
        <v>8.9480966849224946E-3</v>
      </c>
      <c r="AX6" s="8">
        <f t="shared" si="2"/>
        <v>7.9199149539333803E-3</v>
      </c>
      <c r="AY6" s="8">
        <f t="shared" si="2"/>
        <v>6.7456892755869457E-3</v>
      </c>
      <c r="BA6" s="6">
        <f t="shared" ref="BA6:BA19" si="11">BA5+"00:30"</f>
        <v>4.1666666666666664E-2</v>
      </c>
      <c r="BB6" s="10">
        <f t="shared" si="8"/>
        <v>12.65831772174624</v>
      </c>
      <c r="BC6" s="10">
        <f t="shared" si="3"/>
        <v>12.171459347832924</v>
      </c>
      <c r="BD6" s="10">
        <f t="shared" si="3"/>
        <v>12.171459347832924</v>
      </c>
      <c r="BE6" s="10">
        <f t="shared" si="3"/>
        <v>11.441171786962951</v>
      </c>
      <c r="BF6" s="10">
        <f t="shared" si="3"/>
        <v>9.379630859923747</v>
      </c>
      <c r="BG6" s="10">
        <f t="shared" si="3"/>
        <v>13.601605821203291</v>
      </c>
      <c r="BH6" s="10">
        <f t="shared" si="3"/>
        <v>11.654172325550025</v>
      </c>
    </row>
    <row r="7" spans="1:60" x14ac:dyDescent="0.3">
      <c r="A7">
        <f t="shared" ca="1" si="4"/>
        <v>15</v>
      </c>
      <c r="B7" s="4">
        <f t="shared" ca="1" si="0"/>
        <v>6.1728395061728392E-2</v>
      </c>
      <c r="C7">
        <f t="shared" ca="1" si="5"/>
        <v>61.728395061728392</v>
      </c>
      <c r="E7" s="11">
        <f t="shared" ref="E7:E51" si="12">E6+"00:30"</f>
        <v>4.1666666666666664E-2</v>
      </c>
      <c r="F7" s="13">
        <v>24</v>
      </c>
      <c r="G7" s="13">
        <v>25</v>
      </c>
      <c r="H7" s="13">
        <v>25</v>
      </c>
      <c r="I7" s="13">
        <v>26</v>
      </c>
      <c r="J7" s="13">
        <v>20</v>
      </c>
      <c r="K7" s="13">
        <v>28</v>
      </c>
      <c r="L7" s="13">
        <v>25</v>
      </c>
      <c r="M7" s="13">
        <v>25</v>
      </c>
      <c r="N7" s="13">
        <v>25</v>
      </c>
      <c r="O7" s="13">
        <v>25</v>
      </c>
      <c r="P7" s="13">
        <v>29</v>
      </c>
      <c r="Q7" s="13">
        <v>23</v>
      </c>
      <c r="R7" s="13">
        <v>24</v>
      </c>
      <c r="S7" s="13">
        <v>21</v>
      </c>
      <c r="T7" s="13">
        <v>30</v>
      </c>
      <c r="U7" s="13">
        <v>26</v>
      </c>
      <c r="V7" s="13">
        <v>30</v>
      </c>
      <c r="W7" s="13">
        <v>27</v>
      </c>
      <c r="X7" s="13">
        <v>30</v>
      </c>
      <c r="Y7" s="13">
        <v>21</v>
      </c>
      <c r="Z7" s="13">
        <v>25</v>
      </c>
      <c r="AA7" s="13">
        <v>25</v>
      </c>
      <c r="AB7" s="13">
        <v>26</v>
      </c>
      <c r="AC7" s="13">
        <v>20</v>
      </c>
      <c r="AD7" s="13">
        <v>28</v>
      </c>
      <c r="AE7" s="13">
        <v>27</v>
      </c>
      <c r="AF7" s="13">
        <v>24</v>
      </c>
      <c r="AG7" s="13">
        <v>23</v>
      </c>
      <c r="AI7" s="6">
        <f t="shared" si="9"/>
        <v>6.25E-2</v>
      </c>
      <c r="AJ7" s="7">
        <f t="shared" si="6"/>
        <v>26.5</v>
      </c>
      <c r="AK7" s="7">
        <f t="shared" si="1"/>
        <v>27.75</v>
      </c>
      <c r="AL7" s="7">
        <f t="shared" si="1"/>
        <v>23.75</v>
      </c>
      <c r="AM7" s="7">
        <f t="shared" si="1"/>
        <v>26.75</v>
      </c>
      <c r="AN7" s="7">
        <f t="shared" si="1"/>
        <v>17.020833333333332</v>
      </c>
      <c r="AO7" s="7">
        <f t="shared" si="1"/>
        <v>25.0625</v>
      </c>
      <c r="AP7" s="7">
        <f t="shared" si="1"/>
        <v>25.375</v>
      </c>
      <c r="AR7" s="6">
        <f t="shared" si="10"/>
        <v>6.25E-2</v>
      </c>
      <c r="AS7" s="8">
        <f t="shared" si="7"/>
        <v>9.5024652622142537E-3</v>
      </c>
      <c r="AT7" s="8">
        <f t="shared" si="2"/>
        <v>9.9400017909913145E-3</v>
      </c>
      <c r="AU7" s="8">
        <f t="shared" si="2"/>
        <v>8.2486758704523756E-3</v>
      </c>
      <c r="AV7" s="8">
        <f t="shared" si="2"/>
        <v>9.3826727464047695E-3</v>
      </c>
      <c r="AW7" s="8">
        <f t="shared" si="2"/>
        <v>7.9054825537514754E-3</v>
      </c>
      <c r="AX7" s="8">
        <f t="shared" si="2"/>
        <v>7.1048901488306162E-3</v>
      </c>
      <c r="AY7" s="8">
        <f t="shared" si="2"/>
        <v>7.1507828874368146E-3</v>
      </c>
      <c r="BA7" s="6">
        <f t="shared" si="11"/>
        <v>6.25E-2</v>
      </c>
      <c r="BB7" s="10">
        <f t="shared" si="8"/>
        <v>12.901746908702899</v>
      </c>
      <c r="BC7" s="10">
        <f t="shared" si="3"/>
        <v>13.510319876094545</v>
      </c>
      <c r="BD7" s="10">
        <f t="shared" si="3"/>
        <v>11.562886380441279</v>
      </c>
      <c r="BE7" s="10">
        <f t="shared" si="3"/>
        <v>13.023461502181227</v>
      </c>
      <c r="BF7" s="10">
        <f t="shared" si="3"/>
        <v>8.2867352393162488</v>
      </c>
      <c r="BG7" s="10">
        <f t="shared" si="3"/>
        <v>12.201887996202505</v>
      </c>
      <c r="BH7" s="10">
        <f t="shared" si="3"/>
        <v>12.354031238050418</v>
      </c>
    </row>
    <row r="8" spans="1:60" x14ac:dyDescent="0.3">
      <c r="A8">
        <f t="shared" ca="1" si="4"/>
        <v>14</v>
      </c>
      <c r="B8" s="4">
        <f t="shared" ca="1" si="0"/>
        <v>5.7613168724279837E-2</v>
      </c>
      <c r="C8">
        <f t="shared" ca="1" si="5"/>
        <v>57.613168724279838</v>
      </c>
      <c r="E8" s="11">
        <f t="shared" si="12"/>
        <v>6.25E-2</v>
      </c>
      <c r="F8" s="13">
        <v>27</v>
      </c>
      <c r="G8" s="13">
        <v>29</v>
      </c>
      <c r="H8" s="13">
        <v>29</v>
      </c>
      <c r="I8" s="13">
        <v>28</v>
      </c>
      <c r="J8" s="13">
        <v>20</v>
      </c>
      <c r="K8" s="13">
        <v>26</v>
      </c>
      <c r="L8" s="13">
        <v>29</v>
      </c>
      <c r="M8" s="13">
        <v>24</v>
      </c>
      <c r="N8" s="13">
        <v>22</v>
      </c>
      <c r="O8" s="13">
        <v>28</v>
      </c>
      <c r="P8" s="13">
        <v>23</v>
      </c>
      <c r="Q8" s="13">
        <v>21</v>
      </c>
      <c r="R8" s="13">
        <v>29</v>
      </c>
      <c r="S8" s="13">
        <v>29</v>
      </c>
      <c r="T8" s="13">
        <v>30</v>
      </c>
      <c r="U8" s="13">
        <v>25</v>
      </c>
      <c r="V8" s="13">
        <v>26</v>
      </c>
      <c r="W8" s="13">
        <v>30</v>
      </c>
      <c r="X8" s="13">
        <v>30</v>
      </c>
      <c r="Y8" s="13">
        <v>21</v>
      </c>
      <c r="Z8" s="13">
        <v>21</v>
      </c>
      <c r="AA8" s="13">
        <v>25</v>
      </c>
      <c r="AB8" s="13">
        <v>21</v>
      </c>
      <c r="AC8" s="13">
        <v>28</v>
      </c>
      <c r="AD8" s="13">
        <v>23</v>
      </c>
      <c r="AE8" s="13">
        <v>24</v>
      </c>
      <c r="AF8" s="13">
        <v>29</v>
      </c>
      <c r="AG8" s="13">
        <v>28</v>
      </c>
      <c r="AI8" s="6">
        <f t="shared" si="9"/>
        <v>8.3333333333333329E-2</v>
      </c>
      <c r="AJ8" s="7">
        <f t="shared" si="6"/>
        <v>24.75</v>
      </c>
      <c r="AK8" s="7">
        <f t="shared" si="1"/>
        <v>24.25</v>
      </c>
      <c r="AL8" s="7">
        <f t="shared" si="1"/>
        <v>26.75</v>
      </c>
      <c r="AM8" s="7">
        <f t="shared" si="1"/>
        <v>22.5</v>
      </c>
      <c r="AN8" s="7">
        <f t="shared" si="1"/>
        <v>17.776041666666668</v>
      </c>
      <c r="AO8" s="7">
        <f t="shared" si="1"/>
        <v>24.1875</v>
      </c>
      <c r="AP8" s="7">
        <f t="shared" si="1"/>
        <v>22.375</v>
      </c>
      <c r="AR8" s="6">
        <f t="shared" si="10"/>
        <v>8.3333333333333329E-2</v>
      </c>
      <c r="AS8" s="8">
        <f t="shared" si="7"/>
        <v>8.8749439713133125E-3</v>
      </c>
      <c r="AT8" s="8">
        <f t="shared" si="2"/>
        <v>8.6863078714068242E-3</v>
      </c>
      <c r="AU8" s="8">
        <f t="shared" si="2"/>
        <v>9.2906138751410964E-3</v>
      </c>
      <c r="AV8" s="8">
        <f t="shared" si="2"/>
        <v>7.8919677306208344E-3</v>
      </c>
      <c r="AW8" s="8">
        <f t="shared" si="2"/>
        <v>8.2562460085537914E-3</v>
      </c>
      <c r="AX8" s="8">
        <f t="shared" si="2"/>
        <v>6.8568391211906452E-3</v>
      </c>
      <c r="AY8" s="8">
        <f t="shared" si="2"/>
        <v>6.3053701322718708E-3</v>
      </c>
      <c r="BA8" s="6">
        <f t="shared" si="11"/>
        <v>8.3333333333333329E-2</v>
      </c>
      <c r="BB8" s="10">
        <f t="shared" si="8"/>
        <v>12.049744754354593</v>
      </c>
      <c r="BC8" s="10">
        <f t="shared" si="3"/>
        <v>11.806315567397936</v>
      </c>
      <c r="BD8" s="10">
        <f t="shared" si="3"/>
        <v>13.023461502181231</v>
      </c>
      <c r="BE8" s="10">
        <f t="shared" si="3"/>
        <v>10.954313413049631</v>
      </c>
      <c r="BF8" s="10">
        <f t="shared" si="3"/>
        <v>8.6544147404487006</v>
      </c>
      <c r="BG8" s="10">
        <f t="shared" si="3"/>
        <v>11.775886919028355</v>
      </c>
      <c r="BH8" s="10">
        <f t="shared" si="3"/>
        <v>10.893456116310466</v>
      </c>
    </row>
    <row r="9" spans="1:60" x14ac:dyDescent="0.3">
      <c r="A9">
        <f t="shared" ca="1" si="4"/>
        <v>14</v>
      </c>
      <c r="B9" s="4">
        <f t="shared" ca="1" si="0"/>
        <v>5.7613168724279837E-2</v>
      </c>
      <c r="C9">
        <f t="shared" ca="1" si="5"/>
        <v>57.613168724279838</v>
      </c>
      <c r="E9" s="11">
        <f t="shared" si="12"/>
        <v>8.3333333333333329E-2</v>
      </c>
      <c r="F9" s="13">
        <v>26</v>
      </c>
      <c r="G9" s="13">
        <v>28</v>
      </c>
      <c r="H9" s="13">
        <v>24</v>
      </c>
      <c r="I9" s="13">
        <v>25</v>
      </c>
      <c r="J9" s="13">
        <v>27</v>
      </c>
      <c r="K9" s="13">
        <v>28</v>
      </c>
      <c r="L9" s="13">
        <v>27</v>
      </c>
      <c r="M9" s="13">
        <v>29</v>
      </c>
      <c r="N9" s="13">
        <v>30</v>
      </c>
      <c r="O9" s="13">
        <v>21</v>
      </c>
      <c r="P9" s="13">
        <v>22</v>
      </c>
      <c r="Q9" s="13">
        <v>27</v>
      </c>
      <c r="R9" s="13">
        <v>20</v>
      </c>
      <c r="S9" s="13">
        <v>21</v>
      </c>
      <c r="T9" s="13">
        <v>22</v>
      </c>
      <c r="U9" s="13">
        <v>20</v>
      </c>
      <c r="V9" s="13">
        <v>27</v>
      </c>
      <c r="W9" s="13">
        <v>24</v>
      </c>
      <c r="X9" s="13">
        <v>30</v>
      </c>
      <c r="Y9" s="13">
        <v>23</v>
      </c>
      <c r="Z9" s="13">
        <v>21</v>
      </c>
      <c r="AA9" s="13">
        <v>22</v>
      </c>
      <c r="AB9" s="13">
        <v>21</v>
      </c>
      <c r="AC9" s="13">
        <v>25</v>
      </c>
      <c r="AD9" s="13">
        <v>26</v>
      </c>
      <c r="AE9" s="13">
        <v>23</v>
      </c>
      <c r="AF9" s="13">
        <v>21</v>
      </c>
      <c r="AG9" s="13">
        <v>21</v>
      </c>
      <c r="AI9" s="6">
        <f t="shared" si="9"/>
        <v>0.10416666666666666</v>
      </c>
      <c r="AJ9" s="7">
        <f t="shared" si="6"/>
        <v>25</v>
      </c>
      <c r="AK9" s="7">
        <f t="shared" si="1"/>
        <v>24.75</v>
      </c>
      <c r="AL9" s="7">
        <f t="shared" si="1"/>
        <v>25.75</v>
      </c>
      <c r="AM9" s="7">
        <f t="shared" si="1"/>
        <v>25.5</v>
      </c>
      <c r="AN9" s="7">
        <f t="shared" si="1"/>
        <v>18.28125</v>
      </c>
      <c r="AO9" s="7">
        <f t="shared" si="1"/>
        <v>24.5</v>
      </c>
      <c r="AP9" s="7">
        <f t="shared" si="1"/>
        <v>23.8125</v>
      </c>
      <c r="AR9" s="6">
        <f t="shared" si="10"/>
        <v>0.10416666666666666</v>
      </c>
      <c r="AS9" s="8">
        <f t="shared" si="7"/>
        <v>8.9645898700134469E-3</v>
      </c>
      <c r="AT9" s="8">
        <f t="shared" si="2"/>
        <v>8.8654070027760368E-3</v>
      </c>
      <c r="AU9" s="8">
        <f t="shared" si="2"/>
        <v>8.9433012069115216E-3</v>
      </c>
      <c r="AV9" s="8">
        <f t="shared" si="2"/>
        <v>8.9442300947036122E-3</v>
      </c>
      <c r="AW9" s="8">
        <f t="shared" si="2"/>
        <v>8.4908946645249946E-3</v>
      </c>
      <c r="AX9" s="8">
        <f t="shared" si="2"/>
        <v>6.9454287739192065E-3</v>
      </c>
      <c r="AY9" s="8">
        <f t="shared" si="2"/>
        <v>6.7104637441217398E-3</v>
      </c>
      <c r="BA9" s="6">
        <f t="shared" si="11"/>
        <v>0.10416666666666666</v>
      </c>
      <c r="BB9" s="10">
        <f t="shared" si="8"/>
        <v>12.171459347832922</v>
      </c>
      <c r="BC9" s="10">
        <f t="shared" si="3"/>
        <v>12.049744754354595</v>
      </c>
      <c r="BD9" s="10">
        <f t="shared" si="3"/>
        <v>12.536603128267913</v>
      </c>
      <c r="BE9" s="10">
        <f t="shared" si="3"/>
        <v>12.414888534789581</v>
      </c>
      <c r="BF9" s="10">
        <f t="shared" si="3"/>
        <v>8.9003796481028257</v>
      </c>
      <c r="BG9" s="10">
        <f t="shared" si="3"/>
        <v>11.928030160876265</v>
      </c>
      <c r="BH9" s="10">
        <f t="shared" si="3"/>
        <v>11.593315028810858</v>
      </c>
    </row>
    <row r="10" spans="1:60" x14ac:dyDescent="0.3">
      <c r="A10">
        <f t="shared" ca="1" si="4"/>
        <v>15</v>
      </c>
      <c r="B10" s="4">
        <f t="shared" ca="1" si="0"/>
        <v>6.1728395061728392E-2</v>
      </c>
      <c r="C10">
        <f t="shared" ca="1" si="5"/>
        <v>61.728395061728392</v>
      </c>
      <c r="E10" s="11">
        <f t="shared" si="12"/>
        <v>0.10416666666666666</v>
      </c>
      <c r="F10" s="13">
        <v>21</v>
      </c>
      <c r="G10" s="13">
        <v>28</v>
      </c>
      <c r="H10" s="13">
        <v>22</v>
      </c>
      <c r="I10" s="13">
        <v>21</v>
      </c>
      <c r="J10" s="13">
        <v>28</v>
      </c>
      <c r="K10" s="13">
        <v>30</v>
      </c>
      <c r="L10" s="13">
        <v>25</v>
      </c>
      <c r="M10" s="13">
        <v>20</v>
      </c>
      <c r="N10" s="13">
        <v>20</v>
      </c>
      <c r="O10" s="13">
        <v>27</v>
      </c>
      <c r="P10" s="13">
        <v>25</v>
      </c>
      <c r="Q10" s="13">
        <v>28</v>
      </c>
      <c r="R10" s="13">
        <v>21</v>
      </c>
      <c r="S10" s="13">
        <v>29</v>
      </c>
      <c r="T10" s="13">
        <v>29</v>
      </c>
      <c r="U10" s="13">
        <v>24</v>
      </c>
      <c r="V10" s="13">
        <v>24</v>
      </c>
      <c r="W10" s="13">
        <v>20</v>
      </c>
      <c r="X10" s="13">
        <v>25</v>
      </c>
      <c r="Y10" s="13">
        <v>27</v>
      </c>
      <c r="Z10" s="13">
        <v>25</v>
      </c>
      <c r="AA10" s="13">
        <v>30</v>
      </c>
      <c r="AB10" s="13">
        <v>29</v>
      </c>
      <c r="AC10" s="13">
        <v>26</v>
      </c>
      <c r="AD10" s="13">
        <v>29</v>
      </c>
      <c r="AE10" s="13">
        <v>22</v>
      </c>
      <c r="AF10" s="13">
        <v>24</v>
      </c>
      <c r="AG10" s="13">
        <v>23</v>
      </c>
      <c r="AI10" s="6">
        <f t="shared" si="9"/>
        <v>0.12499999999999999</v>
      </c>
      <c r="AJ10" s="7">
        <f t="shared" si="6"/>
        <v>26.25</v>
      </c>
      <c r="AK10" s="7">
        <f t="shared" si="1"/>
        <v>24</v>
      </c>
      <c r="AL10" s="7">
        <f t="shared" si="1"/>
        <v>27.75</v>
      </c>
      <c r="AM10" s="7">
        <f t="shared" si="1"/>
        <v>23.25</v>
      </c>
      <c r="AN10" s="7">
        <f t="shared" si="1"/>
        <v>19.036458333333332</v>
      </c>
      <c r="AO10" s="7">
        <f t="shared" si="1"/>
        <v>23.1875</v>
      </c>
      <c r="AP10" s="7">
        <f t="shared" si="1"/>
        <v>25</v>
      </c>
      <c r="AR10" s="6">
        <f t="shared" si="10"/>
        <v>0.12499999999999999</v>
      </c>
      <c r="AS10" s="8">
        <f t="shared" si="7"/>
        <v>9.4128193635141192E-3</v>
      </c>
      <c r="AT10" s="8">
        <f t="shared" si="2"/>
        <v>8.5967583057222179E-3</v>
      </c>
      <c r="AU10" s="8">
        <f t="shared" si="2"/>
        <v>9.6379265433706694E-3</v>
      </c>
      <c r="AV10" s="8">
        <f t="shared" si="2"/>
        <v>8.1550333216415302E-3</v>
      </c>
      <c r="AW10" s="8">
        <f t="shared" si="2"/>
        <v>8.841658119327309E-3</v>
      </c>
      <c r="AX10" s="8">
        <f t="shared" si="2"/>
        <v>6.5733522324592491E-3</v>
      </c>
      <c r="AY10" s="8">
        <f t="shared" si="2"/>
        <v>7.0451062930411961E-3</v>
      </c>
      <c r="BA10" s="6">
        <f t="shared" si="11"/>
        <v>0.12499999999999999</v>
      </c>
      <c r="BB10" s="10">
        <f t="shared" si="8"/>
        <v>12.780032315224569</v>
      </c>
      <c r="BC10" s="10">
        <f t="shared" si="3"/>
        <v>11.684600973919608</v>
      </c>
      <c r="BD10" s="10">
        <f t="shared" si="3"/>
        <v>13.510319876094547</v>
      </c>
      <c r="BE10" s="10">
        <f t="shared" si="3"/>
        <v>11.31945719348462</v>
      </c>
      <c r="BF10" s="10">
        <f t="shared" si="3"/>
        <v>9.2680591492352775</v>
      </c>
      <c r="BG10" s="10">
        <f t="shared" si="3"/>
        <v>11.289028545115036</v>
      </c>
      <c r="BH10" s="10">
        <f t="shared" si="3"/>
        <v>12.171459347832924</v>
      </c>
    </row>
    <row r="11" spans="1:60" x14ac:dyDescent="0.3">
      <c r="A11">
        <f t="shared" ca="1" si="4"/>
        <v>18</v>
      </c>
      <c r="B11" s="4">
        <f t="shared" ca="1" si="0"/>
        <v>7.407407407407407E-2</v>
      </c>
      <c r="C11">
        <f t="shared" ca="1" si="5"/>
        <v>74.074074074074076</v>
      </c>
      <c r="E11" s="11">
        <f t="shared" si="12"/>
        <v>0.12499999999999999</v>
      </c>
      <c r="F11" s="13">
        <v>29</v>
      </c>
      <c r="G11" s="13">
        <v>28</v>
      </c>
      <c r="H11" s="13">
        <v>20</v>
      </c>
      <c r="I11" s="13">
        <v>22</v>
      </c>
      <c r="J11" s="13">
        <v>30</v>
      </c>
      <c r="K11" s="13">
        <v>23</v>
      </c>
      <c r="L11" s="13">
        <v>20</v>
      </c>
      <c r="M11" s="13">
        <v>23</v>
      </c>
      <c r="N11" s="13">
        <v>25</v>
      </c>
      <c r="O11" s="13">
        <v>25</v>
      </c>
      <c r="P11" s="13">
        <v>29</v>
      </c>
      <c r="Q11" s="13">
        <v>23</v>
      </c>
      <c r="R11" s="13">
        <v>24</v>
      </c>
      <c r="S11" s="13">
        <v>27</v>
      </c>
      <c r="T11" s="13">
        <v>30</v>
      </c>
      <c r="U11" s="13">
        <v>21</v>
      </c>
      <c r="V11" s="13">
        <v>28</v>
      </c>
      <c r="W11" s="13">
        <v>22</v>
      </c>
      <c r="X11" s="13">
        <v>28</v>
      </c>
      <c r="Y11" s="13">
        <v>27</v>
      </c>
      <c r="Z11" s="13">
        <v>24</v>
      </c>
      <c r="AA11" s="13">
        <v>23</v>
      </c>
      <c r="AB11" s="13">
        <v>30</v>
      </c>
      <c r="AC11" s="13">
        <v>23</v>
      </c>
      <c r="AD11" s="13">
        <v>21</v>
      </c>
      <c r="AE11" s="13">
        <v>30</v>
      </c>
      <c r="AF11" s="13">
        <v>24</v>
      </c>
      <c r="AG11" s="13">
        <v>22</v>
      </c>
      <c r="AI11" s="6">
        <f t="shared" si="9"/>
        <v>0.14583333333333331</v>
      </c>
      <c r="AJ11" s="7">
        <f t="shared" si="6"/>
        <v>25.75</v>
      </c>
      <c r="AK11" s="7">
        <f t="shared" si="1"/>
        <v>20.75</v>
      </c>
      <c r="AL11" s="7">
        <f t="shared" si="1"/>
        <v>25.25</v>
      </c>
      <c r="AM11" s="7">
        <f t="shared" si="1"/>
        <v>25</v>
      </c>
      <c r="AN11" s="7">
        <f t="shared" si="1"/>
        <v>18.291666666666668</v>
      </c>
      <c r="AO11" s="7">
        <f t="shared" si="1"/>
        <v>26.4375</v>
      </c>
      <c r="AP11" s="7">
        <f t="shared" si="1"/>
        <v>26.4375</v>
      </c>
      <c r="AR11" s="6">
        <f t="shared" si="10"/>
        <v>0.14583333333333331</v>
      </c>
      <c r="AS11" s="8">
        <f t="shared" si="7"/>
        <v>9.2335275661138503E-3</v>
      </c>
      <c r="AT11" s="8">
        <f t="shared" si="2"/>
        <v>7.4326139518223339E-3</v>
      </c>
      <c r="AU11" s="8">
        <f t="shared" si="2"/>
        <v>8.769644872796736E-3</v>
      </c>
      <c r="AV11" s="8">
        <f t="shared" si="2"/>
        <v>8.7688530340231489E-3</v>
      </c>
      <c r="AW11" s="8">
        <f t="shared" si="2"/>
        <v>8.4957327811429582E-3</v>
      </c>
      <c r="AX11" s="8">
        <f t="shared" si="2"/>
        <v>7.4946846208362866E-3</v>
      </c>
      <c r="AY11" s="8">
        <f t="shared" si="2"/>
        <v>7.4501999048910651E-3</v>
      </c>
      <c r="BA11" s="6">
        <f t="shared" si="11"/>
        <v>0.14583333333333331</v>
      </c>
      <c r="BB11" s="10">
        <f t="shared" si="8"/>
        <v>12.53660312826791</v>
      </c>
      <c r="BC11" s="10">
        <f t="shared" si="3"/>
        <v>10.102311258701327</v>
      </c>
      <c r="BD11" s="10">
        <f t="shared" si="3"/>
        <v>12.293173941311256</v>
      </c>
      <c r="BE11" s="10">
        <f t="shared" si="3"/>
        <v>12.171459347832924</v>
      </c>
      <c r="BF11" s="10">
        <f t="shared" si="3"/>
        <v>8.9054510894977561</v>
      </c>
      <c r="BG11" s="10">
        <f t="shared" si="3"/>
        <v>12.871318260333318</v>
      </c>
      <c r="BH11" s="10">
        <f t="shared" si="3"/>
        <v>12.871318260333316</v>
      </c>
    </row>
    <row r="12" spans="1:60" x14ac:dyDescent="0.3">
      <c r="A12">
        <f t="shared" ca="1" si="4"/>
        <v>18</v>
      </c>
      <c r="B12" s="4">
        <f t="shared" ca="1" si="0"/>
        <v>7.407407407407407E-2</v>
      </c>
      <c r="C12">
        <f t="shared" ca="1" si="5"/>
        <v>74.074074074074076</v>
      </c>
      <c r="E12" s="11">
        <f t="shared" si="12"/>
        <v>0.14583333333333331</v>
      </c>
      <c r="F12" s="13">
        <v>24</v>
      </c>
      <c r="G12" s="13">
        <v>28</v>
      </c>
      <c r="H12" s="13">
        <v>20</v>
      </c>
      <c r="I12" s="13">
        <v>27</v>
      </c>
      <c r="J12" s="13">
        <v>27</v>
      </c>
      <c r="K12" s="13">
        <v>28</v>
      </c>
      <c r="L12" s="13">
        <v>23</v>
      </c>
      <c r="M12" s="13">
        <v>27</v>
      </c>
      <c r="N12" s="13">
        <v>27</v>
      </c>
      <c r="O12" s="13">
        <v>20</v>
      </c>
      <c r="P12" s="13">
        <v>25</v>
      </c>
      <c r="Q12" s="13">
        <v>22</v>
      </c>
      <c r="R12" s="13">
        <v>27</v>
      </c>
      <c r="S12" s="13">
        <v>23</v>
      </c>
      <c r="T12" s="13">
        <v>23</v>
      </c>
      <c r="U12" s="13">
        <v>22</v>
      </c>
      <c r="V12" s="13">
        <v>20</v>
      </c>
      <c r="W12" s="13">
        <v>26</v>
      </c>
      <c r="X12" s="13">
        <v>26</v>
      </c>
      <c r="Y12" s="13">
        <v>23</v>
      </c>
      <c r="Z12" s="13">
        <v>29</v>
      </c>
      <c r="AA12" s="13">
        <v>29</v>
      </c>
      <c r="AB12" s="13">
        <v>24</v>
      </c>
      <c r="AC12" s="13">
        <v>23</v>
      </c>
      <c r="AD12" s="13">
        <v>29</v>
      </c>
      <c r="AE12" s="13">
        <v>26</v>
      </c>
      <c r="AF12" s="13">
        <v>29</v>
      </c>
      <c r="AG12" s="13">
        <v>25</v>
      </c>
      <c r="AI12" s="6">
        <f t="shared" si="9"/>
        <v>0.16666666666666666</v>
      </c>
      <c r="AJ12" s="7">
        <f t="shared" si="6"/>
        <v>25.25</v>
      </c>
      <c r="AK12" s="7">
        <f t="shared" si="1"/>
        <v>25.75</v>
      </c>
      <c r="AL12" s="7">
        <f t="shared" si="1"/>
        <v>24.5</v>
      </c>
      <c r="AM12" s="7">
        <f t="shared" si="1"/>
        <v>26.75</v>
      </c>
      <c r="AN12" s="7">
        <f t="shared" si="1"/>
        <v>19.546875</v>
      </c>
      <c r="AO12" s="7">
        <f t="shared" si="1"/>
        <v>24.3125</v>
      </c>
      <c r="AP12" s="7">
        <f t="shared" si="1"/>
        <v>26.5</v>
      </c>
      <c r="AR12" s="6">
        <f t="shared" si="10"/>
        <v>0.16666666666666666</v>
      </c>
      <c r="AS12" s="8">
        <f t="shared" si="7"/>
        <v>9.0542357687135814E-3</v>
      </c>
      <c r="AT12" s="8">
        <f t="shared" si="2"/>
        <v>9.2236052655144622E-3</v>
      </c>
      <c r="AU12" s="8">
        <f t="shared" si="2"/>
        <v>8.5091603716245558E-3</v>
      </c>
      <c r="AV12" s="8">
        <f t="shared" si="2"/>
        <v>9.3826727464047695E-3</v>
      </c>
      <c r="AW12" s="8">
        <f t="shared" si="2"/>
        <v>9.0787258336074931E-3</v>
      </c>
      <c r="AX12" s="8">
        <f t="shared" si="2"/>
        <v>6.8922749822820694E-3</v>
      </c>
      <c r="AY12" s="8">
        <f t="shared" si="2"/>
        <v>7.4678126706236685E-3</v>
      </c>
      <c r="BA12" s="6">
        <f t="shared" si="11"/>
        <v>0.16666666666666666</v>
      </c>
      <c r="BB12" s="10">
        <f t="shared" si="8"/>
        <v>12.293173941311252</v>
      </c>
      <c r="BC12" s="10">
        <f t="shared" si="3"/>
        <v>12.536603128267911</v>
      </c>
      <c r="BD12" s="10">
        <f t="shared" si="3"/>
        <v>11.928030160876267</v>
      </c>
      <c r="BE12" s="10">
        <f t="shared" si="3"/>
        <v>13.023461502181227</v>
      </c>
      <c r="BF12" s="10">
        <f t="shared" si="3"/>
        <v>9.5165597775868651</v>
      </c>
      <c r="BG12" s="10">
        <f t="shared" si="3"/>
        <v>11.836744215767517</v>
      </c>
      <c r="BH12" s="10">
        <f t="shared" si="3"/>
        <v>12.901746908702899</v>
      </c>
    </row>
    <row r="13" spans="1:60" x14ac:dyDescent="0.3">
      <c r="A13">
        <f t="shared" ca="1" si="4"/>
        <v>20</v>
      </c>
      <c r="B13" s="4">
        <f t="shared" ca="1" si="0"/>
        <v>8.2304526748971193E-2</v>
      </c>
      <c r="C13">
        <f t="shared" ca="1" si="5"/>
        <v>82.304526748971199</v>
      </c>
      <c r="E13" s="11">
        <f t="shared" si="12"/>
        <v>0.16666666666666666</v>
      </c>
      <c r="F13" s="13">
        <v>25</v>
      </c>
      <c r="G13" s="13">
        <v>21</v>
      </c>
      <c r="H13" s="13">
        <v>29</v>
      </c>
      <c r="I13" s="13">
        <v>26</v>
      </c>
      <c r="J13" s="13">
        <v>22</v>
      </c>
      <c r="K13" s="13">
        <v>24</v>
      </c>
      <c r="L13" s="13">
        <v>30</v>
      </c>
      <c r="M13" s="13">
        <v>30</v>
      </c>
      <c r="N13" s="13">
        <v>25</v>
      </c>
      <c r="O13" s="13">
        <v>27</v>
      </c>
      <c r="P13" s="13">
        <v>27</v>
      </c>
      <c r="Q13" s="13">
        <v>26</v>
      </c>
      <c r="R13" s="13">
        <v>26</v>
      </c>
      <c r="S13" s="13">
        <v>28</v>
      </c>
      <c r="T13" s="13">
        <v>24</v>
      </c>
      <c r="U13" s="13">
        <v>27</v>
      </c>
      <c r="V13" s="13">
        <v>22</v>
      </c>
      <c r="W13" s="13">
        <v>24</v>
      </c>
      <c r="X13" s="13">
        <v>25</v>
      </c>
      <c r="Y13" s="13">
        <v>28</v>
      </c>
      <c r="Z13" s="13">
        <v>21</v>
      </c>
      <c r="AA13" s="13">
        <v>22</v>
      </c>
      <c r="AB13" s="13">
        <v>26</v>
      </c>
      <c r="AC13" s="13">
        <v>25</v>
      </c>
      <c r="AD13" s="13">
        <v>20</v>
      </c>
      <c r="AE13" s="13">
        <v>25</v>
      </c>
      <c r="AF13" s="13">
        <v>28</v>
      </c>
      <c r="AG13" s="13">
        <v>28</v>
      </c>
      <c r="AI13" s="6">
        <f t="shared" si="9"/>
        <v>0.1875</v>
      </c>
      <c r="AJ13" s="7">
        <f t="shared" si="6"/>
        <v>21.75</v>
      </c>
      <c r="AK13" s="7">
        <f t="shared" si="1"/>
        <v>26.25</v>
      </c>
      <c r="AL13" s="7">
        <f t="shared" si="1"/>
        <v>26.75</v>
      </c>
      <c r="AM13" s="7">
        <f t="shared" si="1"/>
        <v>24</v>
      </c>
      <c r="AN13" s="7">
        <f t="shared" si="1"/>
        <v>18.802083333333332</v>
      </c>
      <c r="AO13" s="7">
        <f t="shared" si="1"/>
        <v>23.0625</v>
      </c>
      <c r="AP13" s="7">
        <f t="shared" si="1"/>
        <v>22</v>
      </c>
      <c r="AR13" s="6">
        <f t="shared" si="10"/>
        <v>0.1875</v>
      </c>
      <c r="AS13" s="8">
        <f t="shared" si="7"/>
        <v>7.7991931869116991E-3</v>
      </c>
      <c r="AT13" s="8">
        <f t="shared" si="2"/>
        <v>9.4027043968836748E-3</v>
      </c>
      <c r="AU13" s="8">
        <f t="shared" si="2"/>
        <v>9.2906138751410964E-3</v>
      </c>
      <c r="AV13" s="8">
        <f t="shared" si="2"/>
        <v>8.4180989126622242E-3</v>
      </c>
      <c r="AW13" s="8">
        <f t="shared" si="2"/>
        <v>8.7328004954231424E-3</v>
      </c>
      <c r="AX13" s="8">
        <f t="shared" si="2"/>
        <v>6.537916371367824E-3</v>
      </c>
      <c r="AY13" s="8">
        <f t="shared" si="2"/>
        <v>6.1996935378762531E-3</v>
      </c>
      <c r="BA13" s="6">
        <f t="shared" si="11"/>
        <v>0.1875</v>
      </c>
      <c r="BB13" s="10">
        <f t="shared" si="8"/>
        <v>10.589169632614643</v>
      </c>
      <c r="BC13" s="10">
        <f t="shared" si="3"/>
        <v>12.78003231522457</v>
      </c>
      <c r="BD13" s="10">
        <f t="shared" si="3"/>
        <v>13.023461502181231</v>
      </c>
      <c r="BE13" s="10">
        <f t="shared" si="3"/>
        <v>11.684600973919608</v>
      </c>
      <c r="BF13" s="10">
        <f t="shared" si="3"/>
        <v>9.1539517178493437</v>
      </c>
      <c r="BG13" s="10">
        <f t="shared" si="3"/>
        <v>11.228171248375871</v>
      </c>
      <c r="BH13" s="10">
        <f t="shared" si="3"/>
        <v>10.710884226092972</v>
      </c>
    </row>
    <row r="14" spans="1:60" x14ac:dyDescent="0.3">
      <c r="A14">
        <f t="shared" ca="1" si="4"/>
        <v>12</v>
      </c>
      <c r="B14" s="4">
        <f t="shared" ca="1" si="0"/>
        <v>4.9382716049382713E-2</v>
      </c>
      <c r="C14">
        <f t="shared" ca="1" si="5"/>
        <v>49.382716049382715</v>
      </c>
      <c r="E14" s="11">
        <f t="shared" si="12"/>
        <v>0.1875</v>
      </c>
      <c r="F14" s="13">
        <v>20</v>
      </c>
      <c r="G14" s="13">
        <v>30</v>
      </c>
      <c r="H14" s="13">
        <v>23</v>
      </c>
      <c r="I14" s="13">
        <v>23</v>
      </c>
      <c r="J14" s="13">
        <v>25</v>
      </c>
      <c r="K14" s="13">
        <v>22</v>
      </c>
      <c r="L14" s="13">
        <v>20</v>
      </c>
      <c r="M14" s="13">
        <v>23</v>
      </c>
      <c r="N14" s="13">
        <v>24</v>
      </c>
      <c r="O14" s="13">
        <v>28</v>
      </c>
      <c r="P14" s="13">
        <v>20</v>
      </c>
      <c r="Q14" s="13">
        <v>26</v>
      </c>
      <c r="R14" s="13">
        <v>20</v>
      </c>
      <c r="S14" s="13">
        <v>21</v>
      </c>
      <c r="T14" s="13">
        <v>23</v>
      </c>
      <c r="U14" s="13">
        <v>21</v>
      </c>
      <c r="V14" s="13">
        <v>30</v>
      </c>
      <c r="W14" s="13">
        <v>20</v>
      </c>
      <c r="X14" s="13">
        <v>27</v>
      </c>
      <c r="Y14" s="13">
        <v>20</v>
      </c>
      <c r="Z14" s="13">
        <v>26</v>
      </c>
      <c r="AA14" s="13">
        <v>21</v>
      </c>
      <c r="AB14" s="13">
        <v>30</v>
      </c>
      <c r="AC14" s="13">
        <v>24</v>
      </c>
      <c r="AD14" s="13">
        <v>27</v>
      </c>
      <c r="AE14" s="13">
        <v>29</v>
      </c>
      <c r="AF14" s="13">
        <v>24</v>
      </c>
      <c r="AG14" s="13">
        <v>29</v>
      </c>
      <c r="AI14" s="6">
        <f t="shared" si="9"/>
        <v>0.20833333333333334</v>
      </c>
      <c r="AJ14" s="7">
        <f t="shared" si="6"/>
        <v>23.25</v>
      </c>
      <c r="AK14" s="7">
        <f t="shared" si="1"/>
        <v>25.25</v>
      </c>
      <c r="AL14" s="7">
        <f t="shared" si="1"/>
        <v>22</v>
      </c>
      <c r="AM14" s="7">
        <f t="shared" si="1"/>
        <v>24</v>
      </c>
      <c r="AN14" s="7">
        <f t="shared" si="1"/>
        <v>16.307291666666668</v>
      </c>
      <c r="AO14" s="7">
        <f t="shared" si="1"/>
        <v>24.625</v>
      </c>
      <c r="AP14" s="7">
        <f t="shared" si="1"/>
        <v>24.8125</v>
      </c>
      <c r="AR14" s="6">
        <f t="shared" si="10"/>
        <v>0.20833333333333334</v>
      </c>
      <c r="AS14" s="8">
        <f t="shared" si="7"/>
        <v>8.3370685791125058E-3</v>
      </c>
      <c r="AT14" s="8">
        <f t="shared" si="2"/>
        <v>9.0445061341452495E-3</v>
      </c>
      <c r="AU14" s="8">
        <f t="shared" si="2"/>
        <v>7.6408787010506206E-3</v>
      </c>
      <c r="AV14" s="8">
        <f t="shared" si="2"/>
        <v>8.4180989126622242E-3</v>
      </c>
      <c r="AW14" s="8">
        <f t="shared" si="2"/>
        <v>7.5740715654210138E-3</v>
      </c>
      <c r="AX14" s="8">
        <f t="shared" si="2"/>
        <v>6.9808646350106307E-3</v>
      </c>
      <c r="AY14" s="8">
        <f t="shared" si="2"/>
        <v>6.9922679958433877E-3</v>
      </c>
      <c r="BA14" s="6">
        <f t="shared" si="11"/>
        <v>0.20833333333333334</v>
      </c>
      <c r="BB14" s="10">
        <f t="shared" si="8"/>
        <v>11.319457193484618</v>
      </c>
      <c r="BC14" s="10">
        <f t="shared" si="3"/>
        <v>12.293173941311254</v>
      </c>
      <c r="BD14" s="10">
        <f t="shared" si="3"/>
        <v>10.710884226092974</v>
      </c>
      <c r="BE14" s="10">
        <f t="shared" si="3"/>
        <v>11.684600973919608</v>
      </c>
      <c r="BF14" s="10">
        <f t="shared" si="3"/>
        <v>7.9393415037635169</v>
      </c>
      <c r="BG14" s="10">
        <f t="shared" si="3"/>
        <v>11.988887457615428</v>
      </c>
      <c r="BH14" s="10">
        <f t="shared" si="3"/>
        <v>12.080173402724176</v>
      </c>
    </row>
    <row r="15" spans="1:60" x14ac:dyDescent="0.3">
      <c r="A15">
        <f t="shared" ca="1" si="4"/>
        <v>18</v>
      </c>
      <c r="B15" s="4">
        <f t="shared" ca="1" si="0"/>
        <v>7.407407407407407E-2</v>
      </c>
      <c r="C15">
        <f t="shared" ca="1" si="5"/>
        <v>74.074074074074076</v>
      </c>
      <c r="E15" s="11">
        <f t="shared" si="12"/>
        <v>0.20833333333333334</v>
      </c>
      <c r="F15" s="13">
        <v>21</v>
      </c>
      <c r="G15" s="13">
        <v>26</v>
      </c>
      <c r="H15" s="13">
        <v>26</v>
      </c>
      <c r="I15" s="13">
        <v>26</v>
      </c>
      <c r="J15" s="13">
        <v>22</v>
      </c>
      <c r="K15" s="13">
        <v>20</v>
      </c>
      <c r="L15" s="13">
        <v>24</v>
      </c>
      <c r="M15" s="13">
        <v>26</v>
      </c>
      <c r="N15" s="13">
        <v>20</v>
      </c>
      <c r="O15" s="13">
        <v>24</v>
      </c>
      <c r="P15" s="13">
        <v>28</v>
      </c>
      <c r="Q15" s="13">
        <v>21</v>
      </c>
      <c r="R15" s="13">
        <v>23</v>
      </c>
      <c r="S15" s="13">
        <v>25</v>
      </c>
      <c r="T15" s="13">
        <v>22</v>
      </c>
      <c r="U15" s="13">
        <v>23</v>
      </c>
      <c r="V15" s="13">
        <v>29</v>
      </c>
      <c r="W15" s="13">
        <v>21</v>
      </c>
      <c r="X15" s="13">
        <v>25</v>
      </c>
      <c r="Y15" s="13">
        <v>24</v>
      </c>
      <c r="Z15" s="13">
        <v>24</v>
      </c>
      <c r="AA15" s="13">
        <v>24</v>
      </c>
      <c r="AB15" s="13">
        <v>22</v>
      </c>
      <c r="AC15" s="13">
        <v>22</v>
      </c>
      <c r="AD15" s="13">
        <v>23</v>
      </c>
      <c r="AE15" s="13">
        <v>20</v>
      </c>
      <c r="AF15" s="13">
        <v>29</v>
      </c>
      <c r="AG15" s="13">
        <v>23</v>
      </c>
      <c r="AI15" s="6">
        <f t="shared" si="9"/>
        <v>0.22916666666666669</v>
      </c>
      <c r="AJ15" s="7">
        <f t="shared" si="6"/>
        <v>25</v>
      </c>
      <c r="AK15" s="7">
        <f t="shared" si="1"/>
        <v>26.5</v>
      </c>
      <c r="AL15" s="7">
        <f t="shared" si="1"/>
        <v>25.5</v>
      </c>
      <c r="AM15" s="7">
        <f t="shared" si="1"/>
        <v>23.25</v>
      </c>
      <c r="AN15" s="7">
        <f t="shared" si="1"/>
        <v>18.3125</v>
      </c>
      <c r="AO15" s="7">
        <f t="shared" si="1"/>
        <v>26.375</v>
      </c>
      <c r="AP15" s="7">
        <f t="shared" si="1"/>
        <v>24.625</v>
      </c>
      <c r="AR15" s="6">
        <f t="shared" si="10"/>
        <v>0.22916666666666669</v>
      </c>
      <c r="AS15" s="8">
        <f t="shared" si="7"/>
        <v>8.9645898700134469E-3</v>
      </c>
      <c r="AT15" s="8">
        <f t="shared" si="2"/>
        <v>9.4922539625682811E-3</v>
      </c>
      <c r="AU15" s="8">
        <f t="shared" si="2"/>
        <v>8.8564730398541288E-3</v>
      </c>
      <c r="AV15" s="8">
        <f t="shared" si="2"/>
        <v>8.1550333216415302E-3</v>
      </c>
      <c r="AW15" s="8">
        <f t="shared" si="2"/>
        <v>8.5054090143788837E-3</v>
      </c>
      <c r="AX15" s="8">
        <f t="shared" si="2"/>
        <v>7.4769666902905737E-3</v>
      </c>
      <c r="AY15" s="8">
        <f t="shared" si="2"/>
        <v>6.9394296986455785E-3</v>
      </c>
      <c r="BA15" s="6">
        <f t="shared" si="11"/>
        <v>0.22916666666666669</v>
      </c>
      <c r="BB15" s="10">
        <f t="shared" si="8"/>
        <v>12.171459347832922</v>
      </c>
      <c r="BC15" s="10">
        <f t="shared" si="3"/>
        <v>12.901746908702899</v>
      </c>
      <c r="BD15" s="10">
        <f t="shared" si="3"/>
        <v>12.414888534789583</v>
      </c>
      <c r="BE15" s="10">
        <f t="shared" si="3"/>
        <v>11.31945719348462</v>
      </c>
      <c r="BF15" s="10">
        <f t="shared" si="3"/>
        <v>8.915593972287617</v>
      </c>
      <c r="BG15" s="10">
        <f t="shared" si="3"/>
        <v>12.840889611963734</v>
      </c>
      <c r="BH15" s="10">
        <f t="shared" si="3"/>
        <v>11.98888745761543</v>
      </c>
    </row>
    <row r="16" spans="1:60" x14ac:dyDescent="0.3">
      <c r="A16">
        <f t="shared" ca="1" si="4"/>
        <v>15</v>
      </c>
      <c r="B16" s="4">
        <f t="shared" ca="1" si="0"/>
        <v>6.1728395061728392E-2</v>
      </c>
      <c r="C16">
        <f t="shared" ca="1" si="5"/>
        <v>61.728395061728392</v>
      </c>
      <c r="E16" s="11">
        <f t="shared" si="12"/>
        <v>0.22916666666666669</v>
      </c>
      <c r="F16" s="13">
        <v>24</v>
      </c>
      <c r="G16" s="13">
        <v>28</v>
      </c>
      <c r="H16" s="13">
        <v>25</v>
      </c>
      <c r="I16" s="13">
        <v>22</v>
      </c>
      <c r="J16" s="13">
        <v>28</v>
      </c>
      <c r="K16" s="13">
        <v>22</v>
      </c>
      <c r="L16" s="13">
        <v>20</v>
      </c>
      <c r="M16" s="13">
        <v>22</v>
      </c>
      <c r="N16" s="13">
        <v>20</v>
      </c>
      <c r="O16" s="13">
        <v>27</v>
      </c>
      <c r="P16" s="13">
        <v>28</v>
      </c>
      <c r="Q16" s="13">
        <v>22</v>
      </c>
      <c r="R16" s="13">
        <v>20</v>
      </c>
      <c r="S16" s="13">
        <v>24</v>
      </c>
      <c r="T16" s="13">
        <v>27</v>
      </c>
      <c r="U16" s="13">
        <v>29</v>
      </c>
      <c r="V16" s="13">
        <v>24</v>
      </c>
      <c r="W16" s="13">
        <v>27</v>
      </c>
      <c r="X16" s="13">
        <v>25</v>
      </c>
      <c r="Y16" s="13">
        <v>29</v>
      </c>
      <c r="Z16" s="13">
        <v>26</v>
      </c>
      <c r="AA16" s="13">
        <v>27</v>
      </c>
      <c r="AB16" s="13">
        <v>24</v>
      </c>
      <c r="AC16" s="13">
        <v>30</v>
      </c>
      <c r="AD16" s="13">
        <v>24</v>
      </c>
      <c r="AE16" s="13">
        <v>27</v>
      </c>
      <c r="AF16" s="13">
        <v>23</v>
      </c>
      <c r="AG16" s="13">
        <v>23</v>
      </c>
      <c r="AI16" s="6">
        <f t="shared" si="9"/>
        <v>0.25</v>
      </c>
      <c r="AJ16" s="7">
        <f t="shared" si="6"/>
        <v>25.5</v>
      </c>
      <c r="AK16" s="7">
        <f t="shared" si="1"/>
        <v>26.5</v>
      </c>
      <c r="AL16" s="7">
        <f t="shared" si="1"/>
        <v>26.5</v>
      </c>
      <c r="AM16" s="7">
        <f t="shared" si="1"/>
        <v>26.5</v>
      </c>
      <c r="AN16" s="7">
        <f t="shared" si="1"/>
        <v>22.067708333333332</v>
      </c>
      <c r="AO16" s="7">
        <f t="shared" si="1"/>
        <v>25.9375</v>
      </c>
      <c r="AP16" s="7">
        <f t="shared" si="1"/>
        <v>24.5</v>
      </c>
      <c r="AR16" s="6">
        <f t="shared" si="10"/>
        <v>0.25</v>
      </c>
      <c r="AS16" s="8">
        <f t="shared" si="7"/>
        <v>9.1438816674137158E-3</v>
      </c>
      <c r="AT16" s="8">
        <f t="shared" si="2"/>
        <v>9.4922539625682811E-3</v>
      </c>
      <c r="AU16" s="8">
        <f t="shared" si="2"/>
        <v>9.2037857080837018E-3</v>
      </c>
      <c r="AV16" s="8">
        <f t="shared" si="2"/>
        <v>9.2949842160645387E-3</v>
      </c>
      <c r="AW16" s="8">
        <f t="shared" si="2"/>
        <v>1.024955005515453E-2</v>
      </c>
      <c r="AX16" s="8">
        <f t="shared" si="2"/>
        <v>7.3529411764705881E-3</v>
      </c>
      <c r="AY16" s="8">
        <f t="shared" si="2"/>
        <v>6.9042041671803726E-3</v>
      </c>
      <c r="BA16" s="6">
        <f t="shared" si="11"/>
        <v>0.25</v>
      </c>
      <c r="BB16" s="10">
        <f t="shared" si="8"/>
        <v>12.414888534789581</v>
      </c>
      <c r="BC16" s="10">
        <f t="shared" si="3"/>
        <v>12.901746908702899</v>
      </c>
      <c r="BD16" s="10">
        <f t="shared" si="3"/>
        <v>12.901746908702899</v>
      </c>
      <c r="BE16" s="10">
        <f t="shared" si="3"/>
        <v>12.901746908702901</v>
      </c>
      <c r="BF16" s="10">
        <f t="shared" si="3"/>
        <v>10.743848595160021</v>
      </c>
      <c r="BG16" s="10">
        <f t="shared" si="3"/>
        <v>12.627889073376657</v>
      </c>
      <c r="BH16" s="10">
        <f t="shared" si="3"/>
        <v>11.928030160876267</v>
      </c>
    </row>
    <row r="17" spans="1:60" x14ac:dyDescent="0.3">
      <c r="A17">
        <f t="shared" ca="1" si="4"/>
        <v>11</v>
      </c>
      <c r="B17" s="4">
        <f t="shared" ca="1" si="0"/>
        <v>4.5267489711934158E-2</v>
      </c>
      <c r="C17">
        <f t="shared" ca="1" si="5"/>
        <v>45.267489711934161</v>
      </c>
      <c r="E17" s="11">
        <f t="shared" si="12"/>
        <v>0.25</v>
      </c>
      <c r="F17" s="13">
        <v>28</v>
      </c>
      <c r="G17" s="13">
        <v>30</v>
      </c>
      <c r="H17" s="13">
        <v>22</v>
      </c>
      <c r="I17" s="13">
        <v>30</v>
      </c>
      <c r="J17" s="13">
        <v>23</v>
      </c>
      <c r="K17" s="13">
        <v>26</v>
      </c>
      <c r="L17" s="13">
        <v>27</v>
      </c>
      <c r="M17" s="13">
        <v>27</v>
      </c>
      <c r="N17" s="13">
        <v>30</v>
      </c>
      <c r="O17" s="13">
        <v>30</v>
      </c>
      <c r="P17" s="13">
        <v>30</v>
      </c>
      <c r="Q17" s="13">
        <v>29</v>
      </c>
      <c r="R17" s="13">
        <v>23</v>
      </c>
      <c r="S17" s="13">
        <v>25</v>
      </c>
      <c r="T17" s="13">
        <v>22</v>
      </c>
      <c r="U17" s="13">
        <v>28</v>
      </c>
      <c r="V17" s="13">
        <v>25</v>
      </c>
      <c r="W17" s="13">
        <v>28</v>
      </c>
      <c r="X17" s="13">
        <v>27</v>
      </c>
      <c r="Y17" s="13">
        <v>20</v>
      </c>
      <c r="Z17" s="13">
        <v>24</v>
      </c>
      <c r="AA17" s="13">
        <v>25</v>
      </c>
      <c r="AB17" s="13">
        <v>30</v>
      </c>
      <c r="AC17" s="13">
        <v>29</v>
      </c>
      <c r="AD17" s="13">
        <v>22</v>
      </c>
      <c r="AE17" s="13">
        <v>27</v>
      </c>
      <c r="AF17" s="13">
        <v>27</v>
      </c>
      <c r="AG17" s="13">
        <v>30</v>
      </c>
      <c r="AI17" s="6">
        <f t="shared" si="9"/>
        <v>0.27083333333333331</v>
      </c>
      <c r="AJ17" s="7">
        <f t="shared" si="6"/>
        <v>23.75</v>
      </c>
      <c r="AK17" s="7">
        <f t="shared" si="1"/>
        <v>23.75</v>
      </c>
      <c r="AL17" s="7">
        <f t="shared" si="1"/>
        <v>21.25</v>
      </c>
      <c r="AM17" s="7">
        <f t="shared" si="1"/>
        <v>28</v>
      </c>
      <c r="AN17" s="7">
        <f t="shared" si="1"/>
        <v>19.322916666666668</v>
      </c>
      <c r="AO17" s="7">
        <f t="shared" si="1"/>
        <v>26.5</v>
      </c>
      <c r="AP17" s="7">
        <f t="shared" si="1"/>
        <v>25.25</v>
      </c>
      <c r="AR17" s="6">
        <f t="shared" si="10"/>
        <v>0.27083333333333331</v>
      </c>
      <c r="AS17" s="8">
        <f t="shared" si="7"/>
        <v>8.5163603765127747E-3</v>
      </c>
      <c r="AT17" s="8">
        <f t="shared" si="2"/>
        <v>8.5072087400376115E-3</v>
      </c>
      <c r="AU17" s="8">
        <f t="shared" si="2"/>
        <v>7.3803941998784404E-3</v>
      </c>
      <c r="AV17" s="8">
        <f t="shared" si="2"/>
        <v>9.8211153981059285E-3</v>
      </c>
      <c r="AW17" s="8">
        <f t="shared" si="2"/>
        <v>8.9747063263212901E-3</v>
      </c>
      <c r="AX17" s="8">
        <f t="shared" si="2"/>
        <v>7.5124025513819987E-3</v>
      </c>
      <c r="AY17" s="8">
        <f t="shared" si="2"/>
        <v>7.1155573559716079E-3</v>
      </c>
      <c r="BA17" s="6">
        <f t="shared" si="11"/>
        <v>0.27083333333333331</v>
      </c>
      <c r="BB17" s="10">
        <f t="shared" si="8"/>
        <v>11.562886380441277</v>
      </c>
      <c r="BC17" s="10">
        <f t="shared" si="3"/>
        <v>11.562886380441279</v>
      </c>
      <c r="BD17" s="10">
        <f t="shared" si="3"/>
        <v>10.345740445657986</v>
      </c>
      <c r="BE17" s="10">
        <f t="shared" si="3"/>
        <v>13.632034469572876</v>
      </c>
      <c r="BF17" s="10">
        <f t="shared" si="3"/>
        <v>9.4075237875958635</v>
      </c>
      <c r="BG17" s="10">
        <f t="shared" si="3"/>
        <v>12.901746908702899</v>
      </c>
      <c r="BH17" s="10">
        <f t="shared" si="3"/>
        <v>12.293173941311251</v>
      </c>
    </row>
    <row r="18" spans="1:60" x14ac:dyDescent="0.3">
      <c r="A18">
        <f t="shared" ca="1" si="4"/>
        <v>10</v>
      </c>
      <c r="B18" s="4">
        <f t="shared" ca="1" si="0"/>
        <v>4.1152263374485597E-2</v>
      </c>
      <c r="C18">
        <f t="shared" ca="1" si="5"/>
        <v>41.152263374485599</v>
      </c>
      <c r="E18" s="11">
        <f t="shared" si="12"/>
        <v>0.27083333333333331</v>
      </c>
      <c r="F18" s="13">
        <v>20</v>
      </c>
      <c r="G18" s="13">
        <v>21</v>
      </c>
      <c r="H18" s="13">
        <v>27</v>
      </c>
      <c r="I18" s="13">
        <v>23</v>
      </c>
      <c r="J18" s="13">
        <v>21</v>
      </c>
      <c r="K18" s="13">
        <v>30</v>
      </c>
      <c r="L18" s="13">
        <v>28</v>
      </c>
      <c r="M18" s="13">
        <v>27</v>
      </c>
      <c r="N18" s="13">
        <v>27</v>
      </c>
      <c r="O18" s="13">
        <v>23</v>
      </c>
      <c r="P18" s="13">
        <v>24</v>
      </c>
      <c r="Q18" s="13">
        <v>23</v>
      </c>
      <c r="R18" s="13">
        <v>24</v>
      </c>
      <c r="S18" s="13">
        <v>27</v>
      </c>
      <c r="T18" s="13">
        <v>20</v>
      </c>
      <c r="U18" s="13">
        <v>23</v>
      </c>
      <c r="V18" s="13">
        <v>24</v>
      </c>
      <c r="W18" s="13">
        <v>29</v>
      </c>
      <c r="X18" s="13">
        <v>20</v>
      </c>
      <c r="Y18" s="13">
        <v>24</v>
      </c>
      <c r="Z18" s="13">
        <v>27</v>
      </c>
      <c r="AA18" s="13">
        <v>28</v>
      </c>
      <c r="AB18" s="13">
        <v>27</v>
      </c>
      <c r="AC18" s="13">
        <v>21</v>
      </c>
      <c r="AD18" s="13">
        <v>28</v>
      </c>
      <c r="AE18" s="13">
        <v>21</v>
      </c>
      <c r="AF18" s="13">
        <v>30</v>
      </c>
      <c r="AG18" s="13">
        <v>30</v>
      </c>
      <c r="AI18" s="6">
        <f t="shared" si="9"/>
        <v>0.29166666666666663</v>
      </c>
      <c r="AJ18" s="7">
        <f t="shared" si="6"/>
        <v>23.25</v>
      </c>
      <c r="AK18" s="7">
        <f t="shared" si="1"/>
        <v>25</v>
      </c>
      <c r="AL18" s="7">
        <f t="shared" si="1"/>
        <v>23.25</v>
      </c>
      <c r="AM18" s="7">
        <f t="shared" si="1"/>
        <v>23</v>
      </c>
      <c r="AN18" s="7">
        <f t="shared" si="1"/>
        <v>20.328125</v>
      </c>
      <c r="AO18" s="7">
        <f t="shared" si="1"/>
        <v>24.5625</v>
      </c>
      <c r="AP18" s="7">
        <f t="shared" si="1"/>
        <v>23</v>
      </c>
      <c r="AR18" s="6">
        <f t="shared" si="10"/>
        <v>0.29166666666666663</v>
      </c>
      <c r="AS18" s="8">
        <f t="shared" si="7"/>
        <v>8.3370685791125058E-3</v>
      </c>
      <c r="AT18" s="8">
        <f t="shared" si="2"/>
        <v>8.9549565684606432E-3</v>
      </c>
      <c r="AU18" s="8">
        <f t="shared" si="2"/>
        <v>8.0750195363375882E-3</v>
      </c>
      <c r="AV18" s="8">
        <f t="shared" si="2"/>
        <v>8.0673447913012977E-3</v>
      </c>
      <c r="AW18" s="8">
        <f t="shared" si="2"/>
        <v>9.4415845799547156E-3</v>
      </c>
      <c r="AX18" s="8">
        <f t="shared" si="2"/>
        <v>6.9631467044649186E-3</v>
      </c>
      <c r="AY18" s="8">
        <f t="shared" si="2"/>
        <v>6.4814977895979002E-3</v>
      </c>
      <c r="BA18" s="6">
        <f t="shared" si="11"/>
        <v>0.29166666666666663</v>
      </c>
      <c r="BB18" s="10">
        <f t="shared" si="8"/>
        <v>11.319457193484618</v>
      </c>
      <c r="BC18" s="10">
        <f t="shared" si="3"/>
        <v>12.171459347832924</v>
      </c>
      <c r="BD18" s="10">
        <f t="shared" si="3"/>
        <v>11.31945719348462</v>
      </c>
      <c r="BE18" s="10">
        <f t="shared" si="3"/>
        <v>11.19774260000629</v>
      </c>
      <c r="BF18" s="10">
        <f t="shared" si="3"/>
        <v>9.8969178822066457</v>
      </c>
      <c r="BG18" s="10">
        <f t="shared" si="3"/>
        <v>11.958458809245847</v>
      </c>
      <c r="BH18" s="10">
        <f t="shared" si="3"/>
        <v>11.197742600006288</v>
      </c>
    </row>
    <row r="19" spans="1:60" x14ac:dyDescent="0.3">
      <c r="A19">
        <f t="shared" ca="1" si="4"/>
        <v>15</v>
      </c>
      <c r="B19" s="4">
        <f t="shared" ca="1" si="0"/>
        <v>6.1728395061728392E-2</v>
      </c>
      <c r="C19">
        <f t="shared" ca="1" si="5"/>
        <v>61.728395061728392</v>
      </c>
      <c r="E19" s="11">
        <f t="shared" si="12"/>
        <v>0.29166666666666663</v>
      </c>
      <c r="F19" s="13">
        <v>21</v>
      </c>
      <c r="G19" s="13">
        <v>24</v>
      </c>
      <c r="H19" s="13">
        <v>27</v>
      </c>
      <c r="I19" s="13">
        <v>21</v>
      </c>
      <c r="J19" s="13">
        <v>25</v>
      </c>
      <c r="K19" s="13">
        <v>20</v>
      </c>
      <c r="L19" s="13">
        <v>20</v>
      </c>
      <c r="M19" s="13">
        <v>26</v>
      </c>
      <c r="N19" s="13">
        <v>27</v>
      </c>
      <c r="O19" s="13">
        <v>22</v>
      </c>
      <c r="P19" s="13">
        <v>25</v>
      </c>
      <c r="Q19" s="13">
        <v>20</v>
      </c>
      <c r="R19" s="13">
        <v>22</v>
      </c>
      <c r="S19" s="13">
        <v>24</v>
      </c>
      <c r="T19" s="13">
        <v>21</v>
      </c>
      <c r="U19" s="13">
        <v>29</v>
      </c>
      <c r="V19" s="13">
        <v>21</v>
      </c>
      <c r="W19" s="13">
        <v>26</v>
      </c>
      <c r="X19" s="13">
        <v>24</v>
      </c>
      <c r="Y19" s="13">
        <v>26</v>
      </c>
      <c r="Z19" s="13">
        <v>24</v>
      </c>
      <c r="AA19" s="13">
        <v>25</v>
      </c>
      <c r="AB19" s="13">
        <v>25</v>
      </c>
      <c r="AC19" s="13">
        <v>30</v>
      </c>
      <c r="AD19" s="13">
        <v>22</v>
      </c>
      <c r="AE19" s="13">
        <v>24</v>
      </c>
      <c r="AF19" s="13">
        <v>20</v>
      </c>
      <c r="AG19" s="13">
        <v>24</v>
      </c>
      <c r="AI19" s="6">
        <f t="shared" si="9"/>
        <v>0.31249999999999994</v>
      </c>
      <c r="AJ19" s="7">
        <f t="shared" si="6"/>
        <v>26</v>
      </c>
      <c r="AK19" s="7">
        <f t="shared" si="1"/>
        <v>25.25</v>
      </c>
      <c r="AL19" s="7">
        <f t="shared" si="1"/>
        <v>25</v>
      </c>
      <c r="AM19" s="7">
        <f t="shared" si="1"/>
        <v>24</v>
      </c>
      <c r="AN19" s="7">
        <f t="shared" si="1"/>
        <v>19.333333333333332</v>
      </c>
      <c r="AO19" s="7">
        <f t="shared" si="1"/>
        <v>24.125</v>
      </c>
      <c r="AP19" s="7">
        <f t="shared" si="1"/>
        <v>22</v>
      </c>
      <c r="AR19" s="6">
        <f t="shared" si="10"/>
        <v>0.31249999999999994</v>
      </c>
      <c r="AS19" s="8">
        <f t="shared" si="7"/>
        <v>9.3231734648139847E-3</v>
      </c>
      <c r="AT19" s="8">
        <f t="shared" si="2"/>
        <v>9.0445061341452495E-3</v>
      </c>
      <c r="AU19" s="8">
        <f t="shared" si="2"/>
        <v>8.6828167057393414E-3</v>
      </c>
      <c r="AV19" s="8">
        <f t="shared" si="2"/>
        <v>8.4180989126622242E-3</v>
      </c>
      <c r="AW19" s="8">
        <f t="shared" si="2"/>
        <v>8.979544442939252E-3</v>
      </c>
      <c r="AX19" s="8">
        <f t="shared" si="2"/>
        <v>6.8391211906449331E-3</v>
      </c>
      <c r="AY19" s="8">
        <f t="shared" si="2"/>
        <v>6.1996935378762531E-3</v>
      </c>
      <c r="BA19" s="6">
        <f t="shared" si="11"/>
        <v>0.31249999999999994</v>
      </c>
      <c r="BB19" s="10">
        <f t="shared" si="8"/>
        <v>12.65831772174624</v>
      </c>
      <c r="BC19" s="10">
        <f t="shared" si="3"/>
        <v>12.293173941311254</v>
      </c>
      <c r="BD19" s="10">
        <f t="shared" si="3"/>
        <v>12.171459347832924</v>
      </c>
      <c r="BE19" s="10">
        <f t="shared" si="3"/>
        <v>11.684600973919608</v>
      </c>
      <c r="BF19" s="10">
        <f t="shared" si="3"/>
        <v>9.4125952289907922</v>
      </c>
      <c r="BG19" s="10">
        <f t="shared" si="3"/>
        <v>11.745458270658771</v>
      </c>
      <c r="BH19" s="10">
        <f t="shared" si="3"/>
        <v>10.710884226092972</v>
      </c>
    </row>
    <row r="20" spans="1:60" x14ac:dyDescent="0.3">
      <c r="A20">
        <f t="shared" ca="1" si="4"/>
        <v>14</v>
      </c>
      <c r="B20" s="4">
        <f t="shared" ca="1" si="0"/>
        <v>5.7613168724279837E-2</v>
      </c>
      <c r="C20">
        <f t="shared" ca="1" si="5"/>
        <v>57.613168724279838</v>
      </c>
      <c r="E20" s="11">
        <f t="shared" si="12"/>
        <v>0.31249999999999994</v>
      </c>
      <c r="F20" s="13">
        <v>26</v>
      </c>
      <c r="G20" s="13">
        <v>26</v>
      </c>
      <c r="H20" s="13">
        <v>23</v>
      </c>
      <c r="I20" s="13">
        <v>23</v>
      </c>
      <c r="J20" s="13">
        <v>28</v>
      </c>
      <c r="K20" s="13">
        <v>21</v>
      </c>
      <c r="L20" s="13">
        <v>22</v>
      </c>
      <c r="M20" s="13">
        <v>23</v>
      </c>
      <c r="N20" s="13">
        <v>28</v>
      </c>
      <c r="O20" s="13">
        <v>23</v>
      </c>
      <c r="P20" s="13">
        <v>22</v>
      </c>
      <c r="Q20" s="13">
        <v>29</v>
      </c>
      <c r="R20" s="13">
        <v>22</v>
      </c>
      <c r="S20" s="13">
        <v>29</v>
      </c>
      <c r="T20" s="13">
        <v>30</v>
      </c>
      <c r="U20" s="13">
        <v>29</v>
      </c>
      <c r="V20" s="13">
        <v>25</v>
      </c>
      <c r="W20" s="13">
        <v>23</v>
      </c>
      <c r="X20" s="13">
        <v>21</v>
      </c>
      <c r="Y20" s="13">
        <v>21</v>
      </c>
      <c r="Z20" s="13">
        <v>20</v>
      </c>
      <c r="AA20" s="13">
        <v>25</v>
      </c>
      <c r="AB20" s="13">
        <v>20</v>
      </c>
      <c r="AC20" s="13">
        <v>30</v>
      </c>
      <c r="AD20" s="13">
        <v>27</v>
      </c>
      <c r="AE20" s="13">
        <v>22</v>
      </c>
      <c r="AF20" s="13">
        <v>20</v>
      </c>
      <c r="AG20" s="13">
        <v>25</v>
      </c>
      <c r="AI20" s="6">
        <f>AI19+"00:30"</f>
        <v>0.33333333333333326</v>
      </c>
      <c r="AJ20" s="7">
        <f t="shared" si="6"/>
        <v>25.75</v>
      </c>
      <c r="AK20" s="7">
        <f t="shared" si="6"/>
        <v>24.5</v>
      </c>
      <c r="AL20" s="7">
        <f t="shared" si="6"/>
        <v>27.5</v>
      </c>
      <c r="AM20" s="7">
        <f t="shared" si="6"/>
        <v>25</v>
      </c>
      <c r="AN20" s="7">
        <f t="shared" si="6"/>
        <v>17.838541666666668</v>
      </c>
      <c r="AO20" s="7">
        <f t="shared" si="6"/>
        <v>24.3125</v>
      </c>
      <c r="AP20" s="7">
        <f t="shared" si="6"/>
        <v>25.6875</v>
      </c>
      <c r="AR20" s="6">
        <f>AR19+"00:30"</f>
        <v>0.33333333333333326</v>
      </c>
      <c r="AS20" s="8">
        <f t="shared" si="7"/>
        <v>9.2335275661138503E-3</v>
      </c>
      <c r="AT20" s="8">
        <f t="shared" si="7"/>
        <v>8.7758574370914305E-3</v>
      </c>
      <c r="AU20" s="8">
        <f t="shared" si="7"/>
        <v>9.5510983763132766E-3</v>
      </c>
      <c r="AV20" s="8">
        <f t="shared" si="7"/>
        <v>8.7688530340231489E-3</v>
      </c>
      <c r="AW20" s="8">
        <f t="shared" si="7"/>
        <v>8.2852747082615696E-3</v>
      </c>
      <c r="AX20" s="8">
        <f t="shared" si="7"/>
        <v>6.8922749822820694E-3</v>
      </c>
      <c r="AY20" s="8">
        <f t="shared" si="7"/>
        <v>7.2388467160998289E-3</v>
      </c>
      <c r="BA20" s="6">
        <f>BA19+"00:30"</f>
        <v>0.33333333333333326</v>
      </c>
      <c r="BB20" s="10">
        <f t="shared" si="8"/>
        <v>12.53660312826791</v>
      </c>
      <c r="BC20" s="10">
        <f t="shared" si="3"/>
        <v>11.928030160876265</v>
      </c>
      <c r="BD20" s="10">
        <f t="shared" si="3"/>
        <v>13.388605282616219</v>
      </c>
      <c r="BE20" s="10">
        <f t="shared" si="3"/>
        <v>12.171459347832924</v>
      </c>
      <c r="BF20" s="10">
        <f t="shared" si="3"/>
        <v>8.684843388818285</v>
      </c>
      <c r="BG20" s="10">
        <f t="shared" si="3"/>
        <v>11.836744215767517</v>
      </c>
      <c r="BH20" s="10">
        <f t="shared" si="3"/>
        <v>12.506174479898329</v>
      </c>
    </row>
    <row r="21" spans="1:60" x14ac:dyDescent="0.3">
      <c r="A21">
        <f t="shared" ca="1" si="4"/>
        <v>10</v>
      </c>
      <c r="B21" s="4">
        <f t="shared" ca="1" si="0"/>
        <v>4.1152263374485597E-2</v>
      </c>
      <c r="C21">
        <f t="shared" ca="1" si="5"/>
        <v>41.152263374485599</v>
      </c>
      <c r="E21" s="11">
        <f t="shared" si="12"/>
        <v>0.33333333333333326</v>
      </c>
      <c r="F21" s="13">
        <v>29</v>
      </c>
      <c r="G21" s="13">
        <v>29</v>
      </c>
      <c r="H21" s="13">
        <v>30</v>
      </c>
      <c r="I21" s="13">
        <v>22</v>
      </c>
      <c r="J21" s="13">
        <v>27</v>
      </c>
      <c r="K21" s="13">
        <v>25</v>
      </c>
      <c r="L21" s="13">
        <v>26</v>
      </c>
      <c r="M21" s="13">
        <v>23</v>
      </c>
      <c r="N21" s="13">
        <v>26</v>
      </c>
      <c r="O21" s="13">
        <v>21</v>
      </c>
      <c r="P21" s="13">
        <v>29</v>
      </c>
      <c r="Q21" s="13">
        <v>26</v>
      </c>
      <c r="R21" s="13">
        <v>25</v>
      </c>
      <c r="S21" s="13">
        <v>21</v>
      </c>
      <c r="T21" s="13">
        <v>25</v>
      </c>
      <c r="U21" s="13">
        <v>21</v>
      </c>
      <c r="V21" s="13">
        <v>27</v>
      </c>
      <c r="W21" s="13">
        <v>22</v>
      </c>
      <c r="X21" s="13">
        <v>29</v>
      </c>
      <c r="Y21" s="13">
        <v>29</v>
      </c>
      <c r="Z21" s="13">
        <v>23</v>
      </c>
      <c r="AA21" s="13">
        <v>26</v>
      </c>
      <c r="AB21" s="13">
        <v>24</v>
      </c>
      <c r="AC21" s="13">
        <v>20</v>
      </c>
      <c r="AD21" s="13">
        <v>24</v>
      </c>
      <c r="AE21" s="13">
        <v>28</v>
      </c>
      <c r="AF21" s="13">
        <v>25</v>
      </c>
      <c r="AG21" s="13">
        <v>30</v>
      </c>
      <c r="AI21" s="6">
        <f t="shared" si="9"/>
        <v>0.35416666666666657</v>
      </c>
      <c r="AJ21" s="7">
        <f t="shared" si="6"/>
        <v>27.25</v>
      </c>
      <c r="AK21" s="7">
        <f t="shared" si="6"/>
        <v>22.25</v>
      </c>
      <c r="AL21" s="7">
        <f t="shared" si="6"/>
        <v>27.25</v>
      </c>
      <c r="AM21" s="7">
        <f t="shared" si="6"/>
        <v>23.75</v>
      </c>
      <c r="AN21" s="7">
        <f t="shared" si="6"/>
        <v>20.84375</v>
      </c>
      <c r="AO21" s="7">
        <f t="shared" si="6"/>
        <v>24.6875</v>
      </c>
      <c r="AP21" s="7">
        <f t="shared" si="6"/>
        <v>24.875</v>
      </c>
      <c r="AR21" s="6">
        <f t="shared" ref="AR21:AR22" si="13">AR20+"00:30"</f>
        <v>0.35416666666666657</v>
      </c>
      <c r="AS21" s="8">
        <f t="shared" si="7"/>
        <v>9.771402958314657E-3</v>
      </c>
      <c r="AT21" s="8">
        <f t="shared" si="7"/>
        <v>7.9699113459299718E-3</v>
      </c>
      <c r="AU21" s="8">
        <f t="shared" si="7"/>
        <v>9.464270209255882E-3</v>
      </c>
      <c r="AV21" s="8">
        <f t="shared" si="7"/>
        <v>8.3304103823219917E-3</v>
      </c>
      <c r="AW21" s="8">
        <f t="shared" si="7"/>
        <v>9.6810713525438824E-3</v>
      </c>
      <c r="AX21" s="8">
        <f t="shared" si="7"/>
        <v>6.9985825655563428E-3</v>
      </c>
      <c r="AY21" s="8">
        <f t="shared" si="7"/>
        <v>7.0098807615759902E-3</v>
      </c>
      <c r="BA21" s="6">
        <f t="shared" ref="BA21:BA22" si="14">BA20+"00:30"</f>
        <v>0.35416666666666657</v>
      </c>
      <c r="BB21" s="10">
        <f t="shared" si="8"/>
        <v>13.266890689137885</v>
      </c>
      <c r="BC21" s="10">
        <f t="shared" si="3"/>
        <v>10.832598819571302</v>
      </c>
      <c r="BD21" s="10">
        <f t="shared" si="3"/>
        <v>13.266890689137888</v>
      </c>
      <c r="BE21" s="10">
        <f t="shared" si="3"/>
        <v>11.562886380441277</v>
      </c>
      <c r="BF21" s="10">
        <f t="shared" si="3"/>
        <v>10.147954231255699</v>
      </c>
      <c r="BG21" s="10">
        <f t="shared" si="3"/>
        <v>12.019316105985011</v>
      </c>
      <c r="BH21" s="10">
        <f t="shared" si="3"/>
        <v>12.110602051093757</v>
      </c>
    </row>
    <row r="22" spans="1:60" x14ac:dyDescent="0.3">
      <c r="A22">
        <f t="shared" ca="1" si="4"/>
        <v>19</v>
      </c>
      <c r="B22" s="4">
        <f t="shared" ca="1" si="0"/>
        <v>7.8189300411522639E-2</v>
      </c>
      <c r="C22">
        <f t="shared" ca="1" si="5"/>
        <v>78.189300411522638</v>
      </c>
      <c r="E22" s="11">
        <f t="shared" si="12"/>
        <v>0.35416666666666657</v>
      </c>
      <c r="F22" s="13">
        <v>27</v>
      </c>
      <c r="G22" s="13">
        <v>21</v>
      </c>
      <c r="H22" s="13">
        <v>21</v>
      </c>
      <c r="I22" s="13">
        <v>26</v>
      </c>
      <c r="J22" s="13">
        <v>29</v>
      </c>
      <c r="K22" s="13">
        <v>20</v>
      </c>
      <c r="L22" s="13">
        <v>24</v>
      </c>
      <c r="M22" s="13">
        <v>24</v>
      </c>
      <c r="N22" s="13">
        <v>26</v>
      </c>
      <c r="O22" s="13">
        <v>26</v>
      </c>
      <c r="P22" s="13">
        <v>28</v>
      </c>
      <c r="Q22" s="13">
        <v>25</v>
      </c>
      <c r="R22" s="13">
        <v>22</v>
      </c>
      <c r="S22" s="13">
        <v>23</v>
      </c>
      <c r="T22" s="13">
        <v>29</v>
      </c>
      <c r="U22" s="13">
        <v>27</v>
      </c>
      <c r="V22" s="13">
        <v>22</v>
      </c>
      <c r="W22" s="13">
        <v>22</v>
      </c>
      <c r="X22" s="13">
        <v>26</v>
      </c>
      <c r="Y22" s="13">
        <v>30</v>
      </c>
      <c r="Z22" s="13">
        <v>24</v>
      </c>
      <c r="AA22" s="13">
        <v>29</v>
      </c>
      <c r="AB22" s="13">
        <v>30</v>
      </c>
      <c r="AC22" s="13">
        <v>20</v>
      </c>
      <c r="AD22" s="13">
        <v>22</v>
      </c>
      <c r="AE22" s="13">
        <v>29</v>
      </c>
      <c r="AF22" s="13">
        <v>24</v>
      </c>
      <c r="AG22" s="13">
        <v>24</v>
      </c>
      <c r="AI22" s="6">
        <f t="shared" si="9"/>
        <v>0.37499999999999989</v>
      </c>
      <c r="AJ22" s="7">
        <f t="shared" si="6"/>
        <v>24.25</v>
      </c>
      <c r="AK22" s="7">
        <f t="shared" si="6"/>
        <v>26.75</v>
      </c>
      <c r="AL22" s="7">
        <f t="shared" si="6"/>
        <v>24.75</v>
      </c>
      <c r="AM22" s="7">
        <f t="shared" si="6"/>
        <v>23.5</v>
      </c>
      <c r="AN22" s="7">
        <f t="shared" si="6"/>
        <v>17.598958333333332</v>
      </c>
      <c r="AO22" s="7">
        <f t="shared" si="6"/>
        <v>44.375</v>
      </c>
      <c r="AP22" s="7">
        <f t="shared" si="6"/>
        <v>43.75</v>
      </c>
      <c r="AR22" s="6">
        <f t="shared" si="13"/>
        <v>0.37499999999999989</v>
      </c>
      <c r="AS22" s="8">
        <f t="shared" si="7"/>
        <v>8.6956521739130436E-3</v>
      </c>
      <c r="AT22" s="8">
        <f t="shared" si="7"/>
        <v>9.5818035282528875E-3</v>
      </c>
      <c r="AU22" s="8">
        <f t="shared" si="7"/>
        <v>8.5959885386819486E-3</v>
      </c>
      <c r="AV22" s="8">
        <f t="shared" si="7"/>
        <v>8.2427218519817609E-3</v>
      </c>
      <c r="AW22" s="8">
        <f t="shared" si="7"/>
        <v>8.1739980260484204E-3</v>
      </c>
      <c r="AX22" s="8">
        <f t="shared" si="7"/>
        <v>1.2579730687455706E-2</v>
      </c>
      <c r="AY22" s="8">
        <f t="shared" si="7"/>
        <v>1.2328936012822093E-2</v>
      </c>
      <c r="BA22" s="6">
        <f t="shared" si="14"/>
        <v>0.37499999999999989</v>
      </c>
      <c r="BB22" s="10">
        <f t="shared" si="8"/>
        <v>11.806315567397935</v>
      </c>
      <c r="BC22" s="10">
        <f t="shared" si="3"/>
        <v>13.023461502181226</v>
      </c>
      <c r="BD22" s="10">
        <f t="shared" si="3"/>
        <v>12.049744754354595</v>
      </c>
      <c r="BE22" s="10">
        <f t="shared" si="3"/>
        <v>11.441171786962951</v>
      </c>
      <c r="BF22" s="10">
        <f t="shared" si="3"/>
        <v>8.5682002367348851</v>
      </c>
      <c r="BG22" s="10">
        <f t="shared" si="3"/>
        <v>21.604340342403439</v>
      </c>
      <c r="BH22" s="10">
        <f t="shared" si="3"/>
        <v>21.300053858707614</v>
      </c>
    </row>
    <row r="23" spans="1:60" x14ac:dyDescent="0.3">
      <c r="A23">
        <f t="shared" ca="1" si="4"/>
        <v>11</v>
      </c>
      <c r="B23" s="4">
        <f t="shared" ca="1" si="0"/>
        <v>4.5267489711934158E-2</v>
      </c>
      <c r="C23">
        <f t="shared" ca="1" si="5"/>
        <v>45.267489711934161</v>
      </c>
      <c r="E23" s="11">
        <f t="shared" si="12"/>
        <v>0.37499999999999989</v>
      </c>
      <c r="F23" s="13">
        <v>24</v>
      </c>
      <c r="G23" s="13">
        <v>21</v>
      </c>
      <c r="H23" s="13">
        <v>25</v>
      </c>
      <c r="I23" s="13">
        <v>30</v>
      </c>
      <c r="J23" s="13">
        <v>23</v>
      </c>
      <c r="K23" s="13">
        <v>26</v>
      </c>
      <c r="L23" s="13">
        <v>22</v>
      </c>
      <c r="M23" s="13">
        <v>27</v>
      </c>
      <c r="N23" s="13">
        <v>21</v>
      </c>
      <c r="O23" s="13">
        <v>28</v>
      </c>
      <c r="P23" s="13">
        <v>20</v>
      </c>
      <c r="Q23" s="13">
        <v>24</v>
      </c>
      <c r="R23" s="13">
        <v>28</v>
      </c>
      <c r="S23" s="13">
        <v>25</v>
      </c>
      <c r="T23" s="13">
        <v>23</v>
      </c>
      <c r="U23" s="13">
        <v>20</v>
      </c>
      <c r="V23" s="13">
        <v>24</v>
      </c>
      <c r="W23" s="13">
        <v>23</v>
      </c>
      <c r="X23" s="13">
        <v>29</v>
      </c>
      <c r="Y23" s="13">
        <v>27</v>
      </c>
      <c r="Z23" s="13">
        <v>20</v>
      </c>
      <c r="AA23" s="13">
        <v>23</v>
      </c>
      <c r="AB23" s="13">
        <v>29</v>
      </c>
      <c r="AC23" s="13">
        <v>30</v>
      </c>
      <c r="AD23" s="13">
        <v>26</v>
      </c>
      <c r="AE23" s="13">
        <v>23</v>
      </c>
      <c r="AF23" s="13">
        <v>20</v>
      </c>
      <c r="AG23" s="13">
        <v>27</v>
      </c>
      <c r="AI23" s="6">
        <f>AI22+"00:30"</f>
        <v>0.3958333333333332</v>
      </c>
      <c r="AJ23" s="7">
        <f t="shared" si="6"/>
        <v>98</v>
      </c>
      <c r="AK23" s="7">
        <f t="shared" si="6"/>
        <v>108.5</v>
      </c>
      <c r="AL23" s="7">
        <f t="shared" si="6"/>
        <v>103.5</v>
      </c>
      <c r="AM23" s="7">
        <f t="shared" si="6"/>
        <v>100</v>
      </c>
      <c r="AN23" s="7">
        <f t="shared" si="6"/>
        <v>83.854166666666671</v>
      </c>
      <c r="AO23" s="7">
        <f t="shared" si="6"/>
        <v>93</v>
      </c>
      <c r="AP23" s="7">
        <f t="shared" si="6"/>
        <v>94.875</v>
      </c>
      <c r="AR23" s="6">
        <f>AR22+"00:30"</f>
        <v>0.3958333333333332</v>
      </c>
      <c r="AS23" s="8">
        <f t="shared" si="7"/>
        <v>3.5141192290452712E-2</v>
      </c>
      <c r="AT23" s="8">
        <f t="shared" si="7"/>
        <v>3.8864511507119191E-2</v>
      </c>
      <c r="AU23" s="8">
        <f t="shared" si="7"/>
        <v>3.5946861161760872E-2</v>
      </c>
      <c r="AV23" s="8">
        <f t="shared" si="7"/>
        <v>3.5075412136092596E-2</v>
      </c>
      <c r="AW23" s="8">
        <f t="shared" si="7"/>
        <v>3.8946838774601825E-2</v>
      </c>
      <c r="AX23" s="8">
        <f t="shared" si="7"/>
        <v>2.6364280652019845E-2</v>
      </c>
      <c r="AY23" s="8">
        <f t="shared" si="7"/>
        <v>2.6736178382091341E-2</v>
      </c>
      <c r="BA23" s="6">
        <f>BA22+"00:30"</f>
        <v>0.3958333333333332</v>
      </c>
      <c r="BB23" s="10">
        <f t="shared" si="8"/>
        <v>47.712120643505052</v>
      </c>
      <c r="BC23" s="10">
        <f t="shared" si="3"/>
        <v>52.824133569594892</v>
      </c>
      <c r="BD23" s="10">
        <f t="shared" si="3"/>
        <v>50.389841700028299</v>
      </c>
      <c r="BE23" s="10">
        <f t="shared" si="3"/>
        <v>48.685837391331695</v>
      </c>
      <c r="BF23" s="10">
        <f t="shared" si="3"/>
        <v>40.825103229189594</v>
      </c>
      <c r="BG23" s="10">
        <f t="shared" si="3"/>
        <v>45.277828773938481</v>
      </c>
      <c r="BH23" s="10">
        <f t="shared" si="3"/>
        <v>46.190688225025944</v>
      </c>
    </row>
    <row r="24" spans="1:60" x14ac:dyDescent="0.3">
      <c r="A24">
        <f t="shared" ca="1" si="4"/>
        <v>13</v>
      </c>
      <c r="B24" s="4">
        <f t="shared" ca="1" si="0"/>
        <v>5.3497942386831275E-2</v>
      </c>
      <c r="C24">
        <f t="shared" ca="1" si="5"/>
        <v>53.497942386831276</v>
      </c>
      <c r="E24" s="11">
        <f t="shared" si="12"/>
        <v>0.3958333333333332</v>
      </c>
      <c r="F24" s="13">
        <v>109</v>
      </c>
      <c r="G24" s="13">
        <v>107</v>
      </c>
      <c r="H24" s="13">
        <v>115</v>
      </c>
      <c r="I24" s="13">
        <v>85</v>
      </c>
      <c r="J24" s="13">
        <v>115</v>
      </c>
      <c r="K24" s="13">
        <v>86</v>
      </c>
      <c r="L24" s="13">
        <v>100</v>
      </c>
      <c r="M24" s="13">
        <v>110</v>
      </c>
      <c r="N24" s="13">
        <v>117</v>
      </c>
      <c r="O24" s="13">
        <v>99</v>
      </c>
      <c r="P24" s="13">
        <v>99</v>
      </c>
      <c r="Q24" s="13">
        <v>114</v>
      </c>
      <c r="R24" s="13">
        <v>80</v>
      </c>
      <c r="S24" s="13">
        <v>89</v>
      </c>
      <c r="T24" s="13">
        <v>88</v>
      </c>
      <c r="U24" s="13">
        <v>111</v>
      </c>
      <c r="V24" s="13">
        <v>114</v>
      </c>
      <c r="W24" s="13">
        <v>93</v>
      </c>
      <c r="X24" s="13">
        <v>82</v>
      </c>
      <c r="Y24" s="13">
        <v>94</v>
      </c>
      <c r="Z24" s="13">
        <v>100</v>
      </c>
      <c r="AA24" s="13">
        <v>85</v>
      </c>
      <c r="AB24" s="13">
        <v>107</v>
      </c>
      <c r="AC24" s="13">
        <v>106</v>
      </c>
      <c r="AD24" s="13">
        <v>85</v>
      </c>
      <c r="AE24" s="13">
        <v>103</v>
      </c>
      <c r="AF24" s="13">
        <v>108</v>
      </c>
      <c r="AG24" s="13">
        <v>111</v>
      </c>
      <c r="AI24" s="6">
        <f t="shared" si="9"/>
        <v>0.41666666666666652</v>
      </c>
      <c r="AJ24" s="7">
        <f t="shared" si="6"/>
        <v>89.5</v>
      </c>
      <c r="AK24" s="7">
        <f t="shared" si="6"/>
        <v>95</v>
      </c>
      <c r="AL24" s="7">
        <f t="shared" si="6"/>
        <v>102.5</v>
      </c>
      <c r="AM24" s="7">
        <f t="shared" si="6"/>
        <v>97.5</v>
      </c>
      <c r="AN24" s="7">
        <f t="shared" si="6"/>
        <v>85.859375</v>
      </c>
      <c r="AO24" s="7">
        <f t="shared" si="6"/>
        <v>100.625</v>
      </c>
      <c r="AP24" s="7">
        <f t="shared" si="6"/>
        <v>94.75</v>
      </c>
      <c r="AR24" s="6">
        <f t="shared" ref="AR24:AR27" si="15">AR23+"00:30"</f>
        <v>0.41666666666666652</v>
      </c>
      <c r="AS24" s="8">
        <f t="shared" si="7"/>
        <v>3.2093231734648141E-2</v>
      </c>
      <c r="AT24" s="8">
        <f t="shared" si="7"/>
        <v>3.4028834960150446E-2</v>
      </c>
      <c r="AU24" s="8">
        <f t="shared" si="7"/>
        <v>3.5599548493531301E-2</v>
      </c>
      <c r="AV24" s="8">
        <f t="shared" si="7"/>
        <v>3.4198526832690285E-2</v>
      </c>
      <c r="AW24" s="8">
        <f t="shared" si="7"/>
        <v>3.9878176223559693E-2</v>
      </c>
      <c r="AX24" s="8">
        <f t="shared" si="7"/>
        <v>2.8525868178596741E-2</v>
      </c>
      <c r="AY24" s="8">
        <f t="shared" si="7"/>
        <v>2.6700952850626136E-2</v>
      </c>
      <c r="BA24" s="6">
        <f t="shared" ref="BA24:BA27" si="16">BA23+"00:30"</f>
        <v>0.41666666666666652</v>
      </c>
      <c r="BB24" s="10">
        <f t="shared" si="8"/>
        <v>43.573824465241863</v>
      </c>
      <c r="BC24" s="10">
        <f t="shared" si="3"/>
        <v>46.251545521765117</v>
      </c>
      <c r="BD24" s="10">
        <f t="shared" si="3"/>
        <v>49.902983326114992</v>
      </c>
      <c r="BE24" s="10">
        <f t="shared" si="3"/>
        <v>47.468691456548406</v>
      </c>
      <c r="BF24" s="10">
        <f t="shared" si="3"/>
        <v>41.801355697713696</v>
      </c>
      <c r="BG24" s="10">
        <f t="shared" si="3"/>
        <v>48.990123875027514</v>
      </c>
      <c r="BH24" s="10">
        <f t="shared" si="3"/>
        <v>46.129830928286779</v>
      </c>
    </row>
    <row r="25" spans="1:60" x14ac:dyDescent="0.3">
      <c r="E25" s="11">
        <f t="shared" si="12"/>
        <v>0.41666666666666652</v>
      </c>
      <c r="F25" s="13">
        <v>91</v>
      </c>
      <c r="G25" s="13">
        <v>95</v>
      </c>
      <c r="H25" s="13">
        <v>109</v>
      </c>
      <c r="I25" s="13">
        <v>93</v>
      </c>
      <c r="J25" s="13">
        <v>117</v>
      </c>
      <c r="K25" s="13">
        <v>115</v>
      </c>
      <c r="L25" s="13">
        <v>105</v>
      </c>
      <c r="M25" s="13">
        <v>84</v>
      </c>
      <c r="N25" s="13">
        <v>106</v>
      </c>
      <c r="O25" s="13">
        <v>89</v>
      </c>
      <c r="P25" s="13">
        <v>81</v>
      </c>
      <c r="Q25" s="13">
        <v>97</v>
      </c>
      <c r="R25" s="13">
        <v>93</v>
      </c>
      <c r="S25" s="13">
        <v>90</v>
      </c>
      <c r="T25" s="13">
        <v>82</v>
      </c>
      <c r="U25" s="13">
        <v>118</v>
      </c>
      <c r="V25" s="13">
        <v>85</v>
      </c>
      <c r="W25" s="13">
        <v>118</v>
      </c>
      <c r="X25" s="13">
        <v>102</v>
      </c>
      <c r="Y25" s="13">
        <v>83</v>
      </c>
      <c r="Z25" s="13">
        <v>82</v>
      </c>
      <c r="AA25" s="13">
        <v>101</v>
      </c>
      <c r="AB25" s="13">
        <v>119</v>
      </c>
      <c r="AC25" s="13">
        <v>97</v>
      </c>
      <c r="AD25" s="13">
        <v>112</v>
      </c>
      <c r="AE25" s="13">
        <v>94</v>
      </c>
      <c r="AF25" s="13">
        <v>107</v>
      </c>
      <c r="AG25" s="13">
        <v>113</v>
      </c>
      <c r="AI25" s="6">
        <f t="shared" si="9"/>
        <v>0.43749999999999983</v>
      </c>
      <c r="AJ25" s="7">
        <f t="shared" si="6"/>
        <v>88.75</v>
      </c>
      <c r="AK25" s="7">
        <f t="shared" si="6"/>
        <v>91.5</v>
      </c>
      <c r="AL25" s="7">
        <f t="shared" si="6"/>
        <v>105.25</v>
      </c>
      <c r="AM25" s="7">
        <f t="shared" si="6"/>
        <v>96</v>
      </c>
      <c r="AN25" s="7">
        <f t="shared" si="6"/>
        <v>72.114583333333329</v>
      </c>
      <c r="AO25" s="7">
        <f t="shared" si="6"/>
        <v>102.0625</v>
      </c>
      <c r="AP25" s="7">
        <f t="shared" si="6"/>
        <v>108</v>
      </c>
      <c r="AR25" s="6">
        <f t="shared" si="15"/>
        <v>0.43749999999999983</v>
      </c>
      <c r="AS25" s="8">
        <f t="shared" si="7"/>
        <v>3.1824294038547737E-2</v>
      </c>
      <c r="AT25" s="8">
        <f t="shared" si="7"/>
        <v>3.2775141040565954E-2</v>
      </c>
      <c r="AU25" s="8">
        <f t="shared" si="7"/>
        <v>3.6554658331162629E-2</v>
      </c>
      <c r="AV25" s="8">
        <f t="shared" si="7"/>
        <v>3.3672395650648897E-2</v>
      </c>
      <c r="AW25" s="8">
        <f t="shared" si="7"/>
        <v>3.3494281346157569E-2</v>
      </c>
      <c r="AX25" s="8">
        <f t="shared" si="7"/>
        <v>2.8933380581148121E-2</v>
      </c>
      <c r="AY25" s="8">
        <f t="shared" si="7"/>
        <v>3.0434859185937968E-2</v>
      </c>
      <c r="BA25" s="6">
        <f t="shared" si="16"/>
        <v>0.43749999999999983</v>
      </c>
      <c r="BB25" s="10">
        <f t="shared" si="8"/>
        <v>43.208680684806879</v>
      </c>
      <c r="BC25" s="10">
        <f t="shared" si="3"/>
        <v>44.547541213068506</v>
      </c>
      <c r="BD25" s="10">
        <f t="shared" si="3"/>
        <v>51.241843854376619</v>
      </c>
      <c r="BE25" s="10">
        <f t="shared" si="3"/>
        <v>46.738403895678431</v>
      </c>
      <c r="BF25" s="10">
        <f t="shared" si="3"/>
        <v>35.109588777103049</v>
      </c>
      <c r="BG25" s="10">
        <f t="shared" si="3"/>
        <v>49.68998278752791</v>
      </c>
      <c r="BH25" s="10">
        <f t="shared" si="3"/>
        <v>52.580704382638224</v>
      </c>
    </row>
    <row r="26" spans="1:60" x14ac:dyDescent="0.3">
      <c r="E26" s="11">
        <f t="shared" si="12"/>
        <v>0.43749999999999983</v>
      </c>
      <c r="F26" s="13">
        <v>81</v>
      </c>
      <c r="G26" s="13">
        <v>80</v>
      </c>
      <c r="H26" s="13">
        <v>104</v>
      </c>
      <c r="I26" s="13">
        <v>108</v>
      </c>
      <c r="J26" s="13">
        <v>101</v>
      </c>
      <c r="K26" s="13">
        <v>93</v>
      </c>
      <c r="L26" s="13">
        <v>112</v>
      </c>
      <c r="M26" s="13">
        <v>95</v>
      </c>
      <c r="N26" s="13">
        <v>96</v>
      </c>
      <c r="O26" s="13">
        <v>93</v>
      </c>
      <c r="P26" s="13">
        <v>105</v>
      </c>
      <c r="Q26" s="13">
        <v>88</v>
      </c>
      <c r="R26" s="13">
        <v>118</v>
      </c>
      <c r="S26" s="13">
        <v>103</v>
      </c>
      <c r="T26" s="13">
        <v>81</v>
      </c>
      <c r="U26" s="13">
        <v>80</v>
      </c>
      <c r="V26" s="13">
        <v>85</v>
      </c>
      <c r="W26" s="13">
        <v>86</v>
      </c>
      <c r="X26" s="13">
        <v>115</v>
      </c>
      <c r="Y26" s="13">
        <v>96</v>
      </c>
      <c r="Z26" s="13">
        <v>81</v>
      </c>
      <c r="AA26" s="13">
        <v>98</v>
      </c>
      <c r="AB26" s="13">
        <v>112</v>
      </c>
      <c r="AC26" s="13">
        <v>84</v>
      </c>
      <c r="AD26" s="13">
        <v>118</v>
      </c>
      <c r="AE26" s="13">
        <v>117</v>
      </c>
      <c r="AF26" s="13">
        <v>110</v>
      </c>
      <c r="AG26" s="13">
        <v>88</v>
      </c>
      <c r="AI26" s="6">
        <f t="shared" si="9"/>
        <v>0.45833333333333315</v>
      </c>
      <c r="AJ26" s="7">
        <f t="shared" si="6"/>
        <v>93.75</v>
      </c>
      <c r="AK26" s="7">
        <f t="shared" si="6"/>
        <v>99.25</v>
      </c>
      <c r="AL26" s="7">
        <f t="shared" si="6"/>
        <v>103.25</v>
      </c>
      <c r="AM26" s="7">
        <f t="shared" si="6"/>
        <v>108</v>
      </c>
      <c r="AN26" s="7">
        <f t="shared" si="6"/>
        <v>74.119791666666671</v>
      </c>
      <c r="AO26" s="7">
        <f t="shared" si="6"/>
        <v>103.5</v>
      </c>
      <c r="AP26" s="7">
        <f t="shared" si="6"/>
        <v>101.625</v>
      </c>
      <c r="AR26" s="6">
        <f t="shared" si="15"/>
        <v>0.45833333333333315</v>
      </c>
      <c r="AS26" s="8">
        <f t="shared" si="7"/>
        <v>3.3617212012550426E-2</v>
      </c>
      <c r="AT26" s="8">
        <f t="shared" si="7"/>
        <v>3.5551177576788752E-2</v>
      </c>
      <c r="AU26" s="8">
        <f t="shared" si="7"/>
        <v>3.5860032994703479E-2</v>
      </c>
      <c r="AV26" s="8">
        <f t="shared" si="7"/>
        <v>3.7881445106980008E-2</v>
      </c>
      <c r="AW26" s="8">
        <f t="shared" si="7"/>
        <v>3.4425618795115444E-2</v>
      </c>
      <c r="AX26" s="8">
        <f t="shared" si="7"/>
        <v>2.9340892983699504E-2</v>
      </c>
      <c r="AY26" s="8">
        <f t="shared" si="7"/>
        <v>2.8638357081212464E-2</v>
      </c>
      <c r="BA26" s="6">
        <f t="shared" si="16"/>
        <v>0.45833333333333315</v>
      </c>
      <c r="BB26" s="10">
        <f t="shared" si="8"/>
        <v>45.642972554373458</v>
      </c>
      <c r="BC26" s="10">
        <f t="shared" si="3"/>
        <v>48.320693610896704</v>
      </c>
      <c r="BD26" s="10">
        <f t="shared" si="3"/>
        <v>50.268127106549976</v>
      </c>
      <c r="BE26" s="10">
        <f t="shared" si="3"/>
        <v>52.580704382638238</v>
      </c>
      <c r="BF26" s="10">
        <f t="shared" si="3"/>
        <v>36.085841245627158</v>
      </c>
      <c r="BG26" s="10">
        <f t="shared" si="3"/>
        <v>50.389841700028299</v>
      </c>
      <c r="BH26" s="10">
        <f t="shared" si="3"/>
        <v>49.476982248940828</v>
      </c>
    </row>
    <row r="27" spans="1:60" x14ac:dyDescent="0.3">
      <c r="E27" s="11">
        <f t="shared" si="12"/>
        <v>0.45833333333333315</v>
      </c>
      <c r="F27" s="13">
        <v>83</v>
      </c>
      <c r="G27" s="13">
        <v>84</v>
      </c>
      <c r="H27" s="13">
        <v>82</v>
      </c>
      <c r="I27" s="13">
        <v>119</v>
      </c>
      <c r="J27" s="13">
        <v>96</v>
      </c>
      <c r="K27" s="13">
        <v>85</v>
      </c>
      <c r="L27" s="13">
        <v>119</v>
      </c>
      <c r="M27" s="13">
        <v>101</v>
      </c>
      <c r="N27" s="13">
        <v>102</v>
      </c>
      <c r="O27" s="13">
        <v>113</v>
      </c>
      <c r="P27" s="13">
        <v>110</v>
      </c>
      <c r="Q27" s="13">
        <v>114</v>
      </c>
      <c r="R27" s="13">
        <v>84</v>
      </c>
      <c r="S27" s="13">
        <v>89</v>
      </c>
      <c r="T27" s="13">
        <v>91</v>
      </c>
      <c r="U27" s="13">
        <v>99</v>
      </c>
      <c r="V27" s="13">
        <v>94</v>
      </c>
      <c r="W27" s="13">
        <v>113</v>
      </c>
      <c r="X27" s="13">
        <v>83</v>
      </c>
      <c r="Y27" s="13">
        <v>109</v>
      </c>
      <c r="Z27" s="13">
        <v>113</v>
      </c>
      <c r="AA27" s="13">
        <v>100</v>
      </c>
      <c r="AB27" s="13">
        <v>95</v>
      </c>
      <c r="AC27" s="13">
        <v>108</v>
      </c>
      <c r="AD27" s="13">
        <v>87</v>
      </c>
      <c r="AE27" s="13">
        <v>120</v>
      </c>
      <c r="AF27" s="13">
        <v>107</v>
      </c>
      <c r="AG27" s="13">
        <v>111</v>
      </c>
      <c r="AI27" s="6">
        <f t="shared" si="9"/>
        <v>0.47916666666666646</v>
      </c>
      <c r="AJ27" s="7">
        <f t="shared" si="6"/>
        <v>97.25</v>
      </c>
      <c r="AK27" s="7">
        <f t="shared" si="6"/>
        <v>104</v>
      </c>
      <c r="AL27" s="7">
        <f t="shared" si="6"/>
        <v>104.75</v>
      </c>
      <c r="AM27" s="7">
        <f t="shared" si="6"/>
        <v>106.5</v>
      </c>
      <c r="AN27" s="7">
        <f t="shared" si="6"/>
        <v>66.375</v>
      </c>
      <c r="AO27" s="7">
        <f t="shared" si="6"/>
        <v>95.4375</v>
      </c>
      <c r="AP27" s="7">
        <f t="shared" si="6"/>
        <v>100.125</v>
      </c>
      <c r="AR27" s="6">
        <f t="shared" si="15"/>
        <v>0.47916666666666646</v>
      </c>
      <c r="AS27" s="8">
        <f t="shared" si="7"/>
        <v>3.4872254594352309E-2</v>
      </c>
      <c r="AT27" s="8">
        <f t="shared" si="7"/>
        <v>3.7252619324796274E-2</v>
      </c>
      <c r="AU27" s="8">
        <f t="shared" si="7"/>
        <v>3.6381001997047843E-2</v>
      </c>
      <c r="AV27" s="8">
        <f t="shared" si="7"/>
        <v>3.735531392493862E-2</v>
      </c>
      <c r="AW27" s="8">
        <f t="shared" si="7"/>
        <v>3.082847908965998E-2</v>
      </c>
      <c r="AX27" s="8">
        <f t="shared" si="7"/>
        <v>2.7055279943302622E-2</v>
      </c>
      <c r="AY27" s="8">
        <f t="shared" si="7"/>
        <v>2.8215650703629989E-2</v>
      </c>
      <c r="BA27" s="6">
        <f t="shared" si="16"/>
        <v>0.47916666666666646</v>
      </c>
      <c r="BB27" s="10">
        <f t="shared" si="8"/>
        <v>47.346976863070068</v>
      </c>
      <c r="BC27" s="10">
        <f t="shared" si="3"/>
        <v>50.63327088698496</v>
      </c>
      <c r="BD27" s="10">
        <f t="shared" si="3"/>
        <v>50.998414667419958</v>
      </c>
      <c r="BE27" s="10">
        <f t="shared" si="3"/>
        <v>51.850416821768263</v>
      </c>
      <c r="BF27" s="10">
        <f t="shared" si="3"/>
        <v>32.315224568496411</v>
      </c>
      <c r="BG27" s="10">
        <f t="shared" si="3"/>
        <v>46.464546060352184</v>
      </c>
      <c r="BH27" s="10">
        <f t="shared" si="3"/>
        <v>48.746694688070853</v>
      </c>
    </row>
    <row r="28" spans="1:60" x14ac:dyDescent="0.3">
      <c r="E28" s="11">
        <f t="shared" si="12"/>
        <v>0.47916666666666646</v>
      </c>
      <c r="F28" s="13">
        <v>118</v>
      </c>
      <c r="G28" s="13">
        <v>84</v>
      </c>
      <c r="H28" s="13">
        <v>96</v>
      </c>
      <c r="I28" s="13">
        <v>115</v>
      </c>
      <c r="J28" s="13">
        <v>118</v>
      </c>
      <c r="K28" s="13">
        <v>109</v>
      </c>
      <c r="L28" s="13">
        <v>112</v>
      </c>
      <c r="M28" s="13">
        <v>89</v>
      </c>
      <c r="N28" s="13">
        <v>89</v>
      </c>
      <c r="O28" s="13">
        <v>108</v>
      </c>
      <c r="P28" s="13">
        <v>100</v>
      </c>
      <c r="Q28" s="13">
        <v>90</v>
      </c>
      <c r="R28" s="13">
        <v>102</v>
      </c>
      <c r="S28" s="13">
        <v>106</v>
      </c>
      <c r="T28" s="13">
        <v>96</v>
      </c>
      <c r="U28" s="13">
        <v>90</v>
      </c>
      <c r="V28" s="13">
        <v>99</v>
      </c>
      <c r="W28" s="13">
        <v>98</v>
      </c>
      <c r="X28" s="13">
        <v>94</v>
      </c>
      <c r="Y28" s="13">
        <v>99</v>
      </c>
      <c r="Z28" s="13">
        <v>90</v>
      </c>
      <c r="AA28" s="13">
        <v>86</v>
      </c>
      <c r="AB28" s="13">
        <v>86</v>
      </c>
      <c r="AC28" s="13">
        <v>113</v>
      </c>
      <c r="AD28" s="13">
        <v>93</v>
      </c>
      <c r="AE28" s="13">
        <v>117</v>
      </c>
      <c r="AF28" s="13">
        <v>109</v>
      </c>
      <c r="AG28" s="13">
        <v>118</v>
      </c>
      <c r="AI28" s="14">
        <f t="shared" ref="AI28:AI51" si="17">AI27+"00:30"</f>
        <v>0.49999999999999978</v>
      </c>
      <c r="AJ28" s="7">
        <f>AVERAGEIF($F$4:$AG$4,AJ$3,F29:AG29)</f>
        <v>101.25</v>
      </c>
      <c r="AK28" s="7">
        <f t="shared" ref="AK28:AL51" si="18">AVERAGEIF($F$4:$AG$4,AK$3,G29:AH29)</f>
        <v>90.75</v>
      </c>
      <c r="AL28" s="7">
        <f>AVERAGEIF($F$4:$AG$4,AL$3,H29:AI29)</f>
        <v>96.75</v>
      </c>
      <c r="AM28" s="7">
        <f t="shared" ref="AM28:AP51" si="19">AVERAGEIF($F$4:$AG$4,AM$3,I29:AJ29)</f>
        <v>90.5</v>
      </c>
      <c r="AN28" s="7">
        <f t="shared" si="19"/>
        <v>74.880208333333329</v>
      </c>
      <c r="AO28" s="7">
        <f t="shared" si="19"/>
        <v>92.6875</v>
      </c>
      <c r="AP28" s="7">
        <f t="shared" si="19"/>
        <v>106.625</v>
      </c>
      <c r="AR28" s="14">
        <f t="shared" ref="AR28:AR51" si="20">AR27+"00:30"</f>
        <v>0.49999999999999978</v>
      </c>
      <c r="AS28" s="8">
        <f t="shared" si="7"/>
        <v>3.630658897355446E-2</v>
      </c>
      <c r="AT28" s="8">
        <f t="shared" si="7"/>
        <v>3.2506492343512133E-2</v>
      </c>
      <c r="AU28" s="8">
        <f t="shared" si="7"/>
        <v>3.3602500651211252E-2</v>
      </c>
      <c r="AV28" s="8">
        <f t="shared" si="7"/>
        <v>3.1743247983163803E-2</v>
      </c>
      <c r="AW28" s="8">
        <f t="shared" si="7"/>
        <v>3.4778801308226734E-2</v>
      </c>
      <c r="AX28" s="8">
        <f t="shared" si="7"/>
        <v>2.6275690999291283E-2</v>
      </c>
      <c r="AY28" s="8">
        <f t="shared" si="7"/>
        <v>3.0047378339820702E-2</v>
      </c>
      <c r="BA28" s="14">
        <f t="shared" ref="BA28:BA51" si="21">BA27+"00:30"</f>
        <v>0.49999999999999978</v>
      </c>
      <c r="BB28" s="10">
        <f t="shared" si="8"/>
        <v>49.29441035872334</v>
      </c>
      <c r="BC28" s="10">
        <f t="shared" si="3"/>
        <v>44.182397432633508</v>
      </c>
      <c r="BD28" s="10">
        <f t="shared" si="3"/>
        <v>47.103547676113415</v>
      </c>
      <c r="BE28" s="10">
        <f t="shared" si="3"/>
        <v>44.060682839155184</v>
      </c>
      <c r="BF28" s="10">
        <f t="shared" si="3"/>
        <v>36.456056467457067</v>
      </c>
      <c r="BG28" s="10">
        <f t="shared" si="3"/>
        <v>45.125685532090564</v>
      </c>
      <c r="BH28" s="10">
        <f t="shared" si="3"/>
        <v>51.911274118507421</v>
      </c>
    </row>
    <row r="29" spans="1:60" x14ac:dyDescent="0.3">
      <c r="E29" s="11">
        <f t="shared" si="12"/>
        <v>0.49999999999999978</v>
      </c>
      <c r="F29" s="13">
        <v>118</v>
      </c>
      <c r="G29" s="13">
        <v>80</v>
      </c>
      <c r="H29" s="13">
        <v>91</v>
      </c>
      <c r="I29" s="13">
        <v>116</v>
      </c>
      <c r="J29" s="13">
        <v>116</v>
      </c>
      <c r="K29" s="13">
        <v>102</v>
      </c>
      <c r="L29" s="13">
        <v>90</v>
      </c>
      <c r="M29" s="13">
        <v>97</v>
      </c>
      <c r="N29" s="13">
        <v>98</v>
      </c>
      <c r="O29" s="13">
        <v>98</v>
      </c>
      <c r="P29" s="13">
        <v>87</v>
      </c>
      <c r="Q29" s="13">
        <v>91</v>
      </c>
      <c r="R29" s="13">
        <v>112</v>
      </c>
      <c r="S29" s="13">
        <v>105</v>
      </c>
      <c r="T29" s="13">
        <v>98</v>
      </c>
      <c r="U29" s="13">
        <v>100</v>
      </c>
      <c r="V29" s="13">
        <v>92</v>
      </c>
      <c r="W29" s="13">
        <v>88</v>
      </c>
      <c r="X29" s="13">
        <v>99</v>
      </c>
      <c r="Y29" s="13">
        <v>95</v>
      </c>
      <c r="Z29" s="13">
        <v>83</v>
      </c>
      <c r="AA29" s="13">
        <v>92</v>
      </c>
      <c r="AB29" s="13">
        <v>101</v>
      </c>
      <c r="AC29" s="13">
        <v>82</v>
      </c>
      <c r="AD29" s="13">
        <v>102</v>
      </c>
      <c r="AE29" s="13">
        <v>81</v>
      </c>
      <c r="AF29" s="13">
        <v>119</v>
      </c>
      <c r="AG29" s="13">
        <v>84</v>
      </c>
      <c r="AI29" s="15">
        <f t="shared" si="17"/>
        <v>0.52083333333333315</v>
      </c>
      <c r="AJ29" s="7">
        <f>AVERAGEIF($F$4:$AG$4,AJ$3,F30:AG30)</f>
        <v>96</v>
      </c>
      <c r="AK29" s="7">
        <f t="shared" si="18"/>
        <v>93.75</v>
      </c>
      <c r="AL29" s="7">
        <f t="shared" si="18"/>
        <v>95</v>
      </c>
      <c r="AM29" s="7">
        <f t="shared" si="19"/>
        <v>100.5</v>
      </c>
      <c r="AN29" s="7">
        <f t="shared" si="19"/>
        <v>83.135416666666671</v>
      </c>
      <c r="AO29" s="7">
        <f t="shared" si="19"/>
        <v>102.4375</v>
      </c>
      <c r="AP29" s="7">
        <f t="shared" si="19"/>
        <v>106.375</v>
      </c>
      <c r="AR29" s="15">
        <f t="shared" si="20"/>
        <v>0.52083333333333315</v>
      </c>
      <c r="AS29" s="8">
        <f t="shared" si="7"/>
        <v>3.4424025100851637E-2</v>
      </c>
      <c r="AT29" s="8">
        <f t="shared" si="7"/>
        <v>3.3581087131727409E-2</v>
      </c>
      <c r="AU29" s="8">
        <f t="shared" si="7"/>
        <v>3.2994703481809502E-2</v>
      </c>
      <c r="AV29" s="8">
        <f t="shared" si="7"/>
        <v>3.5250789196773061E-2</v>
      </c>
      <c r="AW29" s="8">
        <f t="shared" si="7"/>
        <v>3.8613008727962382E-2</v>
      </c>
      <c r="AX29" s="8">
        <f t="shared" si="7"/>
        <v>2.9039688164422397E-2</v>
      </c>
      <c r="AY29" s="8">
        <f t="shared" si="7"/>
        <v>2.9976927276890289E-2</v>
      </c>
      <c r="BA29" s="15">
        <f t="shared" si="21"/>
        <v>0.52083333333333315</v>
      </c>
      <c r="BB29" s="10">
        <f t="shared" si="8"/>
        <v>46.738403895678417</v>
      </c>
      <c r="BC29" s="10">
        <f t="shared" si="3"/>
        <v>45.642972554373465</v>
      </c>
      <c r="BD29" s="10">
        <f t="shared" si="3"/>
        <v>46.251545521765117</v>
      </c>
      <c r="BE29" s="10">
        <f t="shared" si="3"/>
        <v>48.929266578288349</v>
      </c>
      <c r="BF29" s="10">
        <f t="shared" si="3"/>
        <v>40.475173772939399</v>
      </c>
      <c r="BG29" s="10">
        <f t="shared" si="3"/>
        <v>49.872554677745406</v>
      </c>
      <c r="BH29" s="10">
        <f t="shared" si="3"/>
        <v>51.789559525029091</v>
      </c>
    </row>
    <row r="30" spans="1:60" x14ac:dyDescent="0.3">
      <c r="E30" s="11">
        <f t="shared" si="12"/>
        <v>0.52083333333333315</v>
      </c>
      <c r="F30" s="13">
        <v>103</v>
      </c>
      <c r="G30" s="13">
        <v>107</v>
      </c>
      <c r="H30" s="13">
        <v>80</v>
      </c>
      <c r="I30" s="13">
        <v>120</v>
      </c>
      <c r="J30" s="13">
        <v>107</v>
      </c>
      <c r="K30" s="13">
        <v>97</v>
      </c>
      <c r="L30" s="13">
        <v>81</v>
      </c>
      <c r="M30" s="13">
        <v>96</v>
      </c>
      <c r="N30" s="13">
        <v>110</v>
      </c>
      <c r="O30" s="13">
        <v>95</v>
      </c>
      <c r="P30" s="13">
        <v>92</v>
      </c>
      <c r="Q30" s="13">
        <v>83</v>
      </c>
      <c r="R30" s="13">
        <v>120</v>
      </c>
      <c r="S30" s="13">
        <v>101</v>
      </c>
      <c r="T30" s="13">
        <v>92</v>
      </c>
      <c r="U30" s="13">
        <v>116</v>
      </c>
      <c r="V30" s="13">
        <v>93</v>
      </c>
      <c r="W30" s="13">
        <v>114</v>
      </c>
      <c r="X30" s="13">
        <v>80</v>
      </c>
      <c r="Y30" s="13">
        <v>105</v>
      </c>
      <c r="Z30" s="13">
        <v>103</v>
      </c>
      <c r="AA30" s="13">
        <v>93</v>
      </c>
      <c r="AB30" s="13">
        <v>106</v>
      </c>
      <c r="AC30" s="13">
        <v>107</v>
      </c>
      <c r="AD30" s="13">
        <v>104</v>
      </c>
      <c r="AE30" s="13">
        <v>110</v>
      </c>
      <c r="AF30" s="13">
        <v>95</v>
      </c>
      <c r="AG30" s="13">
        <v>117</v>
      </c>
      <c r="AI30" s="15">
        <f t="shared" si="17"/>
        <v>0.54166666666666652</v>
      </c>
      <c r="AJ30" s="7">
        <f t="shared" ref="AJ30:AJ51" si="22">AVERAGEIF($F$4:$AG$4,AJ$3,F31:AG31)</f>
        <v>101.25</v>
      </c>
      <c r="AK30" s="7">
        <f t="shared" si="18"/>
        <v>99.75</v>
      </c>
      <c r="AL30" s="7">
        <f t="shared" si="18"/>
        <v>101.5</v>
      </c>
      <c r="AM30" s="7">
        <f t="shared" si="19"/>
        <v>105.5</v>
      </c>
      <c r="AN30" s="7">
        <f t="shared" si="19"/>
        <v>73.640625</v>
      </c>
      <c r="AO30" s="7">
        <f t="shared" si="19"/>
        <v>101.8125</v>
      </c>
      <c r="AP30" s="7">
        <f t="shared" si="19"/>
        <v>104.25</v>
      </c>
      <c r="AR30" s="15">
        <f t="shared" si="20"/>
        <v>0.54166666666666652</v>
      </c>
      <c r="AS30" s="8">
        <f t="shared" si="7"/>
        <v>3.630658897355446E-2</v>
      </c>
      <c r="AT30" s="8">
        <f t="shared" si="7"/>
        <v>3.5730276708157968E-2</v>
      </c>
      <c r="AU30" s="8">
        <f t="shared" si="7"/>
        <v>3.525223582530173E-2</v>
      </c>
      <c r="AV30" s="8">
        <f t="shared" si="7"/>
        <v>3.700455980357769E-2</v>
      </c>
      <c r="AW30" s="8">
        <f t="shared" si="7"/>
        <v>3.4203065430689142E-2</v>
      </c>
      <c r="AX30" s="8">
        <f t="shared" si="7"/>
        <v>2.8862508858965272E-2</v>
      </c>
      <c r="AY30" s="8">
        <f t="shared" si="7"/>
        <v>2.937809324198179E-2</v>
      </c>
      <c r="BA30" s="15">
        <f t="shared" si="21"/>
        <v>0.54166666666666652</v>
      </c>
      <c r="BB30" s="10">
        <f t="shared" si="8"/>
        <v>49.29441035872334</v>
      </c>
      <c r="BC30" s="10">
        <f t="shared" si="3"/>
        <v>48.564122797853372</v>
      </c>
      <c r="BD30" s="10">
        <f t="shared" si="3"/>
        <v>49.416124952201677</v>
      </c>
      <c r="BE30" s="10">
        <f t="shared" si="3"/>
        <v>51.363558447854935</v>
      </c>
      <c r="BF30" s="10">
        <f t="shared" si="3"/>
        <v>35.852554941460347</v>
      </c>
      <c r="BG30" s="10">
        <f t="shared" si="3"/>
        <v>49.568268194049573</v>
      </c>
      <c r="BH30" s="10">
        <f t="shared" si="3"/>
        <v>50.75498548046329</v>
      </c>
    </row>
    <row r="31" spans="1:60" x14ac:dyDescent="0.3">
      <c r="E31" s="11">
        <f t="shared" si="12"/>
        <v>0.54166666666666652</v>
      </c>
      <c r="F31" s="13">
        <v>91</v>
      </c>
      <c r="G31" s="13">
        <v>94</v>
      </c>
      <c r="H31" s="13">
        <v>115</v>
      </c>
      <c r="I31" s="13">
        <v>98</v>
      </c>
      <c r="J31" s="13">
        <v>86</v>
      </c>
      <c r="K31" s="13">
        <v>93</v>
      </c>
      <c r="L31" s="13">
        <v>98</v>
      </c>
      <c r="M31" s="13">
        <v>91</v>
      </c>
      <c r="N31" s="13">
        <v>115</v>
      </c>
      <c r="O31" s="13">
        <v>96</v>
      </c>
      <c r="P31" s="13">
        <v>101</v>
      </c>
      <c r="Q31" s="13">
        <v>105</v>
      </c>
      <c r="R31" s="13">
        <v>101</v>
      </c>
      <c r="S31" s="13">
        <v>113</v>
      </c>
      <c r="T31" s="13">
        <v>107</v>
      </c>
      <c r="U31" s="13">
        <v>85</v>
      </c>
      <c r="V31" s="13">
        <v>94</v>
      </c>
      <c r="W31" s="13">
        <v>113</v>
      </c>
      <c r="X31" s="13">
        <v>118</v>
      </c>
      <c r="Y31" s="13">
        <v>104</v>
      </c>
      <c r="Z31" s="13">
        <v>103</v>
      </c>
      <c r="AA31" s="13">
        <v>116</v>
      </c>
      <c r="AB31" s="13">
        <v>94</v>
      </c>
      <c r="AC31" s="13">
        <v>94</v>
      </c>
      <c r="AD31" s="13">
        <v>100</v>
      </c>
      <c r="AE31" s="13">
        <v>97</v>
      </c>
      <c r="AF31" s="13">
        <v>111</v>
      </c>
      <c r="AG31" s="16">
        <v>108</v>
      </c>
      <c r="AI31" s="15">
        <f t="shared" si="17"/>
        <v>0.56249999999999989</v>
      </c>
      <c r="AJ31" s="7">
        <f t="shared" si="22"/>
        <v>101.25</v>
      </c>
      <c r="AK31" s="7">
        <f t="shared" si="18"/>
        <v>93.25</v>
      </c>
      <c r="AL31" s="7">
        <f t="shared" si="18"/>
        <v>98.5</v>
      </c>
      <c r="AM31" s="7">
        <f t="shared" si="19"/>
        <v>101</v>
      </c>
      <c r="AN31" s="7">
        <f t="shared" si="19"/>
        <v>71.395833333333329</v>
      </c>
      <c r="AO31" s="7">
        <f t="shared" si="19"/>
        <v>98.75</v>
      </c>
      <c r="AP31" s="7">
        <f t="shared" si="19"/>
        <v>97.9375</v>
      </c>
      <c r="AR31" s="15">
        <f t="shared" si="20"/>
        <v>0.56249999999999989</v>
      </c>
      <c r="AS31" s="8">
        <f t="shared" si="7"/>
        <v>3.630658897355446E-2</v>
      </c>
      <c r="AT31" s="8">
        <f t="shared" si="7"/>
        <v>3.34019880003582E-2</v>
      </c>
      <c r="AU31" s="8">
        <f t="shared" si="7"/>
        <v>3.4210297820613009E-2</v>
      </c>
      <c r="AV31" s="8">
        <f t="shared" si="7"/>
        <v>3.5426166257453526E-2</v>
      </c>
      <c r="AW31" s="8">
        <f t="shared" si="7"/>
        <v>3.3160451299518126E-2</v>
      </c>
      <c r="AX31" s="8">
        <f t="shared" si="7"/>
        <v>2.7994330262225371E-2</v>
      </c>
      <c r="AY31" s="8">
        <f t="shared" si="7"/>
        <v>2.7599203902988888E-2</v>
      </c>
      <c r="BA31" s="15">
        <f t="shared" si="21"/>
        <v>0.56249999999999989</v>
      </c>
      <c r="BB31" s="10">
        <f t="shared" si="8"/>
        <v>49.29441035872334</v>
      </c>
      <c r="BC31" s="10">
        <f t="shared" si="3"/>
        <v>45.399543367416804</v>
      </c>
      <c r="BD31" s="10">
        <f t="shared" si="3"/>
        <v>47.955549830461727</v>
      </c>
      <c r="BE31" s="10">
        <f t="shared" si="3"/>
        <v>49.172695765245017</v>
      </c>
      <c r="BF31" s="10">
        <f t="shared" si="3"/>
        <v>34.759659320852855</v>
      </c>
      <c r="BG31" s="10">
        <f t="shared" si="3"/>
        <v>48.077264423940044</v>
      </c>
      <c r="BH31" s="10">
        <f t="shared" si="3"/>
        <v>47.681691995135481</v>
      </c>
    </row>
    <row r="32" spans="1:60" x14ac:dyDescent="0.3">
      <c r="E32" s="11">
        <f t="shared" si="12"/>
        <v>0.56249999999999989</v>
      </c>
      <c r="F32" s="13">
        <v>96</v>
      </c>
      <c r="G32" s="13">
        <v>110</v>
      </c>
      <c r="H32" s="13">
        <v>106</v>
      </c>
      <c r="I32" s="13">
        <v>88</v>
      </c>
      <c r="J32" s="13">
        <v>95</v>
      </c>
      <c r="K32" s="13">
        <v>93</v>
      </c>
      <c r="L32" s="13">
        <v>120</v>
      </c>
      <c r="M32" s="13">
        <v>115</v>
      </c>
      <c r="N32" s="13">
        <v>99</v>
      </c>
      <c r="O32" s="13">
        <v>101</v>
      </c>
      <c r="P32" s="13">
        <v>114</v>
      </c>
      <c r="Q32" s="13">
        <v>107</v>
      </c>
      <c r="R32" s="13">
        <v>96</v>
      </c>
      <c r="S32" s="13">
        <v>103</v>
      </c>
      <c r="T32" s="13">
        <v>101</v>
      </c>
      <c r="U32" s="13">
        <v>87</v>
      </c>
      <c r="V32" s="13">
        <v>85</v>
      </c>
      <c r="W32" s="13">
        <v>91</v>
      </c>
      <c r="X32" s="13">
        <v>90</v>
      </c>
      <c r="Y32" s="13">
        <v>101</v>
      </c>
      <c r="Z32" s="13">
        <v>80</v>
      </c>
      <c r="AA32" s="13">
        <v>93</v>
      </c>
      <c r="AB32" s="13">
        <v>99</v>
      </c>
      <c r="AC32" s="13">
        <v>81</v>
      </c>
      <c r="AD32" s="13">
        <v>87</v>
      </c>
      <c r="AE32" s="13">
        <v>102</v>
      </c>
      <c r="AF32" s="13">
        <v>95</v>
      </c>
      <c r="AG32" s="13">
        <v>101</v>
      </c>
      <c r="AI32" s="15">
        <f t="shared" si="17"/>
        <v>0.58333333333333326</v>
      </c>
      <c r="AJ32" s="7">
        <f t="shared" si="22"/>
        <v>101.25</v>
      </c>
      <c r="AK32" s="7">
        <f t="shared" si="18"/>
        <v>103</v>
      </c>
      <c r="AL32" s="7">
        <f t="shared" si="18"/>
        <v>107.5</v>
      </c>
      <c r="AM32" s="7">
        <f t="shared" si="19"/>
        <v>99.75</v>
      </c>
      <c r="AN32" s="7">
        <f t="shared" si="19"/>
        <v>76.651041666666671</v>
      </c>
      <c r="AO32" s="7">
        <f t="shared" si="19"/>
        <v>101.9375</v>
      </c>
      <c r="AP32" s="7">
        <f t="shared" si="19"/>
        <v>88.6875</v>
      </c>
      <c r="AR32" s="15">
        <f t="shared" si="20"/>
        <v>0.58333333333333326</v>
      </c>
      <c r="AS32" s="8">
        <f t="shared" si="7"/>
        <v>3.630658897355446E-2</v>
      </c>
      <c r="AT32" s="8">
        <f t="shared" si="7"/>
        <v>3.6894421062057849E-2</v>
      </c>
      <c r="AU32" s="8">
        <f t="shared" si="7"/>
        <v>3.7336111834679171E-2</v>
      </c>
      <c r="AV32" s="8">
        <f t="shared" si="7"/>
        <v>3.498772360575237E-2</v>
      </c>
      <c r="AW32" s="8">
        <f t="shared" si="7"/>
        <v>3.5601281133280441E-2</v>
      </c>
      <c r="AX32" s="8">
        <f t="shared" si="7"/>
        <v>2.8897944720056697E-2</v>
      </c>
      <c r="AY32" s="8">
        <f t="shared" si="7"/>
        <v>2.4992514574563644E-2</v>
      </c>
      <c r="BA32" s="15">
        <f t="shared" si="21"/>
        <v>0.58333333333333326</v>
      </c>
      <c r="BB32" s="10">
        <f t="shared" si="8"/>
        <v>49.29441035872334</v>
      </c>
      <c r="BC32" s="10">
        <f t="shared" si="3"/>
        <v>50.146412513071645</v>
      </c>
      <c r="BD32" s="10">
        <f t="shared" si="3"/>
        <v>52.337275195681578</v>
      </c>
      <c r="BE32" s="10">
        <f t="shared" si="3"/>
        <v>48.564122797853372</v>
      </c>
      <c r="BF32" s="10">
        <f t="shared" si="3"/>
        <v>37.318201504595237</v>
      </c>
      <c r="BG32" s="10">
        <f t="shared" si="3"/>
        <v>49.629125490788745</v>
      </c>
      <c r="BH32" s="10">
        <f t="shared" si="3"/>
        <v>43.178252036437293</v>
      </c>
    </row>
    <row r="33" spans="5:60" x14ac:dyDescent="0.3">
      <c r="E33" s="11">
        <f t="shared" si="12"/>
        <v>0.58333333333333326</v>
      </c>
      <c r="F33" s="13">
        <v>97</v>
      </c>
      <c r="G33" s="13">
        <v>109</v>
      </c>
      <c r="H33" s="13">
        <v>83</v>
      </c>
      <c r="I33" s="13">
        <v>108</v>
      </c>
      <c r="J33" s="13">
        <v>119</v>
      </c>
      <c r="K33" s="13">
        <v>103</v>
      </c>
      <c r="L33" s="13">
        <v>103</v>
      </c>
      <c r="M33" s="13">
        <v>109</v>
      </c>
      <c r="N33" s="13">
        <v>99</v>
      </c>
      <c r="O33" s="13">
        <v>115</v>
      </c>
      <c r="P33" s="13">
        <v>111</v>
      </c>
      <c r="Q33" s="13">
        <v>112</v>
      </c>
      <c r="R33" s="13">
        <v>93</v>
      </c>
      <c r="S33" s="13">
        <v>96</v>
      </c>
      <c r="T33" s="13">
        <v>97</v>
      </c>
      <c r="U33" s="13">
        <v>112</v>
      </c>
      <c r="V33" s="13">
        <v>102</v>
      </c>
      <c r="W33" s="13">
        <v>101</v>
      </c>
      <c r="X33" s="13">
        <v>83</v>
      </c>
      <c r="Y33" s="13">
        <v>82</v>
      </c>
      <c r="Z33" s="13">
        <v>107</v>
      </c>
      <c r="AA33" s="13">
        <v>102</v>
      </c>
      <c r="AB33" s="13">
        <v>95</v>
      </c>
      <c r="AC33" s="13">
        <v>112</v>
      </c>
      <c r="AD33" s="13">
        <v>98</v>
      </c>
      <c r="AE33" s="13">
        <v>116</v>
      </c>
      <c r="AF33" s="13">
        <v>92</v>
      </c>
      <c r="AG33" s="13">
        <v>93</v>
      </c>
      <c r="AI33" s="15">
        <f t="shared" si="17"/>
        <v>0.60416666666666663</v>
      </c>
      <c r="AJ33" s="7">
        <f t="shared" si="22"/>
        <v>96.5</v>
      </c>
      <c r="AK33" s="7">
        <f t="shared" si="18"/>
        <v>97.75</v>
      </c>
      <c r="AL33" s="7">
        <f t="shared" si="18"/>
        <v>99.5</v>
      </c>
      <c r="AM33" s="7">
        <f t="shared" si="19"/>
        <v>87.75</v>
      </c>
      <c r="AN33" s="7">
        <f t="shared" si="19"/>
        <v>64.15625</v>
      </c>
      <c r="AO33" s="7">
        <f t="shared" si="19"/>
        <v>108.1875</v>
      </c>
      <c r="AP33" s="7">
        <f t="shared" si="19"/>
        <v>89.6875</v>
      </c>
      <c r="AR33" s="15">
        <f t="shared" si="20"/>
        <v>0.60416666666666663</v>
      </c>
      <c r="AS33" s="8">
        <f t="shared" si="7"/>
        <v>3.4603316898251905E-2</v>
      </c>
      <c r="AT33" s="8">
        <f t="shared" si="7"/>
        <v>3.5013880182681117E-2</v>
      </c>
      <c r="AU33" s="8">
        <f t="shared" si="7"/>
        <v>3.455761048884258E-2</v>
      </c>
      <c r="AV33" s="8">
        <f t="shared" si="7"/>
        <v>3.0778674149421256E-2</v>
      </c>
      <c r="AW33" s="8">
        <f t="shared" si="7"/>
        <v>2.979796025003387E-2</v>
      </c>
      <c r="AX33" s="8">
        <f t="shared" si="7"/>
        <v>3.0669737774627923E-2</v>
      </c>
      <c r="AY33" s="8">
        <f t="shared" si="7"/>
        <v>2.5274318826285291E-2</v>
      </c>
      <c r="BA33" s="15">
        <f t="shared" si="21"/>
        <v>0.60416666666666663</v>
      </c>
      <c r="BB33" s="10">
        <f t="shared" si="8"/>
        <v>46.981833082635077</v>
      </c>
      <c r="BC33" s="10">
        <f t="shared" si="3"/>
        <v>47.590406050026736</v>
      </c>
      <c r="BD33" s="10">
        <f t="shared" si="3"/>
        <v>48.442408204375042</v>
      </c>
      <c r="BE33" s="10">
        <f t="shared" si="3"/>
        <v>42.721822310893565</v>
      </c>
      <c r="BF33" s="10">
        <f t="shared" si="3"/>
        <v>31.235007551376242</v>
      </c>
      <c r="BG33" s="10">
        <f t="shared" si="3"/>
        <v>52.671990327746975</v>
      </c>
      <c r="BH33" s="10">
        <f t="shared" si="3"/>
        <v>43.665110410350607</v>
      </c>
    </row>
    <row r="34" spans="5:60" x14ac:dyDescent="0.3">
      <c r="E34" s="11">
        <f t="shared" si="12"/>
        <v>0.60416666666666663</v>
      </c>
      <c r="F34" s="13">
        <v>93</v>
      </c>
      <c r="G34" s="13">
        <v>83</v>
      </c>
      <c r="H34" s="13">
        <v>105</v>
      </c>
      <c r="I34" s="13">
        <v>98</v>
      </c>
      <c r="J34" s="13">
        <v>95</v>
      </c>
      <c r="K34" s="13">
        <v>116</v>
      </c>
      <c r="L34" s="13">
        <v>87</v>
      </c>
      <c r="M34" s="13">
        <v>99</v>
      </c>
      <c r="N34" s="13">
        <v>85</v>
      </c>
      <c r="O34" s="13">
        <v>89</v>
      </c>
      <c r="P34" s="13">
        <v>111</v>
      </c>
      <c r="Q34" s="13">
        <v>98</v>
      </c>
      <c r="R34" s="13">
        <v>93</v>
      </c>
      <c r="S34" s="13">
        <v>100</v>
      </c>
      <c r="T34" s="13">
        <v>88</v>
      </c>
      <c r="U34" s="13">
        <v>84</v>
      </c>
      <c r="V34" s="13">
        <v>95</v>
      </c>
      <c r="W34" s="13">
        <v>107</v>
      </c>
      <c r="X34" s="13">
        <v>110</v>
      </c>
      <c r="Y34" s="13">
        <v>89</v>
      </c>
      <c r="Z34" s="13">
        <v>82</v>
      </c>
      <c r="AA34" s="13">
        <v>106</v>
      </c>
      <c r="AB34" s="13">
        <v>87</v>
      </c>
      <c r="AC34" s="13">
        <v>102</v>
      </c>
      <c r="AD34" s="13">
        <v>113</v>
      </c>
      <c r="AE34" s="13">
        <v>95</v>
      </c>
      <c r="AF34" s="13">
        <v>83</v>
      </c>
      <c r="AG34" s="13">
        <v>82</v>
      </c>
      <c r="AI34" s="15">
        <f t="shared" si="17"/>
        <v>0.625</v>
      </c>
      <c r="AJ34" s="7">
        <f t="shared" si="22"/>
        <v>95</v>
      </c>
      <c r="AK34" s="7">
        <f t="shared" si="18"/>
        <v>101.75</v>
      </c>
      <c r="AL34" s="7">
        <f t="shared" si="18"/>
        <v>105.25</v>
      </c>
      <c r="AM34" s="7">
        <f t="shared" si="19"/>
        <v>93.75</v>
      </c>
      <c r="AN34" s="7">
        <f t="shared" si="19"/>
        <v>73.411458333333329</v>
      </c>
      <c r="AO34" s="7">
        <f t="shared" si="19"/>
        <v>93.6875</v>
      </c>
      <c r="AP34" s="7">
        <f t="shared" si="19"/>
        <v>92.1875</v>
      </c>
      <c r="AR34" s="15">
        <f t="shared" si="20"/>
        <v>0.625</v>
      </c>
      <c r="AS34" s="8">
        <f t="shared" si="7"/>
        <v>3.4065441506051099E-2</v>
      </c>
      <c r="AT34" s="8">
        <f t="shared" si="7"/>
        <v>3.6446673233634819E-2</v>
      </c>
      <c r="AU34" s="8">
        <f t="shared" si="7"/>
        <v>3.6554658331162629E-2</v>
      </c>
      <c r="AV34" s="8">
        <f t="shared" si="7"/>
        <v>3.2883198877586811E-2</v>
      </c>
      <c r="AW34" s="8">
        <f t="shared" si="7"/>
        <v>3.409662686509396E-2</v>
      </c>
      <c r="AX34" s="8">
        <f t="shared" si="7"/>
        <v>2.6559177888022679E-2</v>
      </c>
      <c r="AY34" s="8">
        <f t="shared" si="7"/>
        <v>2.5978829455589412E-2</v>
      </c>
      <c r="BA34" s="15">
        <f t="shared" si="21"/>
        <v>0.625</v>
      </c>
      <c r="BB34" s="10">
        <f t="shared" si="8"/>
        <v>46.251545521765109</v>
      </c>
      <c r="BC34" s="10">
        <f t="shared" si="3"/>
        <v>49.537839545680001</v>
      </c>
      <c r="BD34" s="10">
        <f t="shared" si="3"/>
        <v>51.241843854376619</v>
      </c>
      <c r="BE34" s="10">
        <f t="shared" si="3"/>
        <v>45.642972554373465</v>
      </c>
      <c r="BF34" s="10">
        <f t="shared" si="3"/>
        <v>35.740983230771889</v>
      </c>
      <c r="BG34" s="10">
        <f t="shared" si="3"/>
        <v>45.612543906003879</v>
      </c>
      <c r="BH34" s="10">
        <f t="shared" si="3"/>
        <v>44.882256345133911</v>
      </c>
    </row>
    <row r="35" spans="5:60" x14ac:dyDescent="0.3">
      <c r="E35" s="11">
        <f t="shared" si="12"/>
        <v>0.625</v>
      </c>
      <c r="F35" s="13">
        <v>97</v>
      </c>
      <c r="G35" s="13">
        <v>114</v>
      </c>
      <c r="H35" s="13">
        <v>108</v>
      </c>
      <c r="I35" s="13">
        <v>86</v>
      </c>
      <c r="J35" s="13">
        <v>88</v>
      </c>
      <c r="K35" s="13">
        <v>119</v>
      </c>
      <c r="L35" s="13">
        <v>111</v>
      </c>
      <c r="M35" s="13">
        <v>89</v>
      </c>
      <c r="N35" s="13">
        <v>98</v>
      </c>
      <c r="O35" s="13">
        <v>108</v>
      </c>
      <c r="P35" s="13">
        <v>84</v>
      </c>
      <c r="Q35" s="13">
        <v>110</v>
      </c>
      <c r="R35" s="13">
        <v>85</v>
      </c>
      <c r="S35" s="13">
        <v>80</v>
      </c>
      <c r="T35" s="13">
        <v>91</v>
      </c>
      <c r="U35" s="13">
        <v>102</v>
      </c>
      <c r="V35" s="13">
        <v>82</v>
      </c>
      <c r="W35" s="13">
        <v>85</v>
      </c>
      <c r="X35" s="13">
        <v>111</v>
      </c>
      <c r="Y35" s="13">
        <v>83</v>
      </c>
      <c r="Z35" s="13">
        <v>104</v>
      </c>
      <c r="AA35" s="13">
        <v>103</v>
      </c>
      <c r="AB35" s="13">
        <v>93</v>
      </c>
      <c r="AC35" s="13">
        <v>109</v>
      </c>
      <c r="AD35" s="13">
        <v>113</v>
      </c>
      <c r="AE35" s="13">
        <v>112</v>
      </c>
      <c r="AF35" s="13">
        <v>101</v>
      </c>
      <c r="AG35" s="13">
        <v>80</v>
      </c>
      <c r="AI35" s="15">
        <f t="shared" si="17"/>
        <v>0.64583333333333337</v>
      </c>
      <c r="AJ35" s="7">
        <f t="shared" si="22"/>
        <v>103.25</v>
      </c>
      <c r="AK35" s="7">
        <f t="shared" si="18"/>
        <v>92.75</v>
      </c>
      <c r="AL35" s="7">
        <f t="shared" si="18"/>
        <v>102.75</v>
      </c>
      <c r="AM35" s="7">
        <f t="shared" si="19"/>
        <v>99.75</v>
      </c>
      <c r="AN35" s="7">
        <f t="shared" si="19"/>
        <v>79.416666666666671</v>
      </c>
      <c r="AO35" s="7">
        <f t="shared" si="19"/>
        <v>104.3125</v>
      </c>
      <c r="AP35" s="7">
        <f t="shared" si="19"/>
        <v>96.0625</v>
      </c>
      <c r="AR35" s="15">
        <f t="shared" si="20"/>
        <v>0.64583333333333337</v>
      </c>
      <c r="AS35" s="8">
        <f t="shared" si="7"/>
        <v>3.7023756163155536E-2</v>
      </c>
      <c r="AT35" s="8">
        <f t="shared" si="7"/>
        <v>3.3222888868988984E-2</v>
      </c>
      <c r="AU35" s="8">
        <f t="shared" si="7"/>
        <v>3.5686376660588694E-2</v>
      </c>
      <c r="AV35" s="8">
        <f t="shared" si="7"/>
        <v>3.498772360575237E-2</v>
      </c>
      <c r="AW35" s="8">
        <f t="shared" si="7"/>
        <v>3.6885801095349606E-2</v>
      </c>
      <c r="AX35" s="8">
        <f t="shared" si="7"/>
        <v>2.9571226080793763E-2</v>
      </c>
      <c r="AY35" s="8">
        <f t="shared" si="7"/>
        <v>2.7070820931010795E-2</v>
      </c>
      <c r="BA35" s="15">
        <f t="shared" si="21"/>
        <v>0.64583333333333337</v>
      </c>
      <c r="BB35" s="10">
        <f t="shared" si="8"/>
        <v>50.268127106549969</v>
      </c>
      <c r="BC35" s="10">
        <f t="shared" si="3"/>
        <v>45.156114180460143</v>
      </c>
      <c r="BD35" s="10">
        <f t="shared" si="3"/>
        <v>50.024697919593322</v>
      </c>
      <c r="BE35" s="10">
        <f t="shared" si="3"/>
        <v>48.564122797853372</v>
      </c>
      <c r="BF35" s="10">
        <f t="shared" si="3"/>
        <v>38.664669194949248</v>
      </c>
      <c r="BG35" s="10">
        <f t="shared" si="3"/>
        <v>50.785414128832869</v>
      </c>
      <c r="BH35" s="10">
        <f t="shared" si="3"/>
        <v>46.76883254404801</v>
      </c>
    </row>
    <row r="36" spans="5:60" x14ac:dyDescent="0.3">
      <c r="E36" s="11">
        <f t="shared" si="12"/>
        <v>0.64583333333333337</v>
      </c>
      <c r="F36" s="13">
        <v>119</v>
      </c>
      <c r="G36" s="13">
        <v>106</v>
      </c>
      <c r="H36" s="13">
        <v>98</v>
      </c>
      <c r="I36" s="13">
        <v>106</v>
      </c>
      <c r="J36" s="13">
        <v>95</v>
      </c>
      <c r="K36" s="13">
        <v>103</v>
      </c>
      <c r="L36" s="13">
        <v>107</v>
      </c>
      <c r="M36" s="13">
        <v>118</v>
      </c>
      <c r="N36" s="13">
        <v>116</v>
      </c>
      <c r="O36" s="13">
        <v>84</v>
      </c>
      <c r="P36" s="13">
        <v>110</v>
      </c>
      <c r="Q36" s="13">
        <v>96</v>
      </c>
      <c r="R36" s="13">
        <v>89</v>
      </c>
      <c r="S36" s="13">
        <v>88</v>
      </c>
      <c r="T36" s="13">
        <v>85</v>
      </c>
      <c r="U36" s="13">
        <v>116</v>
      </c>
      <c r="V36" s="13">
        <v>107</v>
      </c>
      <c r="W36" s="13">
        <v>98</v>
      </c>
      <c r="X36" s="13">
        <v>108</v>
      </c>
      <c r="Y36" s="13">
        <v>91</v>
      </c>
      <c r="Z36" s="13">
        <v>111</v>
      </c>
      <c r="AA36" s="13">
        <v>91</v>
      </c>
      <c r="AB36" s="13">
        <v>85</v>
      </c>
      <c r="AC36" s="13">
        <v>82</v>
      </c>
      <c r="AD36" s="13">
        <v>109</v>
      </c>
      <c r="AE36" s="13">
        <v>112</v>
      </c>
      <c r="AF36" s="13">
        <v>94</v>
      </c>
      <c r="AG36" s="13">
        <v>93</v>
      </c>
      <c r="AI36" s="15">
        <f t="shared" si="17"/>
        <v>0.66666666666666674</v>
      </c>
      <c r="AJ36" s="7">
        <f t="shared" si="22"/>
        <v>112.75</v>
      </c>
      <c r="AK36" s="7">
        <f t="shared" si="18"/>
        <v>100.25</v>
      </c>
      <c r="AL36" s="7">
        <f t="shared" si="18"/>
        <v>102.75</v>
      </c>
      <c r="AM36" s="7">
        <f t="shared" si="19"/>
        <v>110.25</v>
      </c>
      <c r="AN36" s="7">
        <f t="shared" si="19"/>
        <v>75.921875</v>
      </c>
      <c r="AO36" s="7">
        <f t="shared" si="19"/>
        <v>92.375</v>
      </c>
      <c r="AP36" s="7">
        <f t="shared" si="19"/>
        <v>105.8125</v>
      </c>
      <c r="AR36" s="15">
        <f t="shared" si="20"/>
        <v>0.66666666666666674</v>
      </c>
      <c r="AS36" s="8">
        <f t="shared" si="7"/>
        <v>4.0430300313760645E-2</v>
      </c>
      <c r="AT36" s="8">
        <f t="shared" si="7"/>
        <v>3.5909375839527177E-2</v>
      </c>
      <c r="AU36" s="8">
        <f t="shared" si="7"/>
        <v>3.5686376660588694E-2</v>
      </c>
      <c r="AV36" s="8">
        <f t="shared" si="7"/>
        <v>3.8670641880042093E-2</v>
      </c>
      <c r="AW36" s="8">
        <f t="shared" si="7"/>
        <v>3.5262612970023033E-2</v>
      </c>
      <c r="AX36" s="8">
        <f t="shared" si="7"/>
        <v>2.618710134656272E-2</v>
      </c>
      <c r="AY36" s="8">
        <f t="shared" si="7"/>
        <v>2.9818412385296863E-2</v>
      </c>
      <c r="BA36" s="15">
        <f t="shared" si="21"/>
        <v>0.66666666666666674</v>
      </c>
      <c r="BB36" s="10">
        <f t="shared" si="8"/>
        <v>54.89328165872648</v>
      </c>
      <c r="BC36" s="10">
        <f t="shared" si="3"/>
        <v>48.807551984810019</v>
      </c>
      <c r="BD36" s="10">
        <f t="shared" si="3"/>
        <v>50.024697919593322</v>
      </c>
      <c r="BE36" s="10">
        <f t="shared" si="3"/>
        <v>53.676135723943197</v>
      </c>
      <c r="BF36" s="10">
        <f t="shared" si="3"/>
        <v>36.96320060695011</v>
      </c>
      <c r="BG36" s="10">
        <f t="shared" si="3"/>
        <v>44.973542290242648</v>
      </c>
      <c r="BH36" s="10">
        <f t="shared" si="3"/>
        <v>51.515701689702851</v>
      </c>
    </row>
    <row r="37" spans="5:60" x14ac:dyDescent="0.3">
      <c r="E37" s="11">
        <f t="shared" si="12"/>
        <v>0.66666666666666674</v>
      </c>
      <c r="F37" s="13">
        <v>106</v>
      </c>
      <c r="G37" s="13">
        <v>113</v>
      </c>
      <c r="H37" s="13">
        <v>99</v>
      </c>
      <c r="I37" s="13">
        <v>83</v>
      </c>
      <c r="J37" s="13">
        <v>113</v>
      </c>
      <c r="K37" s="13">
        <v>120</v>
      </c>
      <c r="L37" s="13">
        <v>120</v>
      </c>
      <c r="M37" s="13">
        <v>110</v>
      </c>
      <c r="N37" s="13">
        <v>107</v>
      </c>
      <c r="O37" s="13">
        <v>95</v>
      </c>
      <c r="P37" s="13">
        <v>109</v>
      </c>
      <c r="Q37" s="13">
        <v>96</v>
      </c>
      <c r="R37" s="13">
        <v>113</v>
      </c>
      <c r="S37" s="13">
        <v>95</v>
      </c>
      <c r="T37" s="13">
        <v>117</v>
      </c>
      <c r="U37" s="13">
        <v>87</v>
      </c>
      <c r="V37" s="13">
        <v>101</v>
      </c>
      <c r="W37" s="13">
        <v>81</v>
      </c>
      <c r="X37" s="13">
        <v>116</v>
      </c>
      <c r="Y37" s="13">
        <v>91</v>
      </c>
      <c r="Z37" s="13">
        <v>117</v>
      </c>
      <c r="AA37" s="13">
        <v>118</v>
      </c>
      <c r="AB37" s="13">
        <v>109</v>
      </c>
      <c r="AC37" s="13">
        <v>106</v>
      </c>
      <c r="AD37" s="13">
        <v>82</v>
      </c>
      <c r="AE37" s="13">
        <v>86</v>
      </c>
      <c r="AF37" s="13">
        <v>117</v>
      </c>
      <c r="AG37" s="13">
        <v>109</v>
      </c>
      <c r="AI37" s="15">
        <f t="shared" si="17"/>
        <v>0.68750000000000011</v>
      </c>
      <c r="AJ37" s="7">
        <f t="shared" si="22"/>
        <v>87.25</v>
      </c>
      <c r="AK37" s="7">
        <f t="shared" si="18"/>
        <v>97.5</v>
      </c>
      <c r="AL37" s="7">
        <f t="shared" si="18"/>
        <v>101.75</v>
      </c>
      <c r="AM37" s="7">
        <f t="shared" si="19"/>
        <v>102.25</v>
      </c>
      <c r="AN37" s="7">
        <f t="shared" si="19"/>
        <v>69.677083333333329</v>
      </c>
      <c r="AO37" s="7">
        <f t="shared" si="19"/>
        <v>101.8125</v>
      </c>
      <c r="AP37" s="7">
        <f t="shared" si="19"/>
        <v>102.3125</v>
      </c>
      <c r="AR37" s="15">
        <f t="shared" si="20"/>
        <v>0.68750000000000011</v>
      </c>
      <c r="AS37" s="8">
        <f t="shared" si="7"/>
        <v>3.1286418646346931E-2</v>
      </c>
      <c r="AT37" s="8">
        <f t="shared" si="7"/>
        <v>3.4924330616996506E-2</v>
      </c>
      <c r="AU37" s="8">
        <f t="shared" si="7"/>
        <v>3.5339063992359122E-2</v>
      </c>
      <c r="AV37" s="8">
        <f t="shared" si="7"/>
        <v>3.5864608909154681E-2</v>
      </c>
      <c r="AW37" s="8">
        <f t="shared" si="7"/>
        <v>3.2362162057554232E-2</v>
      </c>
      <c r="AX37" s="8">
        <f t="shared" si="7"/>
        <v>2.8862508858965272E-2</v>
      </c>
      <c r="AY37" s="8">
        <f t="shared" si="7"/>
        <v>2.8832097504271095E-2</v>
      </c>
      <c r="BA37" s="15">
        <f t="shared" si="21"/>
        <v>0.68750000000000011</v>
      </c>
      <c r="BB37" s="10">
        <f t="shared" si="8"/>
        <v>42.478393123936904</v>
      </c>
      <c r="BC37" s="10">
        <f t="shared" si="3"/>
        <v>47.468691456548399</v>
      </c>
      <c r="BD37" s="10">
        <f t="shared" si="3"/>
        <v>49.537839545680001</v>
      </c>
      <c r="BE37" s="10">
        <f t="shared" si="3"/>
        <v>49.781268732636654</v>
      </c>
      <c r="BF37" s="10">
        <f t="shared" si="3"/>
        <v>33.922871490689332</v>
      </c>
      <c r="BG37" s="10">
        <f t="shared" si="3"/>
        <v>49.568268194049573</v>
      </c>
      <c r="BH37" s="10">
        <f t="shared" si="3"/>
        <v>49.811697381006233</v>
      </c>
    </row>
    <row r="38" spans="5:60" x14ac:dyDescent="0.3">
      <c r="E38" s="11">
        <f t="shared" si="12"/>
        <v>0.68750000000000011</v>
      </c>
      <c r="F38" s="13">
        <v>81</v>
      </c>
      <c r="G38" s="13">
        <v>113</v>
      </c>
      <c r="H38" s="13">
        <v>115</v>
      </c>
      <c r="I38" s="13">
        <v>119</v>
      </c>
      <c r="J38" s="13">
        <v>104</v>
      </c>
      <c r="K38" s="13">
        <v>110</v>
      </c>
      <c r="L38" s="13">
        <v>84</v>
      </c>
      <c r="M38" s="13">
        <v>94</v>
      </c>
      <c r="N38" s="13">
        <v>93</v>
      </c>
      <c r="O38" s="13">
        <v>94</v>
      </c>
      <c r="P38" s="13">
        <v>109</v>
      </c>
      <c r="Q38" s="13">
        <v>99</v>
      </c>
      <c r="R38" s="13">
        <v>87</v>
      </c>
      <c r="S38" s="13">
        <v>91</v>
      </c>
      <c r="T38" s="13">
        <v>87</v>
      </c>
      <c r="U38" s="13">
        <v>102</v>
      </c>
      <c r="V38" s="13">
        <v>91</v>
      </c>
      <c r="W38" s="13">
        <v>96</v>
      </c>
      <c r="X38" s="13">
        <v>98</v>
      </c>
      <c r="Y38" s="13">
        <v>114</v>
      </c>
      <c r="Z38" s="13">
        <v>115</v>
      </c>
      <c r="AA38" s="13">
        <v>87</v>
      </c>
      <c r="AB38" s="13">
        <v>83</v>
      </c>
      <c r="AC38" s="13">
        <v>90</v>
      </c>
      <c r="AD38" s="13">
        <v>106</v>
      </c>
      <c r="AE38" s="13">
        <v>106</v>
      </c>
      <c r="AF38" s="13">
        <v>108</v>
      </c>
      <c r="AG38" s="13">
        <v>119</v>
      </c>
      <c r="AI38" s="15">
        <f t="shared" si="17"/>
        <v>0.70833333333333348</v>
      </c>
      <c r="AJ38" s="7">
        <f t="shared" si="22"/>
        <v>95</v>
      </c>
      <c r="AK38" s="7">
        <f t="shared" si="18"/>
        <v>96.25</v>
      </c>
      <c r="AL38" s="7">
        <f t="shared" si="18"/>
        <v>102.25</v>
      </c>
      <c r="AM38" s="7">
        <f t="shared" si="19"/>
        <v>100.25</v>
      </c>
      <c r="AN38" s="7">
        <f t="shared" si="19"/>
        <v>78.932291666666671</v>
      </c>
      <c r="AO38" s="7">
        <f t="shared" si="19"/>
        <v>105.125</v>
      </c>
      <c r="AP38" s="7">
        <f t="shared" si="19"/>
        <v>103.625</v>
      </c>
      <c r="AR38" s="15">
        <f t="shared" si="20"/>
        <v>0.70833333333333348</v>
      </c>
      <c r="AS38" s="8">
        <f t="shared" si="7"/>
        <v>3.4065441506051099E-2</v>
      </c>
      <c r="AT38" s="8">
        <f t="shared" si="7"/>
        <v>3.4476582788573476E-2</v>
      </c>
      <c r="AU38" s="8">
        <f t="shared" si="7"/>
        <v>3.5512720326473908E-2</v>
      </c>
      <c r="AV38" s="8">
        <f t="shared" si="7"/>
        <v>3.5163100666432828E-2</v>
      </c>
      <c r="AW38" s="8">
        <f t="shared" si="7"/>
        <v>3.6660828672614332E-2</v>
      </c>
      <c r="AX38" s="8">
        <f t="shared" si="7"/>
        <v>2.9801559177888022E-2</v>
      </c>
      <c r="AY38" s="8">
        <f t="shared" si="7"/>
        <v>2.9201965584655758E-2</v>
      </c>
      <c r="BA38" s="15">
        <f t="shared" si="21"/>
        <v>0.70833333333333348</v>
      </c>
      <c r="BB38" s="10">
        <f t="shared" si="8"/>
        <v>46.251545521765109</v>
      </c>
      <c r="BC38" s="10">
        <f t="shared" si="3"/>
        <v>46.860118489156761</v>
      </c>
      <c r="BD38" s="10">
        <f t="shared" si="3"/>
        <v>49.781268732636661</v>
      </c>
      <c r="BE38" s="10">
        <f t="shared" si="3"/>
        <v>48.807551984810026</v>
      </c>
      <c r="BF38" s="10">
        <f t="shared" si="3"/>
        <v>38.428847170084993</v>
      </c>
      <c r="BG38" s="10">
        <f t="shared" si="3"/>
        <v>51.180986557637439</v>
      </c>
      <c r="BH38" s="10">
        <f t="shared" si="3"/>
        <v>50.450698996767464</v>
      </c>
    </row>
    <row r="39" spans="5:60" x14ac:dyDescent="0.3">
      <c r="E39" s="11">
        <f t="shared" si="12"/>
        <v>0.70833333333333348</v>
      </c>
      <c r="F39" s="13">
        <v>80</v>
      </c>
      <c r="G39" s="13">
        <v>93</v>
      </c>
      <c r="H39" s="13">
        <v>81</v>
      </c>
      <c r="I39" s="13">
        <v>94</v>
      </c>
      <c r="J39" s="13">
        <v>96</v>
      </c>
      <c r="K39" s="13">
        <v>81</v>
      </c>
      <c r="L39" s="13">
        <v>96</v>
      </c>
      <c r="M39" s="13">
        <v>113</v>
      </c>
      <c r="N39" s="13">
        <v>86</v>
      </c>
      <c r="O39" s="13">
        <v>109</v>
      </c>
      <c r="P39" s="13">
        <v>110</v>
      </c>
      <c r="Q39" s="13">
        <v>109</v>
      </c>
      <c r="R39" s="13">
        <v>112</v>
      </c>
      <c r="S39" s="13">
        <v>95</v>
      </c>
      <c r="T39" s="13">
        <v>99</v>
      </c>
      <c r="U39" s="13">
        <v>113</v>
      </c>
      <c r="V39" s="13">
        <v>84</v>
      </c>
      <c r="W39" s="13">
        <v>104</v>
      </c>
      <c r="X39" s="13">
        <v>102</v>
      </c>
      <c r="Y39" s="13">
        <v>90</v>
      </c>
      <c r="Z39" s="13">
        <v>109</v>
      </c>
      <c r="AA39" s="13">
        <v>88</v>
      </c>
      <c r="AB39" s="13">
        <v>116</v>
      </c>
      <c r="AC39" s="13">
        <v>111</v>
      </c>
      <c r="AD39" s="13">
        <v>117</v>
      </c>
      <c r="AE39" s="13">
        <v>102</v>
      </c>
      <c r="AF39" s="13">
        <v>107</v>
      </c>
      <c r="AG39" s="13">
        <v>101</v>
      </c>
      <c r="AI39" s="15">
        <f t="shared" si="17"/>
        <v>0.72916666666666685</v>
      </c>
      <c r="AJ39" s="7">
        <f t="shared" si="22"/>
        <v>97.25</v>
      </c>
      <c r="AK39" s="7">
        <f t="shared" si="18"/>
        <v>89.5</v>
      </c>
      <c r="AL39" s="7">
        <f t="shared" si="18"/>
        <v>103.25</v>
      </c>
      <c r="AM39" s="7">
        <f t="shared" si="19"/>
        <v>105.5</v>
      </c>
      <c r="AN39" s="7">
        <f t="shared" si="19"/>
        <v>79.1875</v>
      </c>
      <c r="AO39" s="7">
        <f t="shared" si="19"/>
        <v>105.3125</v>
      </c>
      <c r="AP39" s="7">
        <f t="shared" si="19"/>
        <v>97</v>
      </c>
      <c r="AR39" s="15">
        <f t="shared" si="20"/>
        <v>0.72916666666666685</v>
      </c>
      <c r="AS39" s="8">
        <f t="shared" si="7"/>
        <v>3.4872254594352309E-2</v>
      </c>
      <c r="AT39" s="8">
        <f t="shared" si="7"/>
        <v>3.2058744515089103E-2</v>
      </c>
      <c r="AU39" s="8">
        <f t="shared" si="7"/>
        <v>3.5860032994703479E-2</v>
      </c>
      <c r="AV39" s="8">
        <f t="shared" si="7"/>
        <v>3.700455980357769E-2</v>
      </c>
      <c r="AW39" s="8">
        <f t="shared" si="7"/>
        <v>3.6779362529754417E-2</v>
      </c>
      <c r="AX39" s="8">
        <f t="shared" si="7"/>
        <v>2.985471296952516E-2</v>
      </c>
      <c r="AY39" s="8">
        <f t="shared" si="7"/>
        <v>2.7335012416999843E-2</v>
      </c>
      <c r="BA39" s="15">
        <f t="shared" si="21"/>
        <v>0.72916666666666685</v>
      </c>
      <c r="BB39" s="10">
        <f t="shared" si="8"/>
        <v>47.346976863070068</v>
      </c>
      <c r="BC39" s="10">
        <f t="shared" si="3"/>
        <v>43.57382446524187</v>
      </c>
      <c r="BD39" s="10">
        <f t="shared" si="3"/>
        <v>50.268127106549976</v>
      </c>
      <c r="BE39" s="10">
        <f t="shared" si="3"/>
        <v>51.363558447854935</v>
      </c>
      <c r="BF39" s="10">
        <f t="shared" si="3"/>
        <v>38.553097484260782</v>
      </c>
      <c r="BG39" s="10">
        <f t="shared" si="3"/>
        <v>51.272272502746191</v>
      </c>
      <c r="BH39" s="10">
        <f t="shared" si="3"/>
        <v>47.225262269591745</v>
      </c>
    </row>
    <row r="40" spans="5:60" x14ac:dyDescent="0.3">
      <c r="E40" s="11">
        <f t="shared" si="12"/>
        <v>0.72916666666666685</v>
      </c>
      <c r="F40" s="13">
        <v>94</v>
      </c>
      <c r="G40" s="13">
        <v>111</v>
      </c>
      <c r="H40" s="13">
        <v>85</v>
      </c>
      <c r="I40" s="13">
        <v>118</v>
      </c>
      <c r="J40" s="13">
        <v>118</v>
      </c>
      <c r="K40" s="13">
        <v>84</v>
      </c>
      <c r="L40" s="13">
        <v>101</v>
      </c>
      <c r="M40" s="13">
        <v>120</v>
      </c>
      <c r="N40" s="13">
        <v>94</v>
      </c>
      <c r="O40" s="13">
        <v>91</v>
      </c>
      <c r="P40" s="13">
        <v>102</v>
      </c>
      <c r="Q40" s="13">
        <v>120</v>
      </c>
      <c r="R40" s="13">
        <v>91</v>
      </c>
      <c r="S40" s="13">
        <v>112</v>
      </c>
      <c r="T40" s="13">
        <v>80</v>
      </c>
      <c r="U40" s="13">
        <v>116</v>
      </c>
      <c r="V40" s="13">
        <v>86</v>
      </c>
      <c r="W40" s="13">
        <v>95</v>
      </c>
      <c r="X40" s="13">
        <v>85</v>
      </c>
      <c r="Y40" s="13">
        <v>110</v>
      </c>
      <c r="Z40" s="13">
        <v>102</v>
      </c>
      <c r="AA40" s="13">
        <v>95</v>
      </c>
      <c r="AB40" s="13">
        <v>106</v>
      </c>
      <c r="AC40" s="13">
        <v>96</v>
      </c>
      <c r="AD40" s="13">
        <v>115</v>
      </c>
      <c r="AE40" s="13">
        <v>90</v>
      </c>
      <c r="AF40" s="13">
        <v>89</v>
      </c>
      <c r="AG40" s="13">
        <v>107</v>
      </c>
      <c r="AI40" s="15">
        <f t="shared" si="17"/>
        <v>0.75000000000000022</v>
      </c>
      <c r="AJ40" s="7">
        <f t="shared" si="22"/>
        <v>103.75</v>
      </c>
      <c r="AK40" s="7">
        <f t="shared" si="18"/>
        <v>109.25</v>
      </c>
      <c r="AL40" s="7">
        <f t="shared" si="18"/>
        <v>95</v>
      </c>
      <c r="AM40" s="7">
        <f t="shared" si="19"/>
        <v>98</v>
      </c>
      <c r="AN40" s="7">
        <f t="shared" si="19"/>
        <v>68.942708333333329</v>
      </c>
      <c r="AO40" s="7">
        <f t="shared" si="19"/>
        <v>96</v>
      </c>
      <c r="AP40" s="7">
        <f t="shared" si="19"/>
        <v>104.4375</v>
      </c>
      <c r="AR40" s="15">
        <f t="shared" si="20"/>
        <v>0.75000000000000022</v>
      </c>
      <c r="AS40" s="8">
        <f t="shared" si="7"/>
        <v>3.7203047960555805E-2</v>
      </c>
      <c r="AT40" s="8">
        <f t="shared" si="7"/>
        <v>3.9133160204173012E-2</v>
      </c>
      <c r="AU40" s="8">
        <f t="shared" si="7"/>
        <v>3.2994703481809502E-2</v>
      </c>
      <c r="AV40" s="8">
        <f t="shared" si="7"/>
        <v>3.437390389337075E-2</v>
      </c>
      <c r="AW40" s="8">
        <f t="shared" si="7"/>
        <v>3.2021074835987845E-2</v>
      </c>
      <c r="AX40" s="8">
        <f t="shared" si="7"/>
        <v>2.7214741318214032E-2</v>
      </c>
      <c r="AY40" s="8">
        <f t="shared" si="7"/>
        <v>2.9430931539179597E-2</v>
      </c>
      <c r="BA40" s="15">
        <f t="shared" si="21"/>
        <v>0.75000000000000022</v>
      </c>
      <c r="BB40" s="10">
        <f t="shared" si="8"/>
        <v>50.511556293506629</v>
      </c>
      <c r="BC40" s="10">
        <f t="shared" si="3"/>
        <v>53.189277350029876</v>
      </c>
      <c r="BD40" s="10">
        <f t="shared" si="3"/>
        <v>46.251545521765117</v>
      </c>
      <c r="BE40" s="10">
        <f t="shared" si="3"/>
        <v>47.712120643505067</v>
      </c>
      <c r="BF40" s="10">
        <f t="shared" si="3"/>
        <v>33.565334872346746</v>
      </c>
      <c r="BG40" s="10">
        <f t="shared" si="3"/>
        <v>46.738403895678424</v>
      </c>
      <c r="BH40" s="10">
        <f t="shared" si="3"/>
        <v>50.846271425572034</v>
      </c>
    </row>
    <row r="41" spans="5:60" x14ac:dyDescent="0.3">
      <c r="E41" s="11">
        <f t="shared" si="12"/>
        <v>0.75000000000000022</v>
      </c>
      <c r="F41" s="13">
        <v>87</v>
      </c>
      <c r="G41" s="13">
        <v>94</v>
      </c>
      <c r="H41" s="13">
        <v>111</v>
      </c>
      <c r="I41" s="13">
        <v>81</v>
      </c>
      <c r="J41" s="13">
        <v>83</v>
      </c>
      <c r="K41" s="13">
        <v>86</v>
      </c>
      <c r="L41" s="13">
        <v>86</v>
      </c>
      <c r="M41" s="13">
        <v>113</v>
      </c>
      <c r="N41" s="13">
        <v>92</v>
      </c>
      <c r="O41" s="13">
        <v>117</v>
      </c>
      <c r="P41" s="13">
        <v>81</v>
      </c>
      <c r="Q41" s="13">
        <v>86</v>
      </c>
      <c r="R41" s="13">
        <v>106</v>
      </c>
      <c r="S41" s="13">
        <v>104</v>
      </c>
      <c r="T41" s="13">
        <v>110</v>
      </c>
      <c r="U41" s="13">
        <v>101</v>
      </c>
      <c r="V41" s="13">
        <v>102</v>
      </c>
      <c r="W41" s="13">
        <v>92</v>
      </c>
      <c r="X41" s="13">
        <v>114</v>
      </c>
      <c r="Y41" s="13">
        <v>116</v>
      </c>
      <c r="Z41" s="13">
        <v>92</v>
      </c>
      <c r="AA41" s="13">
        <v>105</v>
      </c>
      <c r="AB41" s="13">
        <v>82</v>
      </c>
      <c r="AC41" s="13">
        <v>107</v>
      </c>
      <c r="AD41" s="13">
        <v>107</v>
      </c>
      <c r="AE41" s="13">
        <v>97</v>
      </c>
      <c r="AF41" s="13">
        <v>96</v>
      </c>
      <c r="AG41" s="13">
        <v>110</v>
      </c>
      <c r="AI41" s="15">
        <f t="shared" si="17"/>
        <v>0.77083333333333359</v>
      </c>
      <c r="AJ41" s="7">
        <f t="shared" si="22"/>
        <v>99.5</v>
      </c>
      <c r="AK41" s="7">
        <f t="shared" si="18"/>
        <v>104</v>
      </c>
      <c r="AL41" s="7">
        <f t="shared" si="18"/>
        <v>97.5</v>
      </c>
      <c r="AM41" s="7">
        <f t="shared" si="19"/>
        <v>99.75</v>
      </c>
      <c r="AN41" s="7">
        <f t="shared" si="19"/>
        <v>73.447916666666671</v>
      </c>
      <c r="AO41" s="7">
        <f t="shared" si="19"/>
        <v>100.25</v>
      </c>
      <c r="AP41" s="7">
        <f t="shared" si="19"/>
        <v>102.3125</v>
      </c>
      <c r="AR41" s="15">
        <f t="shared" si="20"/>
        <v>0.77083333333333359</v>
      </c>
      <c r="AS41" s="8">
        <f t="shared" si="7"/>
        <v>3.5679067682653519E-2</v>
      </c>
      <c r="AT41" s="8">
        <f t="shared" si="7"/>
        <v>3.7252619324796274E-2</v>
      </c>
      <c r="AU41" s="8">
        <f t="shared" si="7"/>
        <v>3.386298515238343E-2</v>
      </c>
      <c r="AV41" s="8">
        <f t="shared" si="7"/>
        <v>3.498772360575237E-2</v>
      </c>
      <c r="AW41" s="8">
        <f t="shared" si="7"/>
        <v>3.4113560273256828E-2</v>
      </c>
      <c r="AX41" s="8">
        <f t="shared" si="7"/>
        <v>2.8419560595322465E-2</v>
      </c>
      <c r="AY41" s="8">
        <f t="shared" si="7"/>
        <v>2.8832097504271095E-2</v>
      </c>
      <c r="BA41" s="15">
        <f t="shared" si="21"/>
        <v>0.77083333333333359</v>
      </c>
      <c r="BB41" s="10">
        <f t="shared" si="8"/>
        <v>48.442408204375027</v>
      </c>
      <c r="BC41" s="10">
        <f t="shared" si="3"/>
        <v>50.63327088698496</v>
      </c>
      <c r="BD41" s="10">
        <f t="shared" si="3"/>
        <v>47.468691456548406</v>
      </c>
      <c r="BE41" s="10">
        <f t="shared" si="3"/>
        <v>48.564122797853372</v>
      </c>
      <c r="BF41" s="10">
        <f t="shared" si="3"/>
        <v>35.758733275654137</v>
      </c>
      <c r="BG41" s="10">
        <f t="shared" si="3"/>
        <v>48.807551984810019</v>
      </c>
      <c r="BH41" s="10">
        <f t="shared" si="3"/>
        <v>49.811697381006233</v>
      </c>
    </row>
    <row r="42" spans="5:60" x14ac:dyDescent="0.3">
      <c r="E42" s="11">
        <f t="shared" si="12"/>
        <v>0.77083333333333359</v>
      </c>
      <c r="F42" s="13">
        <v>105</v>
      </c>
      <c r="G42" s="13">
        <v>95</v>
      </c>
      <c r="H42" s="13">
        <v>120</v>
      </c>
      <c r="I42" s="13">
        <v>113</v>
      </c>
      <c r="J42" s="13">
        <v>90</v>
      </c>
      <c r="K42" s="13">
        <v>82</v>
      </c>
      <c r="L42" s="13">
        <v>88</v>
      </c>
      <c r="M42" s="13">
        <v>102</v>
      </c>
      <c r="N42" s="13">
        <v>101</v>
      </c>
      <c r="O42" s="13">
        <v>100</v>
      </c>
      <c r="P42" s="13">
        <v>111</v>
      </c>
      <c r="Q42" s="13">
        <v>90</v>
      </c>
      <c r="R42" s="13">
        <v>119</v>
      </c>
      <c r="S42" s="13">
        <v>117</v>
      </c>
      <c r="T42" s="13">
        <v>95</v>
      </c>
      <c r="U42" s="13">
        <v>112</v>
      </c>
      <c r="V42" s="13">
        <v>85</v>
      </c>
      <c r="W42" s="13">
        <v>111</v>
      </c>
      <c r="X42" s="13">
        <v>95</v>
      </c>
      <c r="Y42" s="13">
        <v>89</v>
      </c>
      <c r="Z42" s="13">
        <v>97</v>
      </c>
      <c r="AA42" s="13">
        <v>96</v>
      </c>
      <c r="AB42" s="13">
        <v>80</v>
      </c>
      <c r="AC42" s="13">
        <v>111</v>
      </c>
      <c r="AD42" s="13">
        <v>81</v>
      </c>
      <c r="AE42" s="13">
        <v>115</v>
      </c>
      <c r="AF42" s="13">
        <v>98</v>
      </c>
      <c r="AG42" s="13">
        <v>97</v>
      </c>
      <c r="AI42" s="15">
        <f t="shared" si="17"/>
        <v>0.79166666666666696</v>
      </c>
      <c r="AJ42" s="7">
        <f t="shared" si="22"/>
        <v>97</v>
      </c>
      <c r="AK42" s="7">
        <f t="shared" si="18"/>
        <v>98</v>
      </c>
      <c r="AL42" s="7">
        <f t="shared" si="18"/>
        <v>98.5</v>
      </c>
      <c r="AM42" s="7">
        <f t="shared" si="19"/>
        <v>103.25</v>
      </c>
      <c r="AN42" s="7">
        <f t="shared" si="19"/>
        <v>74.953125</v>
      </c>
      <c r="AO42" s="7">
        <f t="shared" si="19"/>
        <v>88.8125</v>
      </c>
      <c r="AP42" s="7">
        <f t="shared" si="19"/>
        <v>106.3125</v>
      </c>
      <c r="AR42" s="15">
        <f t="shared" si="20"/>
        <v>0.79166666666666696</v>
      </c>
      <c r="AS42" s="8">
        <f t="shared" si="7"/>
        <v>3.4782608695652174E-2</v>
      </c>
      <c r="AT42" s="8">
        <f t="shared" si="7"/>
        <v>3.5103429748365722E-2</v>
      </c>
      <c r="AU42" s="8">
        <f t="shared" si="7"/>
        <v>3.4210297820613009E-2</v>
      </c>
      <c r="AV42" s="8">
        <f t="shared" si="7"/>
        <v>3.6215363030515611E-2</v>
      </c>
      <c r="AW42" s="8">
        <f t="shared" si="7"/>
        <v>3.4812668124552477E-2</v>
      </c>
      <c r="AX42" s="8">
        <f t="shared" si="7"/>
        <v>2.5177179305457122E-2</v>
      </c>
      <c r="AY42" s="8">
        <f t="shared" si="7"/>
        <v>2.9959314511157686E-2</v>
      </c>
      <c r="BA42" s="15">
        <f t="shared" si="21"/>
        <v>0.79166666666666696</v>
      </c>
      <c r="BB42" s="10">
        <f t="shared" si="8"/>
        <v>47.225262269591738</v>
      </c>
      <c r="BC42" s="10">
        <f t="shared" si="3"/>
        <v>47.71212064350506</v>
      </c>
      <c r="BD42" s="10">
        <f t="shared" si="3"/>
        <v>47.955549830461727</v>
      </c>
      <c r="BE42" s="10">
        <f t="shared" si="3"/>
        <v>50.268127106549983</v>
      </c>
      <c r="BF42" s="10">
        <f t="shared" si="3"/>
        <v>36.491556557221585</v>
      </c>
      <c r="BG42" s="10">
        <f t="shared" si="3"/>
        <v>43.239109333176458</v>
      </c>
      <c r="BH42" s="10">
        <f t="shared" si="3"/>
        <v>51.759130876659505</v>
      </c>
    </row>
    <row r="43" spans="5:60" x14ac:dyDescent="0.3">
      <c r="E43" s="11">
        <f t="shared" si="12"/>
        <v>0.79166666666666696</v>
      </c>
      <c r="F43" s="13">
        <v>100</v>
      </c>
      <c r="G43" s="13">
        <v>91</v>
      </c>
      <c r="H43" s="13">
        <v>97</v>
      </c>
      <c r="I43" s="13">
        <v>112</v>
      </c>
      <c r="J43" s="13">
        <v>103</v>
      </c>
      <c r="K43" s="13">
        <v>108</v>
      </c>
      <c r="L43" s="13">
        <v>100</v>
      </c>
      <c r="M43" s="13">
        <v>88</v>
      </c>
      <c r="N43" s="13">
        <v>92</v>
      </c>
      <c r="O43" s="13">
        <v>84</v>
      </c>
      <c r="P43" s="13">
        <v>95</v>
      </c>
      <c r="Q43" s="13">
        <v>98</v>
      </c>
      <c r="R43" s="13">
        <v>118</v>
      </c>
      <c r="S43" s="13">
        <v>112</v>
      </c>
      <c r="T43" s="13">
        <v>118</v>
      </c>
      <c r="U43" s="13">
        <v>105</v>
      </c>
      <c r="V43" s="13">
        <v>109</v>
      </c>
      <c r="W43" s="13">
        <v>87</v>
      </c>
      <c r="X43" s="13">
        <v>88</v>
      </c>
      <c r="Y43" s="13">
        <v>120</v>
      </c>
      <c r="Z43" s="13">
        <v>115</v>
      </c>
      <c r="AA43" s="13">
        <v>82</v>
      </c>
      <c r="AB43" s="13">
        <v>102</v>
      </c>
      <c r="AC43" s="13">
        <v>102</v>
      </c>
      <c r="AD43" s="13">
        <v>91</v>
      </c>
      <c r="AE43" s="13">
        <v>105</v>
      </c>
      <c r="AF43" s="13">
        <v>95</v>
      </c>
      <c r="AG43" s="13">
        <v>86</v>
      </c>
      <c r="AI43" s="15">
        <f t="shared" si="17"/>
        <v>0.81250000000000033</v>
      </c>
      <c r="AJ43" s="7">
        <f t="shared" si="22"/>
        <v>84.5</v>
      </c>
      <c r="AK43" s="7">
        <f t="shared" si="18"/>
        <v>82.25</v>
      </c>
      <c r="AL43" s="7">
        <f t="shared" si="18"/>
        <v>93.75</v>
      </c>
      <c r="AM43" s="7">
        <f t="shared" si="19"/>
        <v>92.25</v>
      </c>
      <c r="AN43" s="7">
        <f t="shared" si="19"/>
        <v>85.708333333333329</v>
      </c>
      <c r="AO43" s="7">
        <f t="shared" si="19"/>
        <v>92.0625</v>
      </c>
      <c r="AP43" s="7">
        <f t="shared" si="19"/>
        <v>99.625</v>
      </c>
      <c r="AR43" s="15">
        <f t="shared" si="20"/>
        <v>0.81250000000000033</v>
      </c>
      <c r="AS43" s="8">
        <f t="shared" si="7"/>
        <v>3.0300313760645452E-2</v>
      </c>
      <c r="AT43" s="8">
        <f t="shared" si="7"/>
        <v>2.9461807110235515E-2</v>
      </c>
      <c r="AU43" s="8">
        <f t="shared" si="7"/>
        <v>3.2560562646522531E-2</v>
      </c>
      <c r="AV43" s="8">
        <f t="shared" si="7"/>
        <v>3.2357067695545423E-2</v>
      </c>
      <c r="AW43" s="8">
        <f t="shared" si="7"/>
        <v>3.9808023532599233E-2</v>
      </c>
      <c r="AX43" s="8">
        <f t="shared" si="7"/>
        <v>2.6098511693834162E-2</v>
      </c>
      <c r="AY43" s="8">
        <f t="shared" si="7"/>
        <v>2.8074748577769166E-2</v>
      </c>
      <c r="BA43" s="15">
        <f t="shared" si="21"/>
        <v>0.81250000000000033</v>
      </c>
      <c r="BB43" s="10">
        <f t="shared" si="8"/>
        <v>41.139532595675277</v>
      </c>
      <c r="BC43" s="10">
        <f t="shared" si="3"/>
        <v>40.044101254370318</v>
      </c>
      <c r="BD43" s="10">
        <f t="shared" si="3"/>
        <v>45.642972554373472</v>
      </c>
      <c r="BE43" s="10">
        <f t="shared" si="3"/>
        <v>44.912684993503497</v>
      </c>
      <c r="BF43" s="10">
        <f t="shared" si="3"/>
        <v>41.727819797487207</v>
      </c>
      <c r="BG43" s="10">
        <f t="shared" si="3"/>
        <v>44.821399048394738</v>
      </c>
      <c r="BH43" s="10">
        <f t="shared" si="3"/>
        <v>48.5032655011142</v>
      </c>
    </row>
    <row r="44" spans="5:60" x14ac:dyDescent="0.3">
      <c r="E44" s="11">
        <f t="shared" si="12"/>
        <v>0.81250000000000033</v>
      </c>
      <c r="F44" s="13">
        <v>81</v>
      </c>
      <c r="G44" s="13">
        <v>110</v>
      </c>
      <c r="H44" s="13">
        <v>81</v>
      </c>
      <c r="I44" s="13">
        <v>90</v>
      </c>
      <c r="J44" s="13">
        <v>112</v>
      </c>
      <c r="K44" s="13">
        <v>83</v>
      </c>
      <c r="L44" s="13">
        <v>89</v>
      </c>
      <c r="M44" s="13">
        <v>89</v>
      </c>
      <c r="N44" s="13">
        <v>111</v>
      </c>
      <c r="O44" s="13">
        <v>85</v>
      </c>
      <c r="P44" s="13">
        <v>102</v>
      </c>
      <c r="Q44" s="13">
        <v>81</v>
      </c>
      <c r="R44" s="13">
        <v>99</v>
      </c>
      <c r="S44" s="13">
        <v>83</v>
      </c>
      <c r="T44" s="13">
        <v>80</v>
      </c>
      <c r="U44" s="13">
        <v>114</v>
      </c>
      <c r="V44" s="13">
        <v>81</v>
      </c>
      <c r="W44" s="13">
        <v>86</v>
      </c>
      <c r="X44" s="13">
        <v>89</v>
      </c>
      <c r="Y44" s="13">
        <v>111</v>
      </c>
      <c r="Z44" s="13">
        <v>89</v>
      </c>
      <c r="AA44" s="13">
        <v>88</v>
      </c>
      <c r="AB44" s="13">
        <v>117</v>
      </c>
      <c r="AC44" s="13">
        <v>82</v>
      </c>
      <c r="AD44" s="13">
        <v>80</v>
      </c>
      <c r="AE44" s="13">
        <v>93</v>
      </c>
      <c r="AF44" s="13">
        <v>92</v>
      </c>
      <c r="AG44" s="13">
        <v>108</v>
      </c>
      <c r="AI44" s="15">
        <f t="shared" si="17"/>
        <v>0.8333333333333337</v>
      </c>
      <c r="AJ44" s="7">
        <f t="shared" si="22"/>
        <v>99</v>
      </c>
      <c r="AK44" s="7">
        <f t="shared" si="18"/>
        <v>100.25</v>
      </c>
      <c r="AL44" s="7">
        <f t="shared" si="18"/>
        <v>97.5</v>
      </c>
      <c r="AM44" s="7">
        <f t="shared" si="19"/>
        <v>96.5</v>
      </c>
      <c r="AN44" s="7">
        <f t="shared" si="19"/>
        <v>74.713541666666671</v>
      </c>
      <c r="AO44" s="7">
        <f t="shared" si="19"/>
        <v>92.75</v>
      </c>
      <c r="AP44" s="7">
        <f t="shared" si="19"/>
        <v>74.8125</v>
      </c>
      <c r="AR44" s="15">
        <f t="shared" si="20"/>
        <v>0.8333333333333337</v>
      </c>
      <c r="AS44" s="8">
        <f t="shared" si="7"/>
        <v>3.549977588525325E-2</v>
      </c>
      <c r="AT44" s="8">
        <f t="shared" si="7"/>
        <v>3.5909375839527177E-2</v>
      </c>
      <c r="AU44" s="8">
        <f t="shared" si="7"/>
        <v>3.386298515238343E-2</v>
      </c>
      <c r="AV44" s="8">
        <f t="shared" si="7"/>
        <v>3.3847772711329355E-2</v>
      </c>
      <c r="AW44" s="8">
        <f t="shared" si="7"/>
        <v>3.470139144233933E-2</v>
      </c>
      <c r="AX44" s="8">
        <f t="shared" si="7"/>
        <v>2.6293408929836996E-2</v>
      </c>
      <c r="AY44" s="8">
        <f t="shared" si="7"/>
        <v>2.1082480581925779E-2</v>
      </c>
      <c r="BA44" s="15">
        <f t="shared" si="21"/>
        <v>0.8333333333333337</v>
      </c>
      <c r="BB44" s="10">
        <f t="shared" si="8"/>
        <v>48.198979017418374</v>
      </c>
      <c r="BC44" s="10">
        <f t="shared" si="3"/>
        <v>48.807551984810019</v>
      </c>
      <c r="BD44" s="10">
        <f t="shared" si="3"/>
        <v>47.468691456548406</v>
      </c>
      <c r="BE44" s="10">
        <f t="shared" si="3"/>
        <v>46.981833082635085</v>
      </c>
      <c r="BF44" s="10">
        <f t="shared" si="3"/>
        <v>36.374913405138187</v>
      </c>
      <c r="BG44" s="10">
        <f t="shared" si="3"/>
        <v>45.156114180460143</v>
      </c>
      <c r="BH44" s="10">
        <f t="shared" si="3"/>
        <v>36.423092098390022</v>
      </c>
    </row>
    <row r="45" spans="5:60" x14ac:dyDescent="0.3">
      <c r="E45" s="11">
        <f t="shared" si="12"/>
        <v>0.8333333333333337</v>
      </c>
      <c r="F45" s="13">
        <v>87</v>
      </c>
      <c r="G45" s="13">
        <v>100</v>
      </c>
      <c r="H45" s="13">
        <v>93</v>
      </c>
      <c r="I45" s="13">
        <v>113</v>
      </c>
      <c r="J45" s="13">
        <v>94</v>
      </c>
      <c r="K45" s="13">
        <v>120</v>
      </c>
      <c r="L45" s="13">
        <v>98</v>
      </c>
      <c r="M45" s="13">
        <v>88</v>
      </c>
      <c r="N45" s="13">
        <v>94</v>
      </c>
      <c r="O45" s="13">
        <v>94</v>
      </c>
      <c r="P45" s="13">
        <v>110</v>
      </c>
      <c r="Q45" s="13">
        <v>94</v>
      </c>
      <c r="R45" s="13">
        <v>88</v>
      </c>
      <c r="S45" s="13">
        <v>89</v>
      </c>
      <c r="T45" s="13">
        <v>111</v>
      </c>
      <c r="U45" s="13">
        <v>117</v>
      </c>
      <c r="V45" s="13">
        <v>104</v>
      </c>
      <c r="W45" s="13">
        <v>117</v>
      </c>
      <c r="X45" s="13">
        <v>110</v>
      </c>
      <c r="Y45" s="13">
        <v>102</v>
      </c>
      <c r="Z45" s="13">
        <v>110</v>
      </c>
      <c r="AA45" s="13">
        <v>110</v>
      </c>
      <c r="AB45" s="13">
        <v>87</v>
      </c>
      <c r="AC45" s="13">
        <v>110</v>
      </c>
      <c r="AD45" s="13">
        <v>120</v>
      </c>
      <c r="AE45" s="13">
        <v>92</v>
      </c>
      <c r="AF45" s="13">
        <v>82</v>
      </c>
      <c r="AG45" s="13">
        <v>89</v>
      </c>
      <c r="AI45" s="15">
        <f t="shared" si="17"/>
        <v>0.85416666666666707</v>
      </c>
      <c r="AJ45" s="7">
        <f t="shared" si="22"/>
        <v>24.25</v>
      </c>
      <c r="AK45" s="7">
        <f t="shared" si="18"/>
        <v>24</v>
      </c>
      <c r="AL45" s="7">
        <f t="shared" si="18"/>
        <v>27.25</v>
      </c>
      <c r="AM45" s="7">
        <f t="shared" si="19"/>
        <v>27.25</v>
      </c>
      <c r="AN45" s="7">
        <f t="shared" si="19"/>
        <v>18.21875</v>
      </c>
      <c r="AO45" s="7">
        <f t="shared" si="19"/>
        <v>23.9375</v>
      </c>
      <c r="AP45" s="7">
        <f t="shared" si="19"/>
        <v>23.3125</v>
      </c>
      <c r="AR45" s="15">
        <f t="shared" si="20"/>
        <v>0.85416666666666707</v>
      </c>
      <c r="AS45" s="8">
        <f t="shared" si="7"/>
        <v>8.6956521739130436E-3</v>
      </c>
      <c r="AT45" s="8">
        <f t="shared" si="7"/>
        <v>8.5967583057222179E-3</v>
      </c>
      <c r="AU45" s="8">
        <f t="shared" si="7"/>
        <v>9.464270209255882E-3</v>
      </c>
      <c r="AV45" s="8">
        <f t="shared" si="7"/>
        <v>9.5580498070852327E-3</v>
      </c>
      <c r="AW45" s="8">
        <f t="shared" si="7"/>
        <v>8.4618659648172164E-3</v>
      </c>
      <c r="AX45" s="8">
        <f t="shared" si="7"/>
        <v>6.7859673990077959E-3</v>
      </c>
      <c r="AY45" s="8">
        <f t="shared" si="7"/>
        <v>6.5695616182609154E-3</v>
      </c>
      <c r="BA45" s="15">
        <f t="shared" si="21"/>
        <v>0.85416666666666707</v>
      </c>
      <c r="BB45" s="10">
        <f t="shared" si="8"/>
        <v>11.806315567397935</v>
      </c>
      <c r="BC45" s="10">
        <f t="shared" si="3"/>
        <v>11.684600973919608</v>
      </c>
      <c r="BD45" s="10">
        <f t="shared" si="3"/>
        <v>13.266890689137888</v>
      </c>
      <c r="BE45" s="10">
        <f t="shared" si="3"/>
        <v>13.266890689137886</v>
      </c>
      <c r="BF45" s="10">
        <f t="shared" si="3"/>
        <v>8.8699509997332431</v>
      </c>
      <c r="BG45" s="10">
        <f t="shared" si="3"/>
        <v>11.654172325550025</v>
      </c>
      <c r="BH45" s="10">
        <f t="shared" si="3"/>
        <v>11.349885841854201</v>
      </c>
    </row>
    <row r="46" spans="5:60" x14ac:dyDescent="0.3">
      <c r="E46" s="11">
        <f t="shared" si="12"/>
        <v>0.85416666666666707</v>
      </c>
      <c r="F46" s="13">
        <v>24</v>
      </c>
      <c r="G46" s="13">
        <v>30</v>
      </c>
      <c r="H46" s="13">
        <v>25</v>
      </c>
      <c r="I46" s="13">
        <v>29</v>
      </c>
      <c r="J46" s="13">
        <v>28</v>
      </c>
      <c r="K46" s="13">
        <v>25</v>
      </c>
      <c r="L46" s="13">
        <v>29</v>
      </c>
      <c r="M46" s="13">
        <v>25</v>
      </c>
      <c r="N46" s="13">
        <v>22</v>
      </c>
      <c r="O46" s="13">
        <v>20</v>
      </c>
      <c r="P46" s="13">
        <v>20</v>
      </c>
      <c r="Q46" s="13">
        <v>27</v>
      </c>
      <c r="R46" s="13">
        <v>22</v>
      </c>
      <c r="S46" s="13">
        <v>28</v>
      </c>
      <c r="T46" s="13">
        <v>25</v>
      </c>
      <c r="U46" s="13">
        <v>29</v>
      </c>
      <c r="V46" s="13">
        <v>24</v>
      </c>
      <c r="W46" s="13">
        <v>27</v>
      </c>
      <c r="X46" s="13">
        <v>25</v>
      </c>
      <c r="Y46" s="13">
        <v>21</v>
      </c>
      <c r="Z46" s="13">
        <v>30</v>
      </c>
      <c r="AA46" s="13">
        <v>23</v>
      </c>
      <c r="AB46" s="13">
        <v>21</v>
      </c>
      <c r="AC46" s="13">
        <v>27</v>
      </c>
      <c r="AD46" s="13">
        <v>24</v>
      </c>
      <c r="AE46" s="13">
        <v>29</v>
      </c>
      <c r="AF46" s="13">
        <v>24</v>
      </c>
      <c r="AG46" s="13">
        <v>22</v>
      </c>
      <c r="AI46" s="15">
        <f t="shared" si="17"/>
        <v>0.87500000000000044</v>
      </c>
      <c r="AJ46" s="7">
        <f t="shared" si="22"/>
        <v>25.25</v>
      </c>
      <c r="AK46" s="7">
        <f t="shared" si="18"/>
        <v>24.75</v>
      </c>
      <c r="AL46" s="7">
        <f t="shared" si="18"/>
        <v>25.25</v>
      </c>
      <c r="AM46" s="7">
        <f t="shared" si="19"/>
        <v>26.25</v>
      </c>
      <c r="AN46" s="7">
        <f t="shared" si="19"/>
        <v>15.973958333333334</v>
      </c>
      <c r="AO46" s="7">
        <f t="shared" si="19"/>
        <v>25.75</v>
      </c>
      <c r="AP46" s="7">
        <f t="shared" si="19"/>
        <v>24.6875</v>
      </c>
      <c r="AR46" s="15">
        <f t="shared" si="20"/>
        <v>0.87500000000000044</v>
      </c>
      <c r="AS46" s="8">
        <f t="shared" si="7"/>
        <v>9.0542357687135814E-3</v>
      </c>
      <c r="AT46" s="8">
        <f t="shared" si="7"/>
        <v>8.8654070027760368E-3</v>
      </c>
      <c r="AU46" s="8">
        <f t="shared" si="7"/>
        <v>8.769644872796736E-3</v>
      </c>
      <c r="AV46" s="8">
        <f t="shared" si="7"/>
        <v>9.207295685724308E-3</v>
      </c>
      <c r="AW46" s="8">
        <f t="shared" si="7"/>
        <v>7.4192518336461989E-3</v>
      </c>
      <c r="AX46" s="8">
        <f t="shared" si="7"/>
        <v>7.2997873848334519E-3</v>
      </c>
      <c r="AY46" s="8">
        <f t="shared" si="7"/>
        <v>6.957042464378181E-3</v>
      </c>
      <c r="BA46" s="15">
        <f t="shared" si="21"/>
        <v>0.87500000000000044</v>
      </c>
      <c r="BB46" s="10">
        <f t="shared" si="8"/>
        <v>12.293173941311252</v>
      </c>
      <c r="BC46" s="10">
        <f t="shared" si="3"/>
        <v>12.049744754354595</v>
      </c>
      <c r="BD46" s="10">
        <f t="shared" si="3"/>
        <v>12.293173941311256</v>
      </c>
      <c r="BE46" s="10">
        <f t="shared" si="3"/>
        <v>12.780032315224572</v>
      </c>
      <c r="BF46" s="10">
        <f t="shared" ref="BF46:BH51" si="23">10000*AW46*AN$53</f>
        <v>7.7770553791257448</v>
      </c>
      <c r="BG46" s="10">
        <f t="shared" si="23"/>
        <v>12.536603128267911</v>
      </c>
      <c r="BH46" s="10">
        <f t="shared" si="23"/>
        <v>12.019316105985011</v>
      </c>
    </row>
    <row r="47" spans="5:60" x14ac:dyDescent="0.3">
      <c r="E47" s="11">
        <f t="shared" si="12"/>
        <v>0.87500000000000044</v>
      </c>
      <c r="F47" s="13">
        <v>27</v>
      </c>
      <c r="G47" s="13">
        <v>30</v>
      </c>
      <c r="H47" s="13">
        <v>24</v>
      </c>
      <c r="I47" s="13">
        <v>27</v>
      </c>
      <c r="J47" s="13">
        <v>28</v>
      </c>
      <c r="K47" s="13">
        <v>22</v>
      </c>
      <c r="L47" s="13">
        <v>29</v>
      </c>
      <c r="M47" s="13">
        <v>21</v>
      </c>
      <c r="N47" s="13">
        <v>20</v>
      </c>
      <c r="O47" s="13">
        <v>20</v>
      </c>
      <c r="P47" s="13">
        <v>28</v>
      </c>
      <c r="Q47" s="13">
        <v>23</v>
      </c>
      <c r="R47" s="13">
        <v>26</v>
      </c>
      <c r="S47" s="13">
        <v>29</v>
      </c>
      <c r="T47" s="13">
        <v>26</v>
      </c>
      <c r="U47" s="13">
        <v>20</v>
      </c>
      <c r="V47" s="13">
        <v>30</v>
      </c>
      <c r="W47" s="13">
        <v>25</v>
      </c>
      <c r="X47" s="13">
        <v>24</v>
      </c>
      <c r="Y47" s="13">
        <v>27</v>
      </c>
      <c r="Z47" s="13">
        <v>27</v>
      </c>
      <c r="AA47" s="13">
        <v>27</v>
      </c>
      <c r="AB47" s="13">
        <v>23</v>
      </c>
      <c r="AC47" s="13">
        <v>25</v>
      </c>
      <c r="AD47" s="13">
        <v>27</v>
      </c>
      <c r="AE47" s="13">
        <v>26</v>
      </c>
      <c r="AF47" s="13">
        <v>20</v>
      </c>
      <c r="AG47" s="13">
        <v>20</v>
      </c>
      <c r="AI47" s="15">
        <f t="shared" si="17"/>
        <v>0.89583333333333381</v>
      </c>
      <c r="AJ47" s="7">
        <f t="shared" si="22"/>
        <v>25.25</v>
      </c>
      <c r="AK47" s="7">
        <f t="shared" si="18"/>
        <v>23</v>
      </c>
      <c r="AL47" s="7">
        <f t="shared" si="18"/>
        <v>27</v>
      </c>
      <c r="AM47" s="7">
        <f t="shared" si="19"/>
        <v>25.75</v>
      </c>
      <c r="AN47" s="7">
        <f t="shared" si="19"/>
        <v>18.479166666666668</v>
      </c>
      <c r="AO47" s="7">
        <f t="shared" si="19"/>
        <v>24.4375</v>
      </c>
      <c r="AP47" s="7">
        <f t="shared" si="19"/>
        <v>27.625</v>
      </c>
      <c r="AR47" s="15">
        <f t="shared" si="20"/>
        <v>0.89583333333333381</v>
      </c>
      <c r="AS47" s="8">
        <f t="shared" si="7"/>
        <v>9.0542357687135814E-3</v>
      </c>
      <c r="AT47" s="8">
        <f t="shared" si="7"/>
        <v>8.2385600429837908E-3</v>
      </c>
      <c r="AU47" s="8">
        <f t="shared" si="7"/>
        <v>9.3774420421984892E-3</v>
      </c>
      <c r="AV47" s="8">
        <f t="shared" si="7"/>
        <v>9.0319186250438447E-3</v>
      </c>
      <c r="AW47" s="8">
        <f t="shared" si="7"/>
        <v>8.5828188802662912E-3</v>
      </c>
      <c r="AX47" s="8">
        <f t="shared" si="7"/>
        <v>6.9277108433734936E-3</v>
      </c>
      <c r="AY47" s="8">
        <f t="shared" si="7"/>
        <v>7.7848424538105223E-3</v>
      </c>
      <c r="BA47" s="15">
        <f t="shared" si="21"/>
        <v>0.89583333333333381</v>
      </c>
      <c r="BB47" s="10">
        <f t="shared" si="8"/>
        <v>12.293173941311252</v>
      </c>
      <c r="BC47" s="10">
        <f t="shared" si="8"/>
        <v>11.197742600006288</v>
      </c>
      <c r="BD47" s="10">
        <f t="shared" si="8"/>
        <v>13.145176095659558</v>
      </c>
      <c r="BE47" s="10">
        <f t="shared" si="8"/>
        <v>12.536603128267913</v>
      </c>
      <c r="BF47" s="10">
        <f t="shared" si="23"/>
        <v>8.9967370346065021</v>
      </c>
      <c r="BG47" s="10">
        <f t="shared" si="23"/>
        <v>11.897601512506682</v>
      </c>
      <c r="BH47" s="10">
        <f t="shared" si="23"/>
        <v>13.44946257935538</v>
      </c>
    </row>
    <row r="48" spans="5:60" x14ac:dyDescent="0.3">
      <c r="E48" s="11">
        <f t="shared" si="12"/>
        <v>0.89583333333333381</v>
      </c>
      <c r="F48" s="13">
        <v>28</v>
      </c>
      <c r="G48" s="13">
        <v>24</v>
      </c>
      <c r="H48" s="13">
        <v>21</v>
      </c>
      <c r="I48" s="13">
        <v>26</v>
      </c>
      <c r="J48" s="13">
        <v>30</v>
      </c>
      <c r="K48" s="13">
        <v>24</v>
      </c>
      <c r="L48" s="13">
        <v>30</v>
      </c>
      <c r="M48" s="13">
        <v>23</v>
      </c>
      <c r="N48" s="13">
        <v>27</v>
      </c>
      <c r="O48" s="13">
        <v>21</v>
      </c>
      <c r="P48" s="13">
        <v>20</v>
      </c>
      <c r="Q48" s="13">
        <v>24</v>
      </c>
      <c r="R48" s="13">
        <v>26</v>
      </c>
      <c r="S48" s="13">
        <v>24</v>
      </c>
      <c r="T48" s="13">
        <v>29</v>
      </c>
      <c r="U48" s="13">
        <v>22</v>
      </c>
      <c r="V48" s="13">
        <v>27</v>
      </c>
      <c r="W48" s="13">
        <v>29</v>
      </c>
      <c r="X48" s="13">
        <v>28</v>
      </c>
      <c r="Y48" s="13">
        <v>30</v>
      </c>
      <c r="Z48" s="13">
        <v>21</v>
      </c>
      <c r="AA48" s="13">
        <v>21</v>
      </c>
      <c r="AB48" s="13">
        <v>24</v>
      </c>
      <c r="AC48" s="13">
        <v>23</v>
      </c>
      <c r="AD48" s="13">
        <v>24</v>
      </c>
      <c r="AE48" s="13">
        <v>26</v>
      </c>
      <c r="AF48" s="13">
        <v>28</v>
      </c>
      <c r="AG48" s="13">
        <v>28</v>
      </c>
      <c r="AI48" s="15">
        <f t="shared" si="17"/>
        <v>0.91666666666666718</v>
      </c>
      <c r="AJ48" s="7">
        <f t="shared" si="22"/>
        <v>24</v>
      </c>
      <c r="AK48" s="7">
        <f t="shared" si="18"/>
        <v>24.75</v>
      </c>
      <c r="AL48" s="7">
        <f t="shared" si="18"/>
        <v>25.5</v>
      </c>
      <c r="AM48" s="7">
        <f t="shared" si="19"/>
        <v>26.5</v>
      </c>
      <c r="AN48" s="7">
        <f t="shared" si="19"/>
        <v>20.734375</v>
      </c>
      <c r="AO48" s="7">
        <f t="shared" si="19"/>
        <v>22.9375</v>
      </c>
      <c r="AP48" s="7">
        <f t="shared" si="19"/>
        <v>27</v>
      </c>
      <c r="AR48" s="15">
        <f t="shared" si="20"/>
        <v>0.91666666666666718</v>
      </c>
      <c r="AS48" s="8">
        <f t="shared" si="7"/>
        <v>8.6060062752129091E-3</v>
      </c>
      <c r="AT48" s="8">
        <f t="shared" si="7"/>
        <v>8.8654070027760368E-3</v>
      </c>
      <c r="AU48" s="8">
        <f t="shared" si="7"/>
        <v>8.8564730398541288E-3</v>
      </c>
      <c r="AV48" s="8">
        <f t="shared" si="7"/>
        <v>9.2949842160645387E-3</v>
      </c>
      <c r="AW48" s="8">
        <f t="shared" si="7"/>
        <v>9.6302711280552705E-3</v>
      </c>
      <c r="AX48" s="8">
        <f t="shared" si="7"/>
        <v>6.5024805102763998E-3</v>
      </c>
      <c r="AY48" s="8">
        <f t="shared" si="7"/>
        <v>7.608714796484492E-3</v>
      </c>
      <c r="BA48" s="15">
        <f t="shared" si="21"/>
        <v>0.91666666666666718</v>
      </c>
      <c r="BB48" s="10">
        <f t="shared" si="8"/>
        <v>11.684600973919604</v>
      </c>
      <c r="BC48" s="10">
        <f t="shared" si="8"/>
        <v>12.049744754354595</v>
      </c>
      <c r="BD48" s="10">
        <f t="shared" si="8"/>
        <v>12.414888534789583</v>
      </c>
      <c r="BE48" s="10">
        <f t="shared" si="8"/>
        <v>12.901746908702901</v>
      </c>
      <c r="BF48" s="10">
        <f t="shared" si="23"/>
        <v>10.094704096608929</v>
      </c>
      <c r="BG48" s="10">
        <f t="shared" si="23"/>
        <v>11.167313951636705</v>
      </c>
      <c r="BH48" s="10">
        <f t="shared" si="23"/>
        <v>13.145176095659556</v>
      </c>
    </row>
    <row r="49" spans="5:60" x14ac:dyDescent="0.3">
      <c r="E49" s="11">
        <f t="shared" si="12"/>
        <v>0.91666666666666718</v>
      </c>
      <c r="F49" s="13">
        <v>28</v>
      </c>
      <c r="G49" s="13">
        <v>26</v>
      </c>
      <c r="H49" s="13">
        <v>22</v>
      </c>
      <c r="I49" s="13">
        <v>30</v>
      </c>
      <c r="J49" s="13">
        <v>21</v>
      </c>
      <c r="K49" s="13">
        <v>22</v>
      </c>
      <c r="L49" s="13">
        <v>29</v>
      </c>
      <c r="M49" s="13">
        <v>21</v>
      </c>
      <c r="N49" s="13">
        <v>28</v>
      </c>
      <c r="O49" s="13">
        <v>26</v>
      </c>
      <c r="P49" s="13">
        <v>20</v>
      </c>
      <c r="Q49" s="13">
        <v>30</v>
      </c>
      <c r="R49" s="13">
        <v>30</v>
      </c>
      <c r="S49" s="13">
        <v>26</v>
      </c>
      <c r="T49" s="13">
        <v>21</v>
      </c>
      <c r="U49" s="13">
        <v>27</v>
      </c>
      <c r="V49" s="13">
        <v>23</v>
      </c>
      <c r="W49" s="13">
        <v>21</v>
      </c>
      <c r="X49" s="13">
        <v>23</v>
      </c>
      <c r="Y49" s="13">
        <v>23</v>
      </c>
      <c r="Z49" s="13">
        <v>28</v>
      </c>
      <c r="AA49" s="13">
        <v>26</v>
      </c>
      <c r="AB49" s="13">
        <v>27</v>
      </c>
      <c r="AC49" s="13">
        <v>28</v>
      </c>
      <c r="AD49" s="13">
        <v>28</v>
      </c>
      <c r="AE49" s="13">
        <v>28</v>
      </c>
      <c r="AF49" s="13">
        <v>28</v>
      </c>
      <c r="AG49" s="13">
        <v>23</v>
      </c>
      <c r="AI49" s="15">
        <f t="shared" si="17"/>
        <v>0.93750000000000056</v>
      </c>
      <c r="AJ49" s="7">
        <f t="shared" si="22"/>
        <v>23.5</v>
      </c>
      <c r="AK49" s="7">
        <f t="shared" si="18"/>
        <v>22.75</v>
      </c>
      <c r="AL49" s="7">
        <f t="shared" si="18"/>
        <v>26</v>
      </c>
      <c r="AM49" s="7">
        <f t="shared" si="19"/>
        <v>27</v>
      </c>
      <c r="AN49" s="7">
        <f t="shared" si="19"/>
        <v>20.989583333333332</v>
      </c>
      <c r="AO49" s="7">
        <f t="shared" si="19"/>
        <v>24</v>
      </c>
      <c r="AP49" s="7">
        <f t="shared" si="19"/>
        <v>25.375</v>
      </c>
      <c r="AR49" s="15">
        <f t="shared" si="20"/>
        <v>0.93750000000000056</v>
      </c>
      <c r="AS49" s="8">
        <f t="shared" si="7"/>
        <v>8.4267144778126402E-3</v>
      </c>
      <c r="AT49" s="8">
        <f t="shared" si="7"/>
        <v>8.1490104772991845E-3</v>
      </c>
      <c r="AU49" s="8">
        <f t="shared" si="7"/>
        <v>9.0301293739689162E-3</v>
      </c>
      <c r="AV49" s="8">
        <f t="shared" si="7"/>
        <v>9.470361276745002E-3</v>
      </c>
      <c r="AW49" s="8">
        <f t="shared" si="7"/>
        <v>9.7488049851953626E-3</v>
      </c>
      <c r="AX49" s="8">
        <f t="shared" si="7"/>
        <v>6.803685329553508E-3</v>
      </c>
      <c r="AY49" s="8">
        <f t="shared" si="7"/>
        <v>7.1507828874368146E-3</v>
      </c>
      <c r="BA49" s="15">
        <f t="shared" si="21"/>
        <v>0.93750000000000056</v>
      </c>
      <c r="BB49" s="10">
        <f t="shared" si="8"/>
        <v>11.441171786962949</v>
      </c>
      <c r="BC49" s="10">
        <f t="shared" si="8"/>
        <v>11.076028006527959</v>
      </c>
      <c r="BD49" s="10">
        <f t="shared" si="8"/>
        <v>12.658317721746242</v>
      </c>
      <c r="BE49" s="10">
        <f t="shared" si="8"/>
        <v>13.14517609565956</v>
      </c>
      <c r="BF49" s="10">
        <f t="shared" si="23"/>
        <v>10.218954410784724</v>
      </c>
      <c r="BG49" s="10">
        <f t="shared" si="23"/>
        <v>11.684600973919606</v>
      </c>
      <c r="BH49" s="10">
        <f t="shared" si="23"/>
        <v>12.354031238050418</v>
      </c>
    </row>
    <row r="50" spans="5:60" x14ac:dyDescent="0.3">
      <c r="E50" s="11">
        <f t="shared" si="12"/>
        <v>0.93750000000000056</v>
      </c>
      <c r="F50" s="13">
        <v>23</v>
      </c>
      <c r="G50" s="13">
        <v>27</v>
      </c>
      <c r="H50" s="13">
        <v>24</v>
      </c>
      <c r="I50" s="13">
        <v>29</v>
      </c>
      <c r="J50" s="13">
        <v>25</v>
      </c>
      <c r="K50" s="13">
        <v>21</v>
      </c>
      <c r="L50" s="13">
        <v>27</v>
      </c>
      <c r="M50" s="13">
        <v>25</v>
      </c>
      <c r="N50" s="13">
        <v>25</v>
      </c>
      <c r="O50" s="13">
        <v>23</v>
      </c>
      <c r="P50" s="13">
        <v>21</v>
      </c>
      <c r="Q50" s="13">
        <v>29</v>
      </c>
      <c r="R50" s="13">
        <v>24</v>
      </c>
      <c r="S50" s="13">
        <v>30</v>
      </c>
      <c r="T50" s="13">
        <v>20</v>
      </c>
      <c r="U50" s="13">
        <v>30</v>
      </c>
      <c r="V50" s="13">
        <v>20</v>
      </c>
      <c r="W50" s="13">
        <v>25</v>
      </c>
      <c r="X50" s="13">
        <v>22</v>
      </c>
      <c r="Y50" s="13">
        <v>24</v>
      </c>
      <c r="Z50" s="13">
        <v>21</v>
      </c>
      <c r="AA50" s="13">
        <v>26</v>
      </c>
      <c r="AB50" s="13">
        <v>28</v>
      </c>
      <c r="AC50" s="13">
        <v>24</v>
      </c>
      <c r="AD50" s="13">
        <v>25</v>
      </c>
      <c r="AE50" s="13">
        <v>28</v>
      </c>
      <c r="AF50" s="13">
        <v>27</v>
      </c>
      <c r="AG50" s="13">
        <v>30</v>
      </c>
      <c r="AI50" s="15">
        <f t="shared" si="17"/>
        <v>0.95833333333333393</v>
      </c>
      <c r="AJ50" s="7">
        <f t="shared" si="22"/>
        <v>27.25</v>
      </c>
      <c r="AK50" s="7">
        <f t="shared" si="18"/>
        <v>25</v>
      </c>
      <c r="AL50" s="7">
        <f t="shared" si="18"/>
        <v>29.25</v>
      </c>
      <c r="AM50" s="7">
        <f t="shared" si="19"/>
        <v>26.5</v>
      </c>
      <c r="AN50" s="7">
        <f t="shared" si="19"/>
        <v>18.494791666666668</v>
      </c>
      <c r="AO50" s="7">
        <f t="shared" si="19"/>
        <v>22.9375</v>
      </c>
      <c r="AP50" s="7">
        <f t="shared" si="19"/>
        <v>24.6875</v>
      </c>
      <c r="AR50" s="15">
        <f t="shared" si="20"/>
        <v>0.95833333333333393</v>
      </c>
      <c r="AS50" s="8">
        <f t="shared" si="7"/>
        <v>9.771402958314657E-3</v>
      </c>
      <c r="AT50" s="8">
        <f t="shared" si="7"/>
        <v>8.9549565684606432E-3</v>
      </c>
      <c r="AU50" s="8">
        <f t="shared" si="7"/>
        <v>1.015889554571503E-2</v>
      </c>
      <c r="AV50" s="8">
        <f t="shared" si="7"/>
        <v>9.2949842160645387E-3</v>
      </c>
      <c r="AW50" s="8">
        <f t="shared" si="7"/>
        <v>8.5900760551932357E-3</v>
      </c>
      <c r="AX50" s="8">
        <f t="shared" si="7"/>
        <v>6.5024805102763998E-3</v>
      </c>
      <c r="AY50" s="8">
        <f t="shared" si="7"/>
        <v>6.957042464378181E-3</v>
      </c>
      <c r="BA50" s="15">
        <f t="shared" si="21"/>
        <v>0.95833333333333393</v>
      </c>
      <c r="BB50" s="10">
        <f t="shared" si="8"/>
        <v>13.266890689137885</v>
      </c>
      <c r="BC50" s="10">
        <f t="shared" si="8"/>
        <v>12.171459347832924</v>
      </c>
      <c r="BD50" s="10">
        <f t="shared" si="8"/>
        <v>14.24060743696452</v>
      </c>
      <c r="BE50" s="10">
        <f t="shared" si="8"/>
        <v>12.901746908702901</v>
      </c>
      <c r="BF50" s="10">
        <f t="shared" si="23"/>
        <v>9.0043441966988986</v>
      </c>
      <c r="BG50" s="10">
        <f t="shared" si="23"/>
        <v>11.167313951636705</v>
      </c>
      <c r="BH50" s="10">
        <f t="shared" si="23"/>
        <v>12.019316105985011</v>
      </c>
    </row>
    <row r="51" spans="5:60" x14ac:dyDescent="0.3">
      <c r="E51" s="11">
        <f t="shared" si="12"/>
        <v>0.95833333333333393</v>
      </c>
      <c r="F51" s="13">
        <v>29</v>
      </c>
      <c r="G51" s="13">
        <v>21</v>
      </c>
      <c r="H51" s="13">
        <v>24</v>
      </c>
      <c r="I51" s="13">
        <v>26</v>
      </c>
      <c r="J51" s="13">
        <v>29</v>
      </c>
      <c r="K51" s="13">
        <v>20</v>
      </c>
      <c r="L51" s="13">
        <v>26</v>
      </c>
      <c r="M51" s="13">
        <v>24</v>
      </c>
      <c r="N51" s="13">
        <v>20</v>
      </c>
      <c r="O51" s="13">
        <v>25</v>
      </c>
      <c r="P51" s="13">
        <v>26</v>
      </c>
      <c r="Q51" s="13">
        <v>29</v>
      </c>
      <c r="R51" s="13">
        <v>21</v>
      </c>
      <c r="S51" s="13">
        <v>25</v>
      </c>
      <c r="T51" s="13">
        <v>27</v>
      </c>
      <c r="U51" s="13">
        <v>28</v>
      </c>
      <c r="V51" s="13">
        <v>24</v>
      </c>
      <c r="W51" s="13">
        <v>21</v>
      </c>
      <c r="X51" s="13">
        <v>30</v>
      </c>
      <c r="Y51" s="13">
        <v>29</v>
      </c>
      <c r="Z51" s="13">
        <v>30</v>
      </c>
      <c r="AA51" s="13">
        <v>29</v>
      </c>
      <c r="AB51" s="13">
        <v>25</v>
      </c>
      <c r="AC51" s="13">
        <v>27</v>
      </c>
      <c r="AD51" s="13">
        <v>21</v>
      </c>
      <c r="AE51" s="13">
        <v>29</v>
      </c>
      <c r="AF51" s="13">
        <v>22</v>
      </c>
      <c r="AG51" s="13">
        <v>25</v>
      </c>
      <c r="AI51" s="15">
        <f t="shared" si="17"/>
        <v>0.9791666666666673</v>
      </c>
      <c r="AJ51" s="7">
        <f t="shared" si="22"/>
        <v>24.75</v>
      </c>
      <c r="AK51" s="7">
        <f t="shared" si="18"/>
        <v>23.75</v>
      </c>
      <c r="AL51" s="7">
        <f t="shared" si="18"/>
        <v>22.5</v>
      </c>
      <c r="AM51" s="7">
        <f t="shared" si="19"/>
        <v>26.75</v>
      </c>
      <c r="AN51" s="7">
        <f t="shared" si="19"/>
        <v>21.666666666666668</v>
      </c>
      <c r="AO51" s="7">
        <f t="shared" si="19"/>
        <v>716.1875</v>
      </c>
      <c r="AP51" s="7">
        <f t="shared" si="19"/>
        <v>732.5</v>
      </c>
      <c r="AR51" s="17">
        <f t="shared" si="20"/>
        <v>0.9791666666666673</v>
      </c>
      <c r="AS51" s="8">
        <f t="shared" si="7"/>
        <v>8.8749439713133125E-3</v>
      </c>
      <c r="AT51" s="8">
        <f t="shared" si="7"/>
        <v>8.5072087400376115E-3</v>
      </c>
      <c r="AU51" s="8">
        <f t="shared" si="7"/>
        <v>7.814535035165408E-3</v>
      </c>
      <c r="AV51" s="8">
        <f t="shared" si="7"/>
        <v>9.3826727464047695E-3</v>
      </c>
      <c r="AW51" s="8">
        <f t="shared" si="7"/>
        <v>1.0063282565362958E-2</v>
      </c>
      <c r="AX51" s="8">
        <f t="shared" si="7"/>
        <v>0.2030297661233168</v>
      </c>
      <c r="AY51" s="8">
        <f t="shared" si="7"/>
        <v>0.20642161438610704</v>
      </c>
      <c r="BA51" s="17">
        <f t="shared" si="21"/>
        <v>0.9791666666666673</v>
      </c>
      <c r="BB51" s="10">
        <f t="shared" si="8"/>
        <v>12.049744754354593</v>
      </c>
      <c r="BC51" s="10">
        <f t="shared" si="8"/>
        <v>11.562886380441279</v>
      </c>
      <c r="BD51" s="10">
        <f t="shared" si="8"/>
        <v>10.954313413049633</v>
      </c>
      <c r="BE51" s="10">
        <f t="shared" si="8"/>
        <v>13.023461502181227</v>
      </c>
      <c r="BF51" s="10">
        <f t="shared" si="23"/>
        <v>10.548598101455202</v>
      </c>
      <c r="BG51" s="10">
        <f t="shared" si="23"/>
        <v>348.68188166704368</v>
      </c>
      <c r="BH51" s="10">
        <f t="shared" si="23"/>
        <v>356.62375889150468</v>
      </c>
    </row>
    <row r="52" spans="5:60" x14ac:dyDescent="0.3">
      <c r="E52" s="11">
        <f>E51+"00:30"</f>
        <v>0.9791666666666673</v>
      </c>
      <c r="F52" s="13">
        <v>26</v>
      </c>
      <c r="G52" s="13">
        <v>24</v>
      </c>
      <c r="H52" s="13">
        <v>29</v>
      </c>
      <c r="I52" s="13">
        <v>23</v>
      </c>
      <c r="J52" s="13">
        <v>20</v>
      </c>
      <c r="K52" s="13">
        <v>26</v>
      </c>
      <c r="L52" s="13">
        <v>29</v>
      </c>
      <c r="M52" s="13">
        <v>22</v>
      </c>
      <c r="N52" s="13">
        <v>21</v>
      </c>
      <c r="O52" s="13">
        <v>21</v>
      </c>
      <c r="P52" s="13">
        <v>20</v>
      </c>
      <c r="Q52" s="13">
        <v>21</v>
      </c>
      <c r="R52" s="13">
        <v>22</v>
      </c>
      <c r="S52" s="13">
        <v>30</v>
      </c>
      <c r="T52" s="13">
        <v>27</v>
      </c>
      <c r="U52" s="13">
        <v>22</v>
      </c>
      <c r="V52" s="13">
        <v>25</v>
      </c>
      <c r="W52" s="13">
        <v>25</v>
      </c>
      <c r="X52" s="13">
        <v>22</v>
      </c>
      <c r="Y52" s="13">
        <v>28</v>
      </c>
      <c r="Z52" s="13">
        <v>20</v>
      </c>
      <c r="AA52" s="13">
        <v>24</v>
      </c>
      <c r="AB52" s="13">
        <v>22</v>
      </c>
      <c r="AC52" s="13">
        <v>20</v>
      </c>
      <c r="AD52" s="13">
        <v>28</v>
      </c>
      <c r="AE52" s="13">
        <v>27</v>
      </c>
      <c r="AF52" s="13">
        <v>29</v>
      </c>
      <c r="AG52" s="13">
        <v>28</v>
      </c>
      <c r="AI52" s="2" t="s">
        <v>11</v>
      </c>
      <c r="AJ52" s="18">
        <f t="shared" ref="AJ52:AP52" si="24">SUM(AJ4:AJ51)</f>
        <v>2788.75</v>
      </c>
      <c r="AK52" s="18">
        <f t="shared" si="24"/>
        <v>2791.75</v>
      </c>
      <c r="AL52" s="18">
        <f t="shared" si="24"/>
        <v>2879.25</v>
      </c>
      <c r="AM52" s="18">
        <f t="shared" si="24"/>
        <v>2851</v>
      </c>
      <c r="AN52" s="18">
        <f t="shared" si="24"/>
        <v>2153.0416666666665</v>
      </c>
      <c r="AO52" s="18">
        <f t="shared" si="24"/>
        <v>3527.5</v>
      </c>
      <c r="AP52" s="18">
        <f t="shared" si="24"/>
        <v>3548.5625</v>
      </c>
      <c r="AR52" s="2" t="s">
        <v>11</v>
      </c>
      <c r="AS52" s="19">
        <f t="shared" ref="AS52:AY52" si="25">SUM(AS4:AS51)</f>
        <v>0.99999999999999967</v>
      </c>
      <c r="AT52" s="19">
        <f t="shared" si="25"/>
        <v>1.0000000000000002</v>
      </c>
      <c r="AU52" s="19">
        <f t="shared" si="25"/>
        <v>1.0000000000000002</v>
      </c>
      <c r="AV52" s="19">
        <f t="shared" si="25"/>
        <v>1.0000000000000002</v>
      </c>
      <c r="AW52" s="19">
        <f t="shared" si="25"/>
        <v>1.0000000000000002</v>
      </c>
      <c r="AX52" s="19">
        <f t="shared" si="25"/>
        <v>1</v>
      </c>
      <c r="AY52" s="19">
        <f t="shared" si="25"/>
        <v>1</v>
      </c>
      <c r="BA52" s="2" t="s">
        <v>11</v>
      </c>
      <c r="BB52" s="20">
        <f>SUM(BB4:BB51)</f>
        <v>1357.7262902507625</v>
      </c>
      <c r="BC52" s="20">
        <f t="shared" ref="BC52:BH52" si="26">SUM(BC4:BC51)</f>
        <v>1359.186865372503</v>
      </c>
      <c r="BD52" s="20">
        <f t="shared" si="26"/>
        <v>1401.7869730899181</v>
      </c>
      <c r="BE52" s="20">
        <f t="shared" si="26"/>
        <v>1388.0332240268672</v>
      </c>
      <c r="BF52" s="20">
        <f t="shared" si="26"/>
        <v>1048.2263648009509</v>
      </c>
      <c r="BG52" s="20">
        <f t="shared" si="26"/>
        <v>1717.3929139792256</v>
      </c>
      <c r="BH52" s="20">
        <f t="shared" si="26"/>
        <v>1727.6473684797743</v>
      </c>
    </row>
    <row r="53" spans="5:60" x14ac:dyDescent="0.3">
      <c r="E53" s="21" t="s">
        <v>11</v>
      </c>
      <c r="F53" s="22">
        <f t="shared" ref="F53:AG53" si="27">SUM(F5:F52)</f>
        <v>2764</v>
      </c>
      <c r="G53" s="22">
        <f t="shared" si="27"/>
        <v>2854</v>
      </c>
      <c r="H53" s="22">
        <f t="shared" si="27"/>
        <v>2811</v>
      </c>
      <c r="I53" s="22">
        <f t="shared" si="27"/>
        <v>2919</v>
      </c>
      <c r="J53" s="22">
        <f t="shared" si="27"/>
        <v>2916</v>
      </c>
      <c r="K53" s="22">
        <f t="shared" si="27"/>
        <v>2821</v>
      </c>
      <c r="L53" s="22">
        <f t="shared" si="27"/>
        <v>2876</v>
      </c>
      <c r="M53" s="22">
        <f t="shared" si="27"/>
        <v>2852</v>
      </c>
      <c r="N53" s="22">
        <f t="shared" si="27"/>
        <v>2838</v>
      </c>
      <c r="O53" s="22">
        <f t="shared" si="27"/>
        <v>2797</v>
      </c>
      <c r="P53" s="22">
        <f t="shared" si="27"/>
        <v>2875</v>
      </c>
      <c r="Q53" s="22">
        <f t="shared" si="27"/>
        <v>2821</v>
      </c>
      <c r="R53" s="22">
        <f t="shared" si="27"/>
        <v>2820</v>
      </c>
      <c r="S53" s="22">
        <f t="shared" si="27"/>
        <v>2827</v>
      </c>
      <c r="T53" s="22">
        <f t="shared" si="27"/>
        <v>2752</v>
      </c>
      <c r="U53" s="22">
        <f t="shared" si="27"/>
        <v>2911</v>
      </c>
      <c r="V53" s="22">
        <f t="shared" si="27"/>
        <v>2714</v>
      </c>
      <c r="W53" s="22">
        <f t="shared" si="27"/>
        <v>2808</v>
      </c>
      <c r="X53" s="22">
        <f t="shared" si="27"/>
        <v>2846</v>
      </c>
      <c r="Y53" s="22">
        <f t="shared" si="27"/>
        <v>2828</v>
      </c>
      <c r="Z53" s="22">
        <f t="shared" si="27"/>
        <v>2816</v>
      </c>
      <c r="AA53" s="22">
        <f t="shared" si="27"/>
        <v>2787</v>
      </c>
      <c r="AB53" s="22">
        <f t="shared" si="27"/>
        <v>2818</v>
      </c>
      <c r="AC53" s="22">
        <f t="shared" si="27"/>
        <v>2845</v>
      </c>
      <c r="AD53" s="22">
        <f t="shared" si="27"/>
        <v>2870</v>
      </c>
      <c r="AE53" s="22">
        <f t="shared" si="27"/>
        <v>2934</v>
      </c>
      <c r="AF53" s="22">
        <f t="shared" si="27"/>
        <v>2869</v>
      </c>
      <c r="AG53" s="22">
        <f t="shared" si="27"/>
        <v>2885</v>
      </c>
      <c r="AI53" s="3" t="s">
        <v>12</v>
      </c>
      <c r="AJ53" s="26">
        <f>AJ52/SUM($AJ$52:$AP$52)</f>
        <v>0.13577262902507625</v>
      </c>
      <c r="AK53" s="26">
        <f t="shared" ref="AK53:AP53" si="28">AK52/SUM($AJ$52:$AP$52)</f>
        <v>0.13591868653725026</v>
      </c>
      <c r="AL53" s="26">
        <f t="shared" si="28"/>
        <v>0.1401786973089918</v>
      </c>
      <c r="AM53" s="26">
        <f t="shared" si="28"/>
        <v>0.13880332240268667</v>
      </c>
      <c r="AN53" s="26">
        <f t="shared" si="28"/>
        <v>0.1048226364800951</v>
      </c>
      <c r="AO53" s="26">
        <f t="shared" si="28"/>
        <v>0.17173929139792254</v>
      </c>
      <c r="AP53" s="26">
        <f t="shared" si="28"/>
        <v>0.17276473684797747</v>
      </c>
      <c r="AS53" s="23"/>
      <c r="AT53" s="23"/>
      <c r="AU53" s="23"/>
      <c r="AV53" s="23"/>
      <c r="AW53" s="23"/>
      <c r="AX53" s="23"/>
      <c r="AY53" s="23"/>
      <c r="BA53" s="2" t="s">
        <v>13</v>
      </c>
      <c r="BB53" s="19">
        <f>BB$52/SUM($BB$52:$BH$52)</f>
        <v>0.13577262902507622</v>
      </c>
      <c r="BC53" s="19">
        <f t="shared" ref="BC53:BH53" si="29">BC$52/SUM($BB$52:$BH$52)</f>
        <v>0.13591868653725028</v>
      </c>
      <c r="BD53" s="19">
        <f t="shared" si="29"/>
        <v>0.1401786973089918</v>
      </c>
      <c r="BE53" s="19">
        <f t="shared" si="29"/>
        <v>0.1388033224026867</v>
      </c>
      <c r="BF53" s="19">
        <f t="shared" si="29"/>
        <v>0.10482263648009507</v>
      </c>
      <c r="BG53" s="19">
        <f t="shared" si="29"/>
        <v>0.17173929139792252</v>
      </c>
      <c r="BH53" s="19">
        <f t="shared" si="29"/>
        <v>0.17276473684797738</v>
      </c>
    </row>
    <row r="54" spans="5:60" x14ac:dyDescent="0.3">
      <c r="E54" s="24"/>
    </row>
    <row r="55" spans="5:60" x14ac:dyDescent="0.3">
      <c r="E55" s="24"/>
    </row>
    <row r="56" spans="5:60" x14ac:dyDescent="0.3">
      <c r="E56" s="24"/>
    </row>
    <row r="57" spans="5:60" x14ac:dyDescent="0.3">
      <c r="E57" s="24"/>
      <c r="AR57" t="e">
        <f>AI57/AI$52</f>
        <v>#VALUE!</v>
      </c>
    </row>
    <row r="58" spans="5:60" x14ac:dyDescent="0.3">
      <c r="E58" s="24"/>
      <c r="AI58" s="2" t="s">
        <v>3</v>
      </c>
      <c r="AJ58" s="3" t="s">
        <v>4</v>
      </c>
      <c r="AK58" s="3" t="s">
        <v>5</v>
      </c>
      <c r="AL58" s="3" t="s">
        <v>6</v>
      </c>
      <c r="AM58" s="3" t="s">
        <v>7</v>
      </c>
      <c r="AN58" s="3" t="s">
        <v>8</v>
      </c>
      <c r="AO58" s="3" t="s">
        <v>9</v>
      </c>
      <c r="AP58" s="3" t="s">
        <v>10</v>
      </c>
    </row>
    <row r="59" spans="5:60" x14ac:dyDescent="0.3">
      <c r="E59" s="24"/>
      <c r="AI59" s="6">
        <v>0</v>
      </c>
      <c r="AJ59" s="8">
        <f t="shared" ref="AJ59:AP68" si="30">AJ4/AJ$52</f>
        <v>8.9645898700134469E-3</v>
      </c>
      <c r="AK59" s="8">
        <f t="shared" si="30"/>
        <v>9.4922539625682811E-3</v>
      </c>
      <c r="AL59" s="8">
        <f t="shared" si="30"/>
        <v>8.6828167057393414E-3</v>
      </c>
      <c r="AM59" s="8">
        <f t="shared" si="30"/>
        <v>8.6811645036829182E-3</v>
      </c>
      <c r="AN59" s="8">
        <f t="shared" si="30"/>
        <v>9.0593733671356421E-3</v>
      </c>
      <c r="AO59" s="8">
        <f t="shared" si="30"/>
        <v>7.1403260099220413E-3</v>
      </c>
      <c r="AP59" s="8">
        <f t="shared" si="30"/>
        <v>6.9394296986455785E-3</v>
      </c>
    </row>
    <row r="60" spans="5:60" x14ac:dyDescent="0.3">
      <c r="E60" s="24"/>
      <c r="AI60" s="6">
        <f>AI59+"00:30"</f>
        <v>2.0833333333333332E-2</v>
      </c>
      <c r="AJ60" s="8">
        <f t="shared" si="30"/>
        <v>9.0542357687135814E-3</v>
      </c>
      <c r="AK60" s="8">
        <f t="shared" si="30"/>
        <v>8.8654070027760368E-3</v>
      </c>
      <c r="AL60" s="8">
        <f t="shared" si="30"/>
        <v>8.5959885386819486E-3</v>
      </c>
      <c r="AM60" s="8">
        <f t="shared" si="30"/>
        <v>9.6457383374254652E-3</v>
      </c>
      <c r="AN60" s="8">
        <f t="shared" si="30"/>
        <v>8.5973332301201803E-3</v>
      </c>
      <c r="AO60" s="8">
        <f t="shared" si="30"/>
        <v>7.0871722182849041E-3</v>
      </c>
      <c r="AP60" s="8">
        <f t="shared" si="30"/>
        <v>7.7143913908801097E-3</v>
      </c>
    </row>
    <row r="61" spans="5:60" x14ac:dyDescent="0.3">
      <c r="E61" s="24"/>
      <c r="AI61" s="6">
        <f t="shared" ref="AI61:AI83" si="31">AI60+"00:30"</f>
        <v>4.1666666666666664E-2</v>
      </c>
      <c r="AJ61" s="8">
        <f t="shared" si="30"/>
        <v>9.3231734648139847E-3</v>
      </c>
      <c r="AK61" s="8">
        <f t="shared" si="30"/>
        <v>8.9549565684606432E-3</v>
      </c>
      <c r="AL61" s="8">
        <f t="shared" si="30"/>
        <v>8.6828167057393414E-3</v>
      </c>
      <c r="AM61" s="8">
        <f t="shared" si="30"/>
        <v>8.2427218519817609E-3</v>
      </c>
      <c r="AN61" s="8">
        <f t="shared" si="30"/>
        <v>8.9480966849224946E-3</v>
      </c>
      <c r="AO61" s="8">
        <f t="shared" si="30"/>
        <v>7.9199149539333803E-3</v>
      </c>
      <c r="AP61" s="8">
        <f t="shared" si="30"/>
        <v>6.7456892755869457E-3</v>
      </c>
    </row>
    <row r="62" spans="5:60" x14ac:dyDescent="0.3">
      <c r="E62" s="24"/>
      <c r="AI62" s="6">
        <f t="shared" si="31"/>
        <v>6.25E-2</v>
      </c>
      <c r="AJ62" s="8">
        <f t="shared" si="30"/>
        <v>9.5024652622142537E-3</v>
      </c>
      <c r="AK62" s="8">
        <f t="shared" si="30"/>
        <v>9.9400017909913145E-3</v>
      </c>
      <c r="AL62" s="8">
        <f t="shared" si="30"/>
        <v>8.2486758704523756E-3</v>
      </c>
      <c r="AM62" s="8">
        <f t="shared" si="30"/>
        <v>9.3826727464047695E-3</v>
      </c>
      <c r="AN62" s="8">
        <f t="shared" si="30"/>
        <v>7.9054825537514754E-3</v>
      </c>
      <c r="AO62" s="8">
        <f t="shared" si="30"/>
        <v>7.1048901488306162E-3</v>
      </c>
      <c r="AP62" s="8">
        <f t="shared" si="30"/>
        <v>7.1507828874368146E-3</v>
      </c>
    </row>
    <row r="63" spans="5:60" x14ac:dyDescent="0.3">
      <c r="E63" s="24"/>
      <c r="AH63" s="25"/>
      <c r="AI63" s="6">
        <f t="shared" si="31"/>
        <v>8.3333333333333329E-2</v>
      </c>
      <c r="AJ63" s="8">
        <f t="shared" si="30"/>
        <v>8.8749439713133125E-3</v>
      </c>
      <c r="AK63" s="8">
        <f t="shared" si="30"/>
        <v>8.6863078714068242E-3</v>
      </c>
      <c r="AL63" s="8">
        <f t="shared" si="30"/>
        <v>9.2906138751410964E-3</v>
      </c>
      <c r="AM63" s="8">
        <f t="shared" si="30"/>
        <v>7.8919677306208344E-3</v>
      </c>
      <c r="AN63" s="8">
        <f t="shared" si="30"/>
        <v>8.2562460085537914E-3</v>
      </c>
      <c r="AO63" s="8">
        <f t="shared" si="30"/>
        <v>6.8568391211906452E-3</v>
      </c>
      <c r="AP63" s="8">
        <f t="shared" si="30"/>
        <v>6.3053701322718708E-3</v>
      </c>
    </row>
    <row r="64" spans="5:60" x14ac:dyDescent="0.3">
      <c r="AI64" s="6">
        <f t="shared" si="31"/>
        <v>0.10416666666666666</v>
      </c>
      <c r="AJ64" s="8">
        <f t="shared" si="30"/>
        <v>8.9645898700134469E-3</v>
      </c>
      <c r="AK64" s="8">
        <f t="shared" si="30"/>
        <v>8.8654070027760368E-3</v>
      </c>
      <c r="AL64" s="8">
        <f t="shared" si="30"/>
        <v>8.9433012069115216E-3</v>
      </c>
      <c r="AM64" s="8">
        <f t="shared" si="30"/>
        <v>8.9442300947036122E-3</v>
      </c>
      <c r="AN64" s="8">
        <f t="shared" si="30"/>
        <v>8.4908946645249946E-3</v>
      </c>
      <c r="AO64" s="8">
        <f t="shared" si="30"/>
        <v>6.9454287739192065E-3</v>
      </c>
      <c r="AP64" s="8">
        <f t="shared" si="30"/>
        <v>6.7104637441217398E-3</v>
      </c>
    </row>
    <row r="65" spans="35:42" x14ac:dyDescent="0.3">
      <c r="AI65" s="6">
        <f t="shared" si="31"/>
        <v>0.12499999999999999</v>
      </c>
      <c r="AJ65" s="8">
        <f t="shared" si="30"/>
        <v>9.4128193635141192E-3</v>
      </c>
      <c r="AK65" s="8">
        <f t="shared" si="30"/>
        <v>8.5967583057222179E-3</v>
      </c>
      <c r="AL65" s="8">
        <f t="shared" si="30"/>
        <v>9.6379265433706694E-3</v>
      </c>
      <c r="AM65" s="8">
        <f t="shared" si="30"/>
        <v>8.1550333216415302E-3</v>
      </c>
      <c r="AN65" s="8">
        <f t="shared" si="30"/>
        <v>8.841658119327309E-3</v>
      </c>
      <c r="AO65" s="8">
        <f t="shared" si="30"/>
        <v>6.5733522324592491E-3</v>
      </c>
      <c r="AP65" s="8">
        <f t="shared" si="30"/>
        <v>7.0451062930411961E-3</v>
      </c>
    </row>
    <row r="66" spans="35:42" x14ac:dyDescent="0.3">
      <c r="AI66" s="6">
        <f t="shared" si="31"/>
        <v>0.14583333333333331</v>
      </c>
      <c r="AJ66" s="8">
        <f t="shared" si="30"/>
        <v>9.2335275661138503E-3</v>
      </c>
      <c r="AK66" s="8">
        <f t="shared" si="30"/>
        <v>7.4326139518223339E-3</v>
      </c>
      <c r="AL66" s="8">
        <f t="shared" si="30"/>
        <v>8.769644872796736E-3</v>
      </c>
      <c r="AM66" s="8">
        <f t="shared" si="30"/>
        <v>8.7688530340231489E-3</v>
      </c>
      <c r="AN66" s="8">
        <f t="shared" si="30"/>
        <v>8.4957327811429582E-3</v>
      </c>
      <c r="AO66" s="8">
        <f t="shared" si="30"/>
        <v>7.4946846208362866E-3</v>
      </c>
      <c r="AP66" s="8">
        <f t="shared" si="30"/>
        <v>7.4501999048910651E-3</v>
      </c>
    </row>
    <row r="67" spans="35:42" x14ac:dyDescent="0.3">
      <c r="AI67" s="6">
        <f t="shared" si="31"/>
        <v>0.16666666666666666</v>
      </c>
      <c r="AJ67" s="8">
        <f t="shared" si="30"/>
        <v>9.0542357687135814E-3</v>
      </c>
      <c r="AK67" s="8">
        <f t="shared" si="30"/>
        <v>9.2236052655144622E-3</v>
      </c>
      <c r="AL67" s="8">
        <f t="shared" si="30"/>
        <v>8.5091603716245558E-3</v>
      </c>
      <c r="AM67" s="8">
        <f t="shared" si="30"/>
        <v>9.3826727464047695E-3</v>
      </c>
      <c r="AN67" s="8">
        <f t="shared" si="30"/>
        <v>9.0787258336074931E-3</v>
      </c>
      <c r="AO67" s="8">
        <f t="shared" si="30"/>
        <v>6.8922749822820694E-3</v>
      </c>
      <c r="AP67" s="8">
        <f t="shared" si="30"/>
        <v>7.4678126706236685E-3</v>
      </c>
    </row>
    <row r="68" spans="35:42" x14ac:dyDescent="0.3">
      <c r="AI68" s="6">
        <f t="shared" si="31"/>
        <v>0.1875</v>
      </c>
      <c r="AJ68" s="8">
        <f t="shared" si="30"/>
        <v>7.7991931869116991E-3</v>
      </c>
      <c r="AK68" s="8">
        <f t="shared" si="30"/>
        <v>9.4027043968836748E-3</v>
      </c>
      <c r="AL68" s="8">
        <f t="shared" si="30"/>
        <v>9.2906138751410964E-3</v>
      </c>
      <c r="AM68" s="8">
        <f t="shared" si="30"/>
        <v>8.4180989126622242E-3</v>
      </c>
      <c r="AN68" s="8">
        <f t="shared" si="30"/>
        <v>8.7328004954231424E-3</v>
      </c>
      <c r="AO68" s="8">
        <f t="shared" si="30"/>
        <v>6.537916371367824E-3</v>
      </c>
      <c r="AP68" s="8">
        <f t="shared" si="30"/>
        <v>6.1996935378762531E-3</v>
      </c>
    </row>
    <row r="69" spans="35:42" x14ac:dyDescent="0.3">
      <c r="AI69" s="6">
        <f t="shared" si="31"/>
        <v>0.20833333333333334</v>
      </c>
      <c r="AJ69" s="8">
        <f t="shared" ref="AJ69:AP78" si="32">AJ14/AJ$52</f>
        <v>8.3370685791125058E-3</v>
      </c>
      <c r="AK69" s="8">
        <f t="shared" si="32"/>
        <v>9.0445061341452495E-3</v>
      </c>
      <c r="AL69" s="8">
        <f t="shared" si="32"/>
        <v>7.6408787010506206E-3</v>
      </c>
      <c r="AM69" s="8">
        <f t="shared" si="32"/>
        <v>8.4180989126622242E-3</v>
      </c>
      <c r="AN69" s="8">
        <f t="shared" si="32"/>
        <v>7.5740715654210138E-3</v>
      </c>
      <c r="AO69" s="8">
        <f t="shared" si="32"/>
        <v>6.9808646350106307E-3</v>
      </c>
      <c r="AP69" s="8">
        <f t="shared" si="32"/>
        <v>6.9922679958433877E-3</v>
      </c>
    </row>
    <row r="70" spans="35:42" x14ac:dyDescent="0.3">
      <c r="AI70" s="6">
        <f t="shared" si="31"/>
        <v>0.22916666666666669</v>
      </c>
      <c r="AJ70" s="8">
        <f t="shared" si="32"/>
        <v>8.9645898700134469E-3</v>
      </c>
      <c r="AK70" s="8">
        <f t="shared" si="32"/>
        <v>9.4922539625682811E-3</v>
      </c>
      <c r="AL70" s="8">
        <f t="shared" si="32"/>
        <v>8.8564730398541288E-3</v>
      </c>
      <c r="AM70" s="8">
        <f t="shared" si="32"/>
        <v>8.1550333216415302E-3</v>
      </c>
      <c r="AN70" s="8">
        <f t="shared" si="32"/>
        <v>8.5054090143788837E-3</v>
      </c>
      <c r="AO70" s="8">
        <f t="shared" si="32"/>
        <v>7.4769666902905737E-3</v>
      </c>
      <c r="AP70" s="8">
        <f t="shared" si="32"/>
        <v>6.9394296986455785E-3</v>
      </c>
    </row>
    <row r="71" spans="35:42" x14ac:dyDescent="0.3">
      <c r="AI71" s="6">
        <f t="shared" si="31"/>
        <v>0.25</v>
      </c>
      <c r="AJ71" s="8">
        <f t="shared" si="32"/>
        <v>9.1438816674137158E-3</v>
      </c>
      <c r="AK71" s="8">
        <f t="shared" si="32"/>
        <v>9.4922539625682811E-3</v>
      </c>
      <c r="AL71" s="8">
        <f t="shared" si="32"/>
        <v>9.2037857080837018E-3</v>
      </c>
      <c r="AM71" s="8">
        <f t="shared" si="32"/>
        <v>9.2949842160645387E-3</v>
      </c>
      <c r="AN71" s="8">
        <f t="shared" si="32"/>
        <v>1.024955005515453E-2</v>
      </c>
      <c r="AO71" s="8">
        <f t="shared" si="32"/>
        <v>7.3529411764705881E-3</v>
      </c>
      <c r="AP71" s="8">
        <f t="shared" si="32"/>
        <v>6.9042041671803726E-3</v>
      </c>
    </row>
    <row r="72" spans="35:42" x14ac:dyDescent="0.3">
      <c r="AI72" s="6">
        <f t="shared" si="31"/>
        <v>0.27083333333333331</v>
      </c>
      <c r="AJ72" s="8">
        <f t="shared" si="32"/>
        <v>8.5163603765127747E-3</v>
      </c>
      <c r="AK72" s="8">
        <f t="shared" si="32"/>
        <v>8.5072087400376115E-3</v>
      </c>
      <c r="AL72" s="8">
        <f t="shared" si="32"/>
        <v>7.3803941998784404E-3</v>
      </c>
      <c r="AM72" s="8">
        <f t="shared" si="32"/>
        <v>9.8211153981059285E-3</v>
      </c>
      <c r="AN72" s="8">
        <f t="shared" si="32"/>
        <v>8.9747063263212901E-3</v>
      </c>
      <c r="AO72" s="8">
        <f t="shared" si="32"/>
        <v>7.5124025513819987E-3</v>
      </c>
      <c r="AP72" s="8">
        <f t="shared" si="32"/>
        <v>7.1155573559716079E-3</v>
      </c>
    </row>
    <row r="73" spans="35:42" x14ac:dyDescent="0.3">
      <c r="AI73" s="6">
        <f t="shared" si="31"/>
        <v>0.29166666666666663</v>
      </c>
      <c r="AJ73" s="8">
        <f t="shared" si="32"/>
        <v>8.3370685791125058E-3</v>
      </c>
      <c r="AK73" s="8">
        <f t="shared" si="32"/>
        <v>8.9549565684606432E-3</v>
      </c>
      <c r="AL73" s="8">
        <f t="shared" si="32"/>
        <v>8.0750195363375882E-3</v>
      </c>
      <c r="AM73" s="8">
        <f t="shared" si="32"/>
        <v>8.0673447913012977E-3</v>
      </c>
      <c r="AN73" s="8">
        <f t="shared" si="32"/>
        <v>9.4415845799547156E-3</v>
      </c>
      <c r="AO73" s="8">
        <f t="shared" si="32"/>
        <v>6.9631467044649186E-3</v>
      </c>
      <c r="AP73" s="8">
        <f t="shared" si="32"/>
        <v>6.4814977895979002E-3</v>
      </c>
    </row>
    <row r="74" spans="35:42" x14ac:dyDescent="0.3">
      <c r="AI74" s="6">
        <f t="shared" si="31"/>
        <v>0.31249999999999994</v>
      </c>
      <c r="AJ74" s="8">
        <f t="shared" si="32"/>
        <v>9.3231734648139847E-3</v>
      </c>
      <c r="AK74" s="8">
        <f t="shared" si="32"/>
        <v>9.0445061341452495E-3</v>
      </c>
      <c r="AL74" s="8">
        <f t="shared" si="32"/>
        <v>8.6828167057393414E-3</v>
      </c>
      <c r="AM74" s="8">
        <f t="shared" si="32"/>
        <v>8.4180989126622242E-3</v>
      </c>
      <c r="AN74" s="8">
        <f t="shared" si="32"/>
        <v>8.979544442939252E-3</v>
      </c>
      <c r="AO74" s="8">
        <f t="shared" si="32"/>
        <v>6.8391211906449331E-3</v>
      </c>
      <c r="AP74" s="8">
        <f t="shared" si="32"/>
        <v>6.1996935378762531E-3</v>
      </c>
    </row>
    <row r="75" spans="35:42" x14ac:dyDescent="0.3">
      <c r="AI75" s="6">
        <f t="shared" si="31"/>
        <v>0.33333333333333326</v>
      </c>
      <c r="AJ75" s="8">
        <f t="shared" si="32"/>
        <v>9.2335275661138503E-3</v>
      </c>
      <c r="AK75" s="8">
        <f t="shared" si="32"/>
        <v>8.7758574370914305E-3</v>
      </c>
      <c r="AL75" s="8">
        <f t="shared" si="32"/>
        <v>9.5510983763132766E-3</v>
      </c>
      <c r="AM75" s="8">
        <f t="shared" si="32"/>
        <v>8.7688530340231489E-3</v>
      </c>
      <c r="AN75" s="8">
        <f t="shared" si="32"/>
        <v>8.2852747082615696E-3</v>
      </c>
      <c r="AO75" s="8">
        <f t="shared" si="32"/>
        <v>6.8922749822820694E-3</v>
      </c>
      <c r="AP75" s="8">
        <f t="shared" si="32"/>
        <v>7.2388467160998289E-3</v>
      </c>
    </row>
    <row r="76" spans="35:42" x14ac:dyDescent="0.3">
      <c r="AI76" s="6">
        <f t="shared" si="31"/>
        <v>0.35416666666666657</v>
      </c>
      <c r="AJ76" s="8">
        <f t="shared" si="32"/>
        <v>9.771402958314657E-3</v>
      </c>
      <c r="AK76" s="8">
        <f t="shared" si="32"/>
        <v>7.9699113459299718E-3</v>
      </c>
      <c r="AL76" s="8">
        <f t="shared" si="32"/>
        <v>9.464270209255882E-3</v>
      </c>
      <c r="AM76" s="8">
        <f t="shared" si="32"/>
        <v>8.3304103823219917E-3</v>
      </c>
      <c r="AN76" s="8">
        <f t="shared" si="32"/>
        <v>9.6810713525438824E-3</v>
      </c>
      <c r="AO76" s="8">
        <f t="shared" si="32"/>
        <v>6.9985825655563428E-3</v>
      </c>
      <c r="AP76" s="8">
        <f t="shared" si="32"/>
        <v>7.0098807615759902E-3</v>
      </c>
    </row>
    <row r="77" spans="35:42" x14ac:dyDescent="0.3">
      <c r="AI77" s="6">
        <f t="shared" si="31"/>
        <v>0.37499999999999989</v>
      </c>
      <c r="AJ77" s="8">
        <f t="shared" si="32"/>
        <v>8.6956521739130436E-3</v>
      </c>
      <c r="AK77" s="8">
        <f t="shared" si="32"/>
        <v>9.5818035282528875E-3</v>
      </c>
      <c r="AL77" s="8">
        <f t="shared" si="32"/>
        <v>8.5959885386819486E-3</v>
      </c>
      <c r="AM77" s="8">
        <f t="shared" si="32"/>
        <v>8.2427218519817609E-3</v>
      </c>
      <c r="AN77" s="8">
        <f t="shared" si="32"/>
        <v>8.1739980260484204E-3</v>
      </c>
      <c r="AO77" s="8">
        <f t="shared" si="32"/>
        <v>1.2579730687455706E-2</v>
      </c>
      <c r="AP77" s="8">
        <f t="shared" si="32"/>
        <v>1.2328936012822093E-2</v>
      </c>
    </row>
    <row r="78" spans="35:42" x14ac:dyDescent="0.3">
      <c r="AI78" s="6">
        <f t="shared" si="31"/>
        <v>0.3958333333333332</v>
      </c>
      <c r="AJ78" s="8">
        <f t="shared" si="32"/>
        <v>3.5141192290452712E-2</v>
      </c>
      <c r="AK78" s="8">
        <f t="shared" si="32"/>
        <v>3.8864511507119191E-2</v>
      </c>
      <c r="AL78" s="8">
        <f t="shared" si="32"/>
        <v>3.5946861161760872E-2</v>
      </c>
      <c r="AM78" s="8">
        <f t="shared" si="32"/>
        <v>3.5075412136092596E-2</v>
      </c>
      <c r="AN78" s="8">
        <f t="shared" si="32"/>
        <v>3.8946838774601825E-2</v>
      </c>
      <c r="AO78" s="8">
        <f t="shared" si="32"/>
        <v>2.6364280652019845E-2</v>
      </c>
      <c r="AP78" s="8">
        <f t="shared" si="32"/>
        <v>2.6736178382091341E-2</v>
      </c>
    </row>
    <row r="79" spans="35:42" x14ac:dyDescent="0.3">
      <c r="AI79" s="6">
        <f t="shared" si="31"/>
        <v>0.41666666666666652</v>
      </c>
      <c r="AJ79" s="8">
        <f t="shared" ref="AJ79:AP83" si="33">AJ24/AJ$52</f>
        <v>3.2093231734648141E-2</v>
      </c>
      <c r="AK79" s="8">
        <f t="shared" si="33"/>
        <v>3.4028834960150446E-2</v>
      </c>
      <c r="AL79" s="8">
        <f t="shared" si="33"/>
        <v>3.5599548493531301E-2</v>
      </c>
      <c r="AM79" s="8">
        <f t="shared" si="33"/>
        <v>3.4198526832690285E-2</v>
      </c>
      <c r="AN79" s="8">
        <f t="shared" si="33"/>
        <v>3.9878176223559693E-2</v>
      </c>
      <c r="AO79" s="8">
        <f t="shared" si="33"/>
        <v>2.8525868178596741E-2</v>
      </c>
      <c r="AP79" s="8">
        <f t="shared" si="33"/>
        <v>2.6700952850626136E-2</v>
      </c>
    </row>
    <row r="80" spans="35:42" x14ac:dyDescent="0.3">
      <c r="AI80" s="6">
        <f t="shared" si="31"/>
        <v>0.43749999999999983</v>
      </c>
      <c r="AJ80" s="8">
        <f t="shared" si="33"/>
        <v>3.1824294038547737E-2</v>
      </c>
      <c r="AK80" s="8">
        <f t="shared" si="33"/>
        <v>3.2775141040565954E-2</v>
      </c>
      <c r="AL80" s="8">
        <f t="shared" si="33"/>
        <v>3.6554658331162629E-2</v>
      </c>
      <c r="AM80" s="8">
        <f t="shared" si="33"/>
        <v>3.3672395650648897E-2</v>
      </c>
      <c r="AN80" s="8">
        <f t="shared" si="33"/>
        <v>3.3494281346157569E-2</v>
      </c>
      <c r="AO80" s="8">
        <f t="shared" si="33"/>
        <v>2.8933380581148121E-2</v>
      </c>
      <c r="AP80" s="8">
        <f t="shared" si="33"/>
        <v>3.0434859185937968E-2</v>
      </c>
    </row>
    <row r="81" spans="35:42" x14ac:dyDescent="0.3">
      <c r="AI81" s="6">
        <f t="shared" si="31"/>
        <v>0.45833333333333315</v>
      </c>
      <c r="AJ81" s="8">
        <f t="shared" si="33"/>
        <v>3.3617212012550426E-2</v>
      </c>
      <c r="AK81" s="8">
        <f t="shared" si="33"/>
        <v>3.5551177576788752E-2</v>
      </c>
      <c r="AL81" s="8">
        <f t="shared" si="33"/>
        <v>3.5860032994703479E-2</v>
      </c>
      <c r="AM81" s="8">
        <f t="shared" si="33"/>
        <v>3.7881445106980008E-2</v>
      </c>
      <c r="AN81" s="8">
        <f t="shared" si="33"/>
        <v>3.4425618795115444E-2</v>
      </c>
      <c r="AO81" s="8">
        <f t="shared" si="33"/>
        <v>2.9340892983699504E-2</v>
      </c>
      <c r="AP81" s="8">
        <f t="shared" si="33"/>
        <v>2.8638357081212464E-2</v>
      </c>
    </row>
    <row r="82" spans="35:42" x14ac:dyDescent="0.3">
      <c r="AI82" s="6">
        <f t="shared" si="31"/>
        <v>0.47916666666666646</v>
      </c>
      <c r="AJ82" s="8">
        <f t="shared" si="33"/>
        <v>3.4872254594352309E-2</v>
      </c>
      <c r="AK82" s="8">
        <f t="shared" si="33"/>
        <v>3.7252619324796274E-2</v>
      </c>
      <c r="AL82" s="8">
        <f t="shared" si="33"/>
        <v>3.6381001997047843E-2</v>
      </c>
      <c r="AM82" s="8">
        <f t="shared" si="33"/>
        <v>3.735531392493862E-2</v>
      </c>
      <c r="AN82" s="8">
        <f t="shared" si="33"/>
        <v>3.082847908965998E-2</v>
      </c>
      <c r="AO82" s="8">
        <f t="shared" si="33"/>
        <v>2.7055279943302622E-2</v>
      </c>
      <c r="AP82" s="8">
        <f t="shared" si="33"/>
        <v>2.8215650703629989E-2</v>
      </c>
    </row>
    <row r="83" spans="35:42" x14ac:dyDescent="0.3">
      <c r="AI83" s="6">
        <f t="shared" si="31"/>
        <v>0.49999999999999978</v>
      </c>
      <c r="AJ83" s="8">
        <f t="shared" si="33"/>
        <v>3.630658897355446E-2</v>
      </c>
      <c r="AK83" s="8">
        <f t="shared" si="33"/>
        <v>3.2506492343512133E-2</v>
      </c>
      <c r="AL83" s="8">
        <f t="shared" si="33"/>
        <v>3.3602500651211252E-2</v>
      </c>
      <c r="AM83" s="8">
        <f t="shared" si="33"/>
        <v>3.1743247983163803E-2</v>
      </c>
      <c r="AN83" s="8">
        <f t="shared" si="33"/>
        <v>3.4778801308226734E-2</v>
      </c>
      <c r="AO83" s="8">
        <f t="shared" si="33"/>
        <v>2.6275690999291283E-2</v>
      </c>
      <c r="AP83" s="8">
        <f t="shared" si="33"/>
        <v>3.0047378339820702E-2</v>
      </c>
    </row>
    <row r="84" spans="35:42" x14ac:dyDescent="0.3">
      <c r="AI84" s="2" t="s">
        <v>11</v>
      </c>
      <c r="AJ84" s="19">
        <f>SUM(AJ59:AJ83)</f>
        <v>0.37436127297176147</v>
      </c>
      <c r="AK84" s="19">
        <f t="shared" ref="AK84:AP84" si="34">SUM(AK59:AK83)</f>
        <v>0.38130205068505429</v>
      </c>
      <c r="AL84" s="19">
        <f t="shared" si="34"/>
        <v>0.38004688721021102</v>
      </c>
      <c r="AM84" s="19">
        <f t="shared" si="34"/>
        <v>0.37495615573482988</v>
      </c>
      <c r="AN84" s="19">
        <f t="shared" si="34"/>
        <v>0.37862374934685433</v>
      </c>
      <c r="AO84" s="19">
        <f t="shared" si="34"/>
        <v>0.30664422395464214</v>
      </c>
      <c r="AP84" s="19">
        <f t="shared" si="34"/>
        <v>0.30771263011430683</v>
      </c>
    </row>
    <row r="85" spans="35:42" x14ac:dyDescent="0.3">
      <c r="AI85" t="s">
        <v>12</v>
      </c>
      <c r="AJ85" s="23">
        <f>AJ84/SUM($AJ$52:$AP$52)</f>
        <v>1.8226092061515117E-5</v>
      </c>
      <c r="AK85" s="23">
        <f t="shared" ref="AK85:AP85" si="35">AK84/SUM($AJ$52:$AP$52)</f>
        <v>1.8564009636633868E-5</v>
      </c>
      <c r="AL85" s="23">
        <f t="shared" si="35"/>
        <v>1.8502900951798111E-5</v>
      </c>
      <c r="AM85" s="23">
        <f t="shared" si="35"/>
        <v>1.825505442698477E-5</v>
      </c>
      <c r="AN85" s="23">
        <f t="shared" si="35"/>
        <v>1.8433614293197281E-5</v>
      </c>
      <c r="AO85" s="23">
        <f t="shared" si="35"/>
        <v>1.4929230824446807E-5</v>
      </c>
      <c r="AP85" s="23">
        <f t="shared" si="35"/>
        <v>1.4981247073004138E-5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FE56-C3DB-46EE-87AB-101E2B0B4C82}">
  <sheetPr codeName="Sheet3"/>
  <dimension ref="A2:BH84"/>
  <sheetViews>
    <sheetView showGridLines="0" topLeftCell="AL1" workbookViewId="0">
      <selection activeCell="AJ4" sqref="AJ4:AP53"/>
    </sheetView>
  </sheetViews>
  <sheetFormatPr defaultRowHeight="14.4" x14ac:dyDescent="0.3"/>
  <cols>
    <col min="5" max="21" width="9.33203125" bestFit="1" customWidth="1"/>
    <col min="22" max="29" width="8.33203125" bestFit="1" customWidth="1"/>
    <col min="30" max="33" width="9.33203125" bestFit="1" customWidth="1"/>
    <col min="36" max="36" width="9" bestFit="1" customWidth="1"/>
    <col min="37" max="39" width="9.109375" bestFit="1" customWidth="1"/>
    <col min="40" max="41" width="9" bestFit="1" customWidth="1"/>
    <col min="42" max="42" width="9.109375" bestFit="1" customWidth="1"/>
    <col min="47" max="47" width="10.109375" bestFit="1" customWidth="1"/>
  </cols>
  <sheetData>
    <row r="2" spans="1:60" x14ac:dyDescent="0.3">
      <c r="AI2" t="s">
        <v>0</v>
      </c>
      <c r="AR2" t="s">
        <v>1</v>
      </c>
      <c r="BA2" t="s">
        <v>14</v>
      </c>
    </row>
    <row r="3" spans="1:60" x14ac:dyDescent="0.3">
      <c r="F3" s="1">
        <v>46038</v>
      </c>
      <c r="G3" s="1">
        <v>46039</v>
      </c>
      <c r="H3" s="1">
        <v>46040</v>
      </c>
      <c r="I3" s="1">
        <v>46041</v>
      </c>
      <c r="J3" s="1">
        <v>46042</v>
      </c>
      <c r="K3" s="1">
        <v>46043</v>
      </c>
      <c r="L3" s="1">
        <v>46044</v>
      </c>
      <c r="M3" s="1">
        <v>46045</v>
      </c>
      <c r="N3" s="1">
        <v>46046</v>
      </c>
      <c r="O3" s="1">
        <v>46047</v>
      </c>
      <c r="P3" s="1">
        <v>46048</v>
      </c>
      <c r="Q3" s="1">
        <v>46049</v>
      </c>
      <c r="R3" s="1">
        <v>46050</v>
      </c>
      <c r="S3" s="1">
        <v>46051</v>
      </c>
      <c r="T3" s="1">
        <v>46052</v>
      </c>
      <c r="U3" s="1">
        <v>46053</v>
      </c>
      <c r="V3" s="1">
        <v>46054</v>
      </c>
      <c r="W3" s="1">
        <v>46055</v>
      </c>
      <c r="X3" s="1">
        <v>46056</v>
      </c>
      <c r="Y3" s="1">
        <v>46057</v>
      </c>
      <c r="Z3" s="1">
        <v>46058</v>
      </c>
      <c r="AA3" s="1">
        <v>46059</v>
      </c>
      <c r="AB3" s="1">
        <v>46060</v>
      </c>
      <c r="AC3" s="1">
        <v>46061</v>
      </c>
      <c r="AD3" s="1">
        <v>46062</v>
      </c>
      <c r="AE3" s="1">
        <v>46063</v>
      </c>
      <c r="AF3" s="1">
        <v>46064</v>
      </c>
      <c r="AG3" s="1">
        <v>46065</v>
      </c>
      <c r="AI3" s="2" t="s">
        <v>3</v>
      </c>
      <c r="AJ3" s="3" t="s">
        <v>4</v>
      </c>
      <c r="AK3" s="3" t="s">
        <v>5</v>
      </c>
      <c r="AL3" s="3" t="s">
        <v>6</v>
      </c>
      <c r="AM3" s="3" t="s">
        <v>7</v>
      </c>
      <c r="AN3" s="3" t="s">
        <v>8</v>
      </c>
      <c r="AO3" s="3" t="s">
        <v>9</v>
      </c>
      <c r="AP3" s="3" t="s">
        <v>10</v>
      </c>
      <c r="AR3" s="2" t="s">
        <v>3</v>
      </c>
      <c r="AS3" s="3" t="s">
        <v>4</v>
      </c>
      <c r="AT3" s="3" t="s">
        <v>5</v>
      </c>
      <c r="AU3" s="3" t="s">
        <v>6</v>
      </c>
      <c r="AV3" s="3" t="s">
        <v>7</v>
      </c>
      <c r="AW3" s="3" t="s">
        <v>8</v>
      </c>
      <c r="AX3" s="3" t="s">
        <v>9</v>
      </c>
      <c r="AY3" s="3" t="s">
        <v>10</v>
      </c>
      <c r="BA3" s="2" t="s">
        <v>3</v>
      </c>
      <c r="BB3" s="3" t="s">
        <v>4</v>
      </c>
      <c r="BC3" s="3" t="s">
        <v>5</v>
      </c>
      <c r="BD3" s="3" t="s">
        <v>6</v>
      </c>
      <c r="BE3" s="3" t="s">
        <v>7</v>
      </c>
      <c r="BF3" s="3" t="s">
        <v>8</v>
      </c>
      <c r="BG3" s="3" t="s">
        <v>9</v>
      </c>
      <c r="BH3" s="3" t="s">
        <v>10</v>
      </c>
    </row>
    <row r="4" spans="1:60" x14ac:dyDescent="0.3">
      <c r="A4">
        <f ca="1">RANDBETWEEN(10,20)</f>
        <v>11</v>
      </c>
      <c r="B4" s="4">
        <f t="shared" ref="B4:B24" ca="1" si="0">A4/SUM($A$4:$A$19)</f>
        <v>4.2801556420233464E-2</v>
      </c>
      <c r="C4">
        <f ca="1">1000*B4</f>
        <v>42.80155642023346</v>
      </c>
      <c r="E4" s="5" t="s">
        <v>3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 t="s">
        <v>9</v>
      </c>
      <c r="L4" s="3" t="s">
        <v>10</v>
      </c>
      <c r="M4" s="3" t="s">
        <v>4</v>
      </c>
      <c r="N4" s="3" t="s">
        <v>5</v>
      </c>
      <c r="O4" s="3" t="s">
        <v>6</v>
      </c>
      <c r="P4" s="3" t="s">
        <v>7</v>
      </c>
      <c r="Q4" s="3" t="s">
        <v>8</v>
      </c>
      <c r="R4" s="3" t="s">
        <v>9</v>
      </c>
      <c r="S4" s="3" t="s">
        <v>10</v>
      </c>
      <c r="T4" s="3" t="s">
        <v>4</v>
      </c>
      <c r="U4" s="3" t="s">
        <v>5</v>
      </c>
      <c r="V4" s="3" t="s">
        <v>6</v>
      </c>
      <c r="W4" s="3" t="s">
        <v>7</v>
      </c>
      <c r="X4" s="3" t="s">
        <v>8</v>
      </c>
      <c r="Y4" s="3" t="s">
        <v>9</v>
      </c>
      <c r="Z4" s="3" t="s">
        <v>10</v>
      </c>
      <c r="AA4" s="3" t="s">
        <v>4</v>
      </c>
      <c r="AB4" s="3" t="s">
        <v>5</v>
      </c>
      <c r="AC4" s="3" t="s">
        <v>6</v>
      </c>
      <c r="AD4" s="3" t="s">
        <v>7</v>
      </c>
      <c r="AE4" s="3" t="s">
        <v>8</v>
      </c>
      <c r="AF4" s="3" t="s">
        <v>9</v>
      </c>
      <c r="AG4" s="3" t="s">
        <v>10</v>
      </c>
      <c r="AI4" s="6">
        <v>0</v>
      </c>
      <c r="AJ4" s="7">
        <f>SUMPRODUCT('vol 1'!F5*AHT!F5+'vol 1'!M5*AHT!M5+'vol 1'!T5*AHT!T5+'vol 1'!AA5*AHT!AA5)/SUM('vol 1'!F5,'vol 1'!M5,'vol 1'!T5,'vol 1'!AA5)</f>
        <v>321.75</v>
      </c>
      <c r="AK4" s="7">
        <f>SUMPRODUCT('vol 1'!G5*AHT!G5+'vol 1'!N5*AHT!N5+'vol 1'!U5*AHT!U5+'vol 1'!AB5*AHT!AB5)/SUM('vol 1'!G5,'vol 1'!N5,'vol 1'!U5,'vol 1'!AB5)</f>
        <v>314.93333333333334</v>
      </c>
      <c r="AL4" s="7">
        <f>SUMPRODUCT('vol 1'!H5*AHT!H5+'vol 1'!O5*AHT!O5+'vol 1'!V5*AHT!V5+'vol 1'!AC5*AHT!AC5)/SUM('vol 1'!H5,'vol 1'!O5,'vol 1'!V5,'vol 1'!AC5)</f>
        <v>323.50943396226415</v>
      </c>
      <c r="AM4" s="7">
        <f>SUMPRODUCT('vol 1'!I5*AHT!I5+'vol 1'!P5*AHT!P5+'vol 1'!W5*AHT!W5+'vol 1'!AD5*AHT!AD5)/SUM('vol 1'!I5,'vol 1'!P5,'vol 1'!W5,'vol 1'!AD5)</f>
        <v>328.1010101010101</v>
      </c>
      <c r="AN4" s="7">
        <f>SUMPRODUCT('vol 1'!J5*AHT!J5+'vol 1'!Q5*AHT!Q5+'vol 1'!X5*AHT!X5+'vol 1'!AE5*AHT!AE5)/SUM('vol 1'!J5,'vol 1'!Q5,'vol 1'!X5,'vol 1'!AE5)</f>
        <v>327.77</v>
      </c>
      <c r="AO4" s="7">
        <f>SUMPRODUCT('vol 1'!K5*AHT!K5+'vol 1'!R5*AHT!R5+'vol 1'!Y5*AHT!Y5+'vol 1'!AF5*AHT!AF5)/SUM('vol 1'!K5,'vol 1'!R5,'vol 1'!Y5,'vol 1'!AF5)</f>
        <v>314.19</v>
      </c>
      <c r="AP4" s="7">
        <f>SUMPRODUCT('vol 1'!L5*AHT!L5+'vol 1'!S5*AHT!S5+'vol 1'!Z5*AHT!Z5+'vol 1'!AG5*AHT!AG5)/SUM('vol 1'!L5,'vol 1'!S5,'vol 1'!Z5,'vol 1'!AG5)</f>
        <v>321.52525252525254</v>
      </c>
      <c r="AR4" s="6">
        <v>0</v>
      </c>
      <c r="AS4" s="8">
        <f>AJ4/AJ$52</f>
        <v>0.99135393329610988</v>
      </c>
      <c r="AT4" s="8">
        <f t="shared" ref="AT4:AT51" si="1">AK4/AK$52</f>
        <v>0.96798564124472708</v>
      </c>
      <c r="AU4" s="8">
        <f t="shared" ref="AU4:AU51" si="2">AL4/AL$52</f>
        <v>0.99446681872744414</v>
      </c>
      <c r="AV4" s="8">
        <f t="shared" ref="AV4:AV51" si="3">AM4/AM$52</f>
        <v>1.0066376767035849</v>
      </c>
      <c r="AW4" s="8">
        <f t="shared" ref="AW4:AW51" si="4">AN4/AN$52</f>
        <v>1.0079135176828353</v>
      </c>
      <c r="AX4" s="8">
        <f t="shared" ref="AX4:AX51" si="5">AO4/AO$52</f>
        <v>0.9666470426790521</v>
      </c>
      <c r="AY4" s="8">
        <f t="shared" ref="AY4:AY51" si="6">AP4/AP$52</f>
        <v>0.98862828474765208</v>
      </c>
      <c r="BA4" s="6">
        <v>0</v>
      </c>
      <c r="BB4" s="9">
        <f>AS4*BB$52</f>
        <v>346.25968265261145</v>
      </c>
      <c r="BC4" s="10">
        <f t="shared" ref="BC4:BC51" si="7">AT4*BC$52</f>
        <v>338.92374842806248</v>
      </c>
      <c r="BD4" s="10">
        <f t="shared" ref="BD4:BD51" si="8">AU4*BD$52</f>
        <v>348.15314355524339</v>
      </c>
      <c r="BE4" s="10">
        <f t="shared" ref="BE4:BE51" si="9">AV4*BE$52</f>
        <v>353.09448837786181</v>
      </c>
      <c r="BF4" s="10">
        <f t="shared" ref="BF4:BF51" si="10">AW4*BF$52</f>
        <v>352.73826319517156</v>
      </c>
      <c r="BG4" s="10">
        <f t="shared" ref="BG4:BG51" si="11">AX4*BG$52</f>
        <v>338.1237908084662</v>
      </c>
      <c r="BH4" s="10">
        <f t="shared" ref="BH4:BH51" si="12">AY4*BH$52</f>
        <v>346.01781477605186</v>
      </c>
    </row>
    <row r="5" spans="1:60" x14ac:dyDescent="0.3">
      <c r="A5">
        <f t="shared" ref="A5:A24" ca="1" si="13">RANDBETWEEN(10,20)</f>
        <v>17</v>
      </c>
      <c r="B5" s="4">
        <f t="shared" ca="1" si="0"/>
        <v>6.6147859922178989E-2</v>
      </c>
      <c r="C5">
        <f t="shared" ref="C5:C24" ca="1" si="14">1000*B5</f>
        <v>66.147859922178995</v>
      </c>
      <c r="E5" s="11">
        <v>0</v>
      </c>
      <c r="F5" s="12">
        <v>318</v>
      </c>
      <c r="G5" s="12">
        <v>306</v>
      </c>
      <c r="H5" s="12">
        <v>342</v>
      </c>
      <c r="I5" s="12">
        <v>334</v>
      </c>
      <c r="J5" s="12">
        <v>338</v>
      </c>
      <c r="K5" s="12">
        <v>325</v>
      </c>
      <c r="L5" s="12">
        <v>303</v>
      </c>
      <c r="M5" s="12">
        <v>330</v>
      </c>
      <c r="N5" s="12">
        <v>320</v>
      </c>
      <c r="O5" s="12">
        <v>307</v>
      </c>
      <c r="P5" s="12">
        <v>326</v>
      </c>
      <c r="Q5" s="12">
        <v>316</v>
      </c>
      <c r="R5" s="12">
        <v>303</v>
      </c>
      <c r="S5" s="12">
        <v>323</v>
      </c>
      <c r="T5" s="12">
        <v>327</v>
      </c>
      <c r="U5" s="12">
        <v>310</v>
      </c>
      <c r="V5" s="12">
        <v>340</v>
      </c>
      <c r="W5" s="12">
        <v>338</v>
      </c>
      <c r="X5" s="12">
        <v>327</v>
      </c>
      <c r="Y5" s="12">
        <v>311</v>
      </c>
      <c r="Z5" s="12">
        <v>326</v>
      </c>
      <c r="AA5" s="12">
        <v>312</v>
      </c>
      <c r="AB5" s="12">
        <v>326</v>
      </c>
      <c r="AC5" s="12">
        <v>311</v>
      </c>
      <c r="AD5" s="12">
        <v>315</v>
      </c>
      <c r="AE5" s="12">
        <v>328</v>
      </c>
      <c r="AF5" s="12">
        <v>314</v>
      </c>
      <c r="AG5" s="12">
        <v>338</v>
      </c>
      <c r="AI5" s="6">
        <f>AI4+"00:30"</f>
        <v>2.0833333333333332E-2</v>
      </c>
      <c r="AJ5" s="30">
        <f>SUMPRODUCT('vol 1'!F6*AHT!F6+'vol 1'!M6*AHT!M6+'vol 1'!T6*AHT!T6+'vol 1'!AA6*AHT!AA6)/SUM('vol 1'!F6,'vol 1'!M6,'vol 1'!T6,'vol 1'!AA6)</f>
        <v>321.980198019802</v>
      </c>
      <c r="AK5" s="7">
        <f>SUMPRODUCT('vol 1'!G6*AHT!G6+'vol 1'!N6*AHT!N6+'vol 1'!U6*AHT!U6+'vol 1'!AB6*AHT!AB6)/SUM('vol 1'!G6,'vol 1'!N6,'vol 1'!U6,'vol 1'!AB6)</f>
        <v>327.06796116504853</v>
      </c>
      <c r="AL5" s="7">
        <f>SUMPRODUCT('vol 1'!H6*AHT!H6+'vol 1'!O6*AHT!O6+'vol 1'!V6*AHT!V6+'vol 1'!AC6*AHT!AC6)/SUM('vol 1'!H6,'vol 1'!O6,'vol 1'!V6,'vol 1'!AC6)</f>
        <v>330.42424242424244</v>
      </c>
      <c r="AM5" s="7">
        <f>SUMPRODUCT('vol 1'!I6*AHT!I6+'vol 1'!P6*AHT!P6+'vol 1'!W6*AHT!W6+'vol 1'!AD6*AHT!AD6)/SUM('vol 1'!I6,'vol 1'!P6,'vol 1'!W6,'vol 1'!AD6)</f>
        <v>325.39175257731961</v>
      </c>
      <c r="AN5" s="7">
        <f>SUMPRODUCT('vol 1'!J6*AHT!J6+'vol 1'!Q6*AHT!Q6+'vol 1'!X6*AHT!X6+'vol 1'!AE6*AHT!AE6)/SUM('vol 1'!J6,'vol 1'!Q6,'vol 1'!X6,'vol 1'!AE6)</f>
        <v>318.28282828282829</v>
      </c>
      <c r="AO5" s="7">
        <f>SUMPRODUCT('vol 1'!K6*AHT!K6+'vol 1'!R6*AHT!R6+'vol 1'!Y6*AHT!Y6+'vol 1'!AF6*AHT!AF6)/SUM('vol 1'!K6,'vol 1'!R6,'vol 1'!Y6,'vol 1'!AF6)</f>
        <v>328.32432432432432</v>
      </c>
      <c r="AP5" s="7">
        <f>SUMPRODUCT('vol 1'!L6*AHT!L6+'vol 1'!S6*AHT!S6+'vol 1'!Z6*AHT!Z6+'vol 1'!AG6*AHT!AG6)/SUM('vol 1'!L6,'vol 1'!S6,'vol 1'!Z6,'vol 1'!AG6)</f>
        <v>327.17272727272729</v>
      </c>
      <c r="AR5" s="6">
        <f>AR4+"00:30"</f>
        <v>2.0833333333333332E-2</v>
      </c>
      <c r="AS5" s="8">
        <f t="shared" ref="AS5:AS51" si="15">AJ5/AJ$52</f>
        <v>0.99206320357541899</v>
      </c>
      <c r="AT5" s="8">
        <f t="shared" si="1"/>
        <v>1.005282885644438</v>
      </c>
      <c r="AU5" s="8">
        <f t="shared" si="2"/>
        <v>1.0157229146906155</v>
      </c>
      <c r="AV5" s="8">
        <f t="shared" si="3"/>
        <v>0.9983254782790818</v>
      </c>
      <c r="AW5" s="8">
        <f t="shared" si="4"/>
        <v>0.97873986354024867</v>
      </c>
      <c r="AX5" s="8">
        <f t="shared" si="5"/>
        <v>1.0101331587501388</v>
      </c>
      <c r="AY5" s="8">
        <f t="shared" si="6"/>
        <v>1.0059931829287465</v>
      </c>
      <c r="BA5" s="6">
        <f>BA4+"00:30"</f>
        <v>2.0833333333333332E-2</v>
      </c>
      <c r="BB5" s="10">
        <f t="shared" ref="BB5:BB51" si="16">AS5*BB$52</f>
        <v>346.50741627587144</v>
      </c>
      <c r="BC5" s="10">
        <f t="shared" si="7"/>
        <v>351.98274573068022</v>
      </c>
      <c r="BD5" s="10">
        <f t="shared" si="8"/>
        <v>355.59469564117404</v>
      </c>
      <c r="BE5" s="10">
        <f t="shared" si="9"/>
        <v>350.17884999285087</v>
      </c>
      <c r="BF5" s="10">
        <f t="shared" si="10"/>
        <v>342.52839507377701</v>
      </c>
      <c r="BG5" s="10">
        <f t="shared" si="11"/>
        <v>353.33481382338346</v>
      </c>
      <c r="BH5" s="10">
        <f t="shared" si="12"/>
        <v>352.09549251917315</v>
      </c>
    </row>
    <row r="6" spans="1:60" x14ac:dyDescent="0.3">
      <c r="A6">
        <f t="shared" ca="1" si="13"/>
        <v>19</v>
      </c>
      <c r="B6" s="4">
        <f t="shared" ca="1" si="0"/>
        <v>7.3929961089494164E-2</v>
      </c>
      <c r="C6">
        <f t="shared" ca="1" si="14"/>
        <v>73.929961089494171</v>
      </c>
      <c r="E6" s="11">
        <f>E5+"00:30"</f>
        <v>2.0833333333333332E-2</v>
      </c>
      <c r="F6" s="13">
        <v>344</v>
      </c>
      <c r="G6" s="13">
        <v>340</v>
      </c>
      <c r="H6" s="13">
        <v>300</v>
      </c>
      <c r="I6" s="13">
        <v>315</v>
      </c>
      <c r="J6" s="13">
        <v>317</v>
      </c>
      <c r="K6" s="13">
        <v>344</v>
      </c>
      <c r="L6" s="13">
        <v>308</v>
      </c>
      <c r="M6" s="13">
        <v>311</v>
      </c>
      <c r="N6" s="13">
        <v>314</v>
      </c>
      <c r="O6" s="13">
        <v>338</v>
      </c>
      <c r="P6" s="13">
        <v>347</v>
      </c>
      <c r="Q6" s="13">
        <v>306</v>
      </c>
      <c r="R6" s="13">
        <v>311</v>
      </c>
      <c r="S6" s="13">
        <v>321</v>
      </c>
      <c r="T6" s="13">
        <v>307</v>
      </c>
      <c r="U6" s="13">
        <v>330</v>
      </c>
      <c r="V6" s="13">
        <v>330</v>
      </c>
      <c r="W6" s="13">
        <v>323</v>
      </c>
      <c r="X6" s="13">
        <v>348</v>
      </c>
      <c r="Y6" s="13">
        <v>345</v>
      </c>
      <c r="Z6" s="13">
        <v>350</v>
      </c>
      <c r="AA6" s="13">
        <v>335</v>
      </c>
      <c r="AB6" s="13">
        <v>322</v>
      </c>
      <c r="AC6" s="13">
        <v>350</v>
      </c>
      <c r="AD6" s="13">
        <v>317</v>
      </c>
      <c r="AE6" s="13">
        <v>300</v>
      </c>
      <c r="AF6" s="13">
        <v>315</v>
      </c>
      <c r="AG6" s="13">
        <v>332</v>
      </c>
      <c r="AI6" s="6">
        <f t="shared" ref="AI6:AI27" si="17">AI5+"00:30"</f>
        <v>4.1666666666666664E-2</v>
      </c>
      <c r="AJ6" s="7">
        <f>SUMPRODUCT('vol 1'!F7*AHT!F7+'vol 1'!M7*AHT!M7+'vol 1'!T7*AHT!T7+'vol 1'!AA7*AHT!AA7)/SUM('vol 1'!F7,'vol 1'!M7,'vol 1'!T7,'vol 1'!AA7)</f>
        <v>327.40384615384613</v>
      </c>
      <c r="AK6" s="7">
        <f>SUMPRODUCT('vol 1'!G7*AHT!G7+'vol 1'!N7*AHT!N7+'vol 1'!U7*AHT!U7+'vol 1'!AB7*AHT!AB7)/SUM('vol 1'!G7,'vol 1'!N7,'vol 1'!U7,'vol 1'!AB7)</f>
        <v>331.01960784313724</v>
      </c>
      <c r="AL6" s="7">
        <f>SUMPRODUCT('vol 1'!H7*AHT!H7+'vol 1'!O7*AHT!O7+'vol 1'!V7*AHT!V7+'vol 1'!AC7*AHT!AC7)/SUM('vol 1'!H7,'vol 1'!O7,'vol 1'!V7,'vol 1'!AC7)</f>
        <v>314.3</v>
      </c>
      <c r="AM6" s="7">
        <f>SUMPRODUCT('vol 1'!I7*AHT!I7+'vol 1'!P7*AHT!P7+'vol 1'!W7*AHT!W7+'vol 1'!AD7*AHT!AD7)/SUM('vol 1'!I7,'vol 1'!P7,'vol 1'!W7,'vol 1'!AD7)</f>
        <v>328.6</v>
      </c>
      <c r="AN6" s="7">
        <f>SUMPRODUCT('vol 1'!J7*AHT!J7+'vol 1'!Q7*AHT!Q7+'vol 1'!X7*AHT!X7+'vol 1'!AE7*AHT!AE7)/SUM('vol 1'!J7,'vol 1'!Q7,'vol 1'!X7,'vol 1'!AE7)</f>
        <v>308.33999999999997</v>
      </c>
      <c r="AO6" s="7">
        <f>SUMPRODUCT('vol 1'!K7*AHT!K7+'vol 1'!R7*AHT!R7+'vol 1'!Y7*AHT!Y7+'vol 1'!AF7*AHT!AF7)/SUM('vol 1'!K7,'vol 1'!R7,'vol 1'!Y7,'vol 1'!AF7)</f>
        <v>331.29896907216494</v>
      </c>
      <c r="AP6" s="7">
        <f>SUMPRODUCT('vol 1'!L7*AHT!L7+'vol 1'!S7*AHT!S7+'vol 1'!Z7*AHT!Z7+'vol 1'!AG7*AHT!AG7)/SUM('vol 1'!L7,'vol 1'!S7,'vol 1'!Z7,'vol 1'!AG7)</f>
        <v>329.97872340425533</v>
      </c>
      <c r="AR6" s="6">
        <f t="shared" ref="AR6:AR19" si="18">AR5+"00:30"</f>
        <v>4.1666666666666664E-2</v>
      </c>
      <c r="AS6" s="8">
        <f t="shared" si="15"/>
        <v>1.0087741745482202</v>
      </c>
      <c r="AT6" s="8">
        <f t="shared" si="1"/>
        <v>1.0174287490345595</v>
      </c>
      <c r="AU6" s="8">
        <f t="shared" si="2"/>
        <v>0.96615705235506188</v>
      </c>
      <c r="AV6" s="8">
        <f t="shared" si="3"/>
        <v>1.0081686138758392</v>
      </c>
      <c r="AW6" s="8">
        <f t="shared" si="4"/>
        <v>0.94816503658762374</v>
      </c>
      <c r="AX6" s="8">
        <f t="shared" si="5"/>
        <v>1.0192850462975491</v>
      </c>
      <c r="AY6" s="8">
        <f t="shared" si="6"/>
        <v>1.0146210811132079</v>
      </c>
      <c r="BA6" s="6">
        <f t="shared" ref="BA6:BA19" si="19">BA5+"00:30"</f>
        <v>4.1666666666666664E-2</v>
      </c>
      <c r="BB6" s="10">
        <f t="shared" si="16"/>
        <v>352.34421715143804</v>
      </c>
      <c r="BC6" s="10">
        <f t="shared" si="7"/>
        <v>356.23541371734757</v>
      </c>
      <c r="BD6" s="10">
        <f t="shared" si="8"/>
        <v>338.24217018715086</v>
      </c>
      <c r="BE6" s="10">
        <f t="shared" si="9"/>
        <v>353.63148941615589</v>
      </c>
      <c r="BF6" s="10">
        <f t="shared" si="10"/>
        <v>331.82816021478232</v>
      </c>
      <c r="BG6" s="10">
        <f t="shared" si="11"/>
        <v>356.53605561481015</v>
      </c>
      <c r="BH6" s="10">
        <f t="shared" si="12"/>
        <v>355.1152386886443</v>
      </c>
    </row>
    <row r="7" spans="1:60" x14ac:dyDescent="0.3">
      <c r="A7">
        <f t="shared" ca="1" si="13"/>
        <v>19</v>
      </c>
      <c r="B7" s="4">
        <f t="shared" ca="1" si="0"/>
        <v>7.3929961089494164E-2</v>
      </c>
      <c r="C7">
        <f t="shared" ca="1" si="14"/>
        <v>73.929961089494171</v>
      </c>
      <c r="E7" s="11">
        <f t="shared" ref="E7:E51" si="20">E6+"00:30"</f>
        <v>4.1666666666666664E-2</v>
      </c>
      <c r="F7" s="13">
        <v>340</v>
      </c>
      <c r="G7" s="13">
        <v>323</v>
      </c>
      <c r="H7" s="13">
        <v>315</v>
      </c>
      <c r="I7" s="13">
        <v>308</v>
      </c>
      <c r="J7" s="13">
        <v>309</v>
      </c>
      <c r="K7" s="13">
        <v>348</v>
      </c>
      <c r="L7" s="13">
        <v>335</v>
      </c>
      <c r="M7" s="13">
        <v>316</v>
      </c>
      <c r="N7" s="13">
        <v>337</v>
      </c>
      <c r="O7" s="13">
        <v>323</v>
      </c>
      <c r="P7" s="13">
        <v>329</v>
      </c>
      <c r="Q7" s="13">
        <v>300</v>
      </c>
      <c r="R7" s="13">
        <v>340</v>
      </c>
      <c r="S7" s="13">
        <v>350</v>
      </c>
      <c r="T7" s="13">
        <v>338</v>
      </c>
      <c r="U7" s="13">
        <v>336</v>
      </c>
      <c r="V7" s="13">
        <v>300</v>
      </c>
      <c r="W7" s="13">
        <v>331</v>
      </c>
      <c r="X7" s="13">
        <v>320</v>
      </c>
      <c r="Y7" s="13">
        <v>328</v>
      </c>
      <c r="Z7" s="13">
        <v>321</v>
      </c>
      <c r="AA7" s="13">
        <v>314</v>
      </c>
      <c r="AB7" s="13">
        <v>328</v>
      </c>
      <c r="AC7" s="13">
        <v>324</v>
      </c>
      <c r="AD7" s="13">
        <v>345</v>
      </c>
      <c r="AE7" s="13">
        <v>302</v>
      </c>
      <c r="AF7" s="13">
        <v>306</v>
      </c>
      <c r="AG7" s="13">
        <v>316</v>
      </c>
      <c r="AI7" s="6">
        <f t="shared" si="17"/>
        <v>6.25E-2</v>
      </c>
      <c r="AJ7" s="7">
        <f>SUMPRODUCT('vol 1'!F8*AHT!F8+'vol 1'!M8*AHT!M8+'vol 1'!T8*AHT!T8+'vol 1'!AA8*AHT!AA8)/SUM('vol 1'!F8,'vol 1'!M8,'vol 1'!T8,'vol 1'!AA8)</f>
        <v>326.54716981132077</v>
      </c>
      <c r="AK7" s="7">
        <f>SUMPRODUCT('vol 1'!G8*AHT!G8+'vol 1'!N8*AHT!N8+'vol 1'!U8*AHT!U8+'vol 1'!AB8*AHT!AB8)/SUM('vol 1'!G8,'vol 1'!N8,'vol 1'!U8,'vol 1'!AB8)</f>
        <v>319.06185567010311</v>
      </c>
      <c r="AL7" s="7">
        <f>SUMPRODUCT('vol 1'!H8*AHT!H8+'vol 1'!O8*AHT!O8+'vol 1'!V8*AHT!V8+'vol 1'!AC8*AHT!AC8)/SUM('vol 1'!H8,'vol 1'!O8,'vol 1'!V8,'vol 1'!AC8)</f>
        <v>323.16216216216219</v>
      </c>
      <c r="AM7" s="7">
        <f>SUMPRODUCT('vol 1'!I8*AHT!I8+'vol 1'!P8*AHT!P8+'vol 1'!W8*AHT!W8+'vol 1'!AD8*AHT!AD8)/SUM('vol 1'!I8,'vol 1'!P8,'vol 1'!W8,'vol 1'!AD8)</f>
        <v>323.00961538461536</v>
      </c>
      <c r="AN7" s="7">
        <f>SUMPRODUCT('vol 1'!J8*AHT!J8+'vol 1'!Q8*AHT!Q8+'vol 1'!X8*AHT!X8+'vol 1'!AE8*AHT!AE8)/SUM('vol 1'!J8,'vol 1'!Q8,'vol 1'!X8,'vol 1'!AE8)</f>
        <v>321.90526315789475</v>
      </c>
      <c r="AO7" s="7">
        <f>SUMPRODUCT('vol 1'!K8*AHT!K8+'vol 1'!R8*AHT!R8+'vol 1'!Y8*AHT!Y8+'vol 1'!AF8*AHT!AF8)/SUM('vol 1'!K8,'vol 1'!R8,'vol 1'!Y8,'vol 1'!AF8)</f>
        <v>334.73333333333335</v>
      </c>
      <c r="AP7" s="7">
        <f>SUMPRODUCT('vol 1'!L8*AHT!L8+'vol 1'!S8*AHT!S8+'vol 1'!Z8*AHT!Z8+'vol 1'!AG8*AHT!AG8)/SUM('vol 1'!L8,'vol 1'!S8,'vol 1'!Z8,'vol 1'!AG8)</f>
        <v>332.84112149532712</v>
      </c>
      <c r="AR7" s="6">
        <f t="shared" si="18"/>
        <v>6.25E-2</v>
      </c>
      <c r="AS7" s="8">
        <f t="shared" si="15"/>
        <v>1.0061346424216491</v>
      </c>
      <c r="AT7" s="8">
        <f t="shared" si="1"/>
        <v>0.98067515333686694</v>
      </c>
      <c r="AU7" s="8">
        <f t="shared" si="2"/>
        <v>0.99339930648196983</v>
      </c>
      <c r="AV7" s="8">
        <f t="shared" si="3"/>
        <v>0.99101690873668768</v>
      </c>
      <c r="AW7" s="8">
        <f t="shared" si="4"/>
        <v>0.98987908030049276</v>
      </c>
      <c r="AX7" s="8">
        <f t="shared" si="5"/>
        <v>1.0298513216613134</v>
      </c>
      <c r="AY7" s="8">
        <f t="shared" si="6"/>
        <v>1.023422404470598</v>
      </c>
      <c r="BA7" s="6">
        <f t="shared" si="19"/>
        <v>6.25E-2</v>
      </c>
      <c r="BB7" s="10">
        <f t="shared" si="16"/>
        <v>351.42228248632904</v>
      </c>
      <c r="BC7" s="10">
        <f t="shared" si="7"/>
        <v>343.3667657836308</v>
      </c>
      <c r="BD7" s="10">
        <f t="shared" si="8"/>
        <v>347.77941791950911</v>
      </c>
      <c r="BE7" s="10">
        <f t="shared" si="9"/>
        <v>347.61525071272422</v>
      </c>
      <c r="BF7" s="10">
        <f t="shared" si="10"/>
        <v>346.42677316319504</v>
      </c>
      <c r="BG7" s="10">
        <f t="shared" si="11"/>
        <v>360.23203659130013</v>
      </c>
      <c r="BH7" s="10">
        <f t="shared" si="12"/>
        <v>358.19568330290991</v>
      </c>
    </row>
    <row r="8" spans="1:60" x14ac:dyDescent="0.3">
      <c r="A8">
        <f t="shared" ca="1" si="13"/>
        <v>15</v>
      </c>
      <c r="B8" s="4">
        <f t="shared" ca="1" si="0"/>
        <v>5.8365758754863814E-2</v>
      </c>
      <c r="C8">
        <f t="shared" ca="1" si="14"/>
        <v>58.365758754863812</v>
      </c>
      <c r="E8" s="11">
        <f t="shared" si="20"/>
        <v>6.25E-2</v>
      </c>
      <c r="F8" s="13">
        <v>344</v>
      </c>
      <c r="G8" s="13">
        <v>315</v>
      </c>
      <c r="H8" s="13">
        <v>301</v>
      </c>
      <c r="I8" s="13">
        <v>334</v>
      </c>
      <c r="J8" s="13">
        <v>319</v>
      </c>
      <c r="K8" s="13">
        <v>339</v>
      </c>
      <c r="L8" s="13">
        <v>335</v>
      </c>
      <c r="M8" s="13">
        <v>349</v>
      </c>
      <c r="N8" s="13">
        <v>307</v>
      </c>
      <c r="O8" s="13">
        <v>305</v>
      </c>
      <c r="P8" s="13">
        <v>311</v>
      </c>
      <c r="Q8" s="13">
        <v>309</v>
      </c>
      <c r="R8" s="13">
        <v>319</v>
      </c>
      <c r="S8" s="13">
        <v>321</v>
      </c>
      <c r="T8" s="13">
        <v>310</v>
      </c>
      <c r="U8" s="13">
        <v>321</v>
      </c>
      <c r="V8" s="13">
        <v>345</v>
      </c>
      <c r="W8" s="13">
        <v>335</v>
      </c>
      <c r="X8" s="13">
        <v>328</v>
      </c>
      <c r="Y8" s="13">
        <v>337</v>
      </c>
      <c r="Z8" s="13">
        <v>330</v>
      </c>
      <c r="AA8" s="13">
        <v>306</v>
      </c>
      <c r="AB8" s="13">
        <v>335</v>
      </c>
      <c r="AC8" s="13">
        <v>344</v>
      </c>
      <c r="AD8" s="13">
        <v>306</v>
      </c>
      <c r="AE8" s="13">
        <v>328</v>
      </c>
      <c r="AF8" s="13">
        <v>345</v>
      </c>
      <c r="AG8" s="13">
        <v>345</v>
      </c>
      <c r="AI8" s="6">
        <f t="shared" si="17"/>
        <v>8.3333333333333329E-2</v>
      </c>
      <c r="AJ8" s="7">
        <f>SUMPRODUCT('vol 1'!F9*AHT!F9+'vol 1'!M9*AHT!M9+'vol 1'!T9*AHT!T9+'vol 1'!AA9*AHT!AA9)/SUM('vol 1'!F9,'vol 1'!M9,'vol 1'!T9,'vol 1'!AA9)</f>
        <v>326.73737373737373</v>
      </c>
      <c r="AK8" s="7">
        <f>SUMPRODUCT('vol 1'!G9*AHT!G9+'vol 1'!N9*AHT!N9+'vol 1'!U9*AHT!U9+'vol 1'!AB9*AHT!AB9)/SUM('vol 1'!G9,'vol 1'!N9,'vol 1'!U9,'vol 1'!AB9)</f>
        <v>321.33333333333331</v>
      </c>
      <c r="AL8" s="7">
        <f>SUMPRODUCT('vol 1'!H9*AHT!H9+'vol 1'!O9*AHT!O9+'vol 1'!V9*AHT!V9+'vol 1'!AC9*AHT!AC9)/SUM('vol 1'!H9,'vol 1'!O9,'vol 1'!V9,'vol 1'!AC9)</f>
        <v>321.61855670103091</v>
      </c>
      <c r="AM8" s="7">
        <f>SUMPRODUCT('vol 1'!I9*AHT!I9+'vol 1'!P9*AHT!P9+'vol 1'!W9*AHT!W9+'vol 1'!AD9*AHT!AD9)/SUM('vol 1'!I9,'vol 1'!P9,'vol 1'!W9,'vol 1'!AD9)</f>
        <v>328.10309278350513</v>
      </c>
      <c r="AN8" s="7">
        <f>SUMPRODUCT('vol 1'!J9*AHT!J9+'vol 1'!Q9*AHT!Q9+'vol 1'!X9*AHT!X9+'vol 1'!AE9*AHT!AE9)/SUM('vol 1'!J9,'vol 1'!Q9,'vol 1'!X9,'vol 1'!AE9)</f>
        <v>331.32710280373834</v>
      </c>
      <c r="AO8" s="7">
        <f>SUMPRODUCT('vol 1'!K9*AHT!K9+'vol 1'!R9*AHT!R9+'vol 1'!Y9*AHT!Y9+'vol 1'!AF9*AHT!AF9)/SUM('vol 1'!K9,'vol 1'!R9,'vol 1'!Y9,'vol 1'!AF9)</f>
        <v>335.20652173913044</v>
      </c>
      <c r="AP8" s="7">
        <f>SUMPRODUCT('vol 1'!L9*AHT!L9+'vol 1'!S9*AHT!S9+'vol 1'!Z9*AHT!Z9+'vol 1'!AG9*AHT!AG9)/SUM('vol 1'!L9,'vol 1'!S9,'vol 1'!Z9,'vol 1'!AG9)</f>
        <v>325.10000000000002</v>
      </c>
      <c r="AR8" s="6">
        <f t="shared" si="18"/>
        <v>8.3333333333333329E-2</v>
      </c>
      <c r="AS8" s="8">
        <f t="shared" si="15"/>
        <v>1.0067206856546589</v>
      </c>
      <c r="AT8" s="8">
        <f t="shared" si="1"/>
        <v>0.98765681430981878</v>
      </c>
      <c r="AU8" s="8">
        <f t="shared" si="2"/>
        <v>0.98865426893082198</v>
      </c>
      <c r="AV8" s="8">
        <f t="shared" si="3"/>
        <v>1.0066440665244132</v>
      </c>
      <c r="AW8" s="8">
        <f t="shared" si="4"/>
        <v>1.0188518341842705</v>
      </c>
      <c r="AX8" s="8">
        <f t="shared" si="5"/>
        <v>1.0313071483047258</v>
      </c>
      <c r="AY8" s="8">
        <f t="shared" si="6"/>
        <v>0.99961994539206145</v>
      </c>
      <c r="BA8" s="6">
        <f t="shared" si="19"/>
        <v>8.3333333333333329E-2</v>
      </c>
      <c r="BB8" s="10">
        <f t="shared" si="16"/>
        <v>351.62697541896108</v>
      </c>
      <c r="BC8" s="10">
        <f t="shared" si="7"/>
        <v>345.81127591516952</v>
      </c>
      <c r="BD8" s="10">
        <f t="shared" si="8"/>
        <v>346.11822650657308</v>
      </c>
      <c r="BE8" s="10">
        <f t="shared" si="9"/>
        <v>353.09672971113235</v>
      </c>
      <c r="BF8" s="10">
        <f t="shared" si="10"/>
        <v>356.56633246629872</v>
      </c>
      <c r="BG8" s="10">
        <f t="shared" si="11"/>
        <v>360.74127067747321</v>
      </c>
      <c r="BH8" s="10">
        <f t="shared" si="12"/>
        <v>349.8648728216441</v>
      </c>
    </row>
    <row r="9" spans="1:60" x14ac:dyDescent="0.3">
      <c r="A9">
        <f t="shared" ca="1" si="13"/>
        <v>18</v>
      </c>
      <c r="B9" s="4">
        <f t="shared" ca="1" si="0"/>
        <v>7.0038910505836577E-2</v>
      </c>
      <c r="C9">
        <f t="shared" ca="1" si="14"/>
        <v>70.038910505836583</v>
      </c>
      <c r="E9" s="11">
        <f t="shared" si="20"/>
        <v>8.3333333333333329E-2</v>
      </c>
      <c r="F9" s="13">
        <v>334</v>
      </c>
      <c r="G9" s="13">
        <v>321</v>
      </c>
      <c r="H9" s="13">
        <v>311</v>
      </c>
      <c r="I9" s="13">
        <v>340</v>
      </c>
      <c r="J9" s="13">
        <v>333</v>
      </c>
      <c r="K9" s="13">
        <v>332</v>
      </c>
      <c r="L9" s="13">
        <v>309</v>
      </c>
      <c r="M9" s="13">
        <v>335</v>
      </c>
      <c r="N9" s="13">
        <v>322</v>
      </c>
      <c r="O9" s="13">
        <v>317</v>
      </c>
      <c r="P9" s="13">
        <v>343</v>
      </c>
      <c r="Q9" s="13">
        <v>333</v>
      </c>
      <c r="R9" s="13">
        <v>319</v>
      </c>
      <c r="S9" s="13">
        <v>310</v>
      </c>
      <c r="T9" s="13">
        <v>327</v>
      </c>
      <c r="U9" s="13">
        <v>318</v>
      </c>
      <c r="V9" s="13">
        <v>313</v>
      </c>
      <c r="W9" s="13">
        <v>300</v>
      </c>
      <c r="X9" s="13">
        <v>314</v>
      </c>
      <c r="Y9" s="13">
        <v>347</v>
      </c>
      <c r="Z9" s="13">
        <v>343</v>
      </c>
      <c r="AA9" s="13">
        <v>307</v>
      </c>
      <c r="AB9" s="13">
        <v>324</v>
      </c>
      <c r="AC9" s="13">
        <v>345</v>
      </c>
      <c r="AD9" s="13">
        <v>330</v>
      </c>
      <c r="AE9" s="13">
        <v>350</v>
      </c>
      <c r="AF9" s="13">
        <v>342</v>
      </c>
      <c r="AG9" s="13">
        <v>343</v>
      </c>
      <c r="AI9" s="6">
        <f t="shared" si="17"/>
        <v>0.10416666666666666</v>
      </c>
      <c r="AJ9" s="7">
        <f>SUMPRODUCT('vol 1'!F10*AHT!F10+'vol 1'!M10*AHT!M10+'vol 1'!T10*AHT!T10+'vol 1'!AA10*AHT!AA10)/SUM('vol 1'!F10,'vol 1'!M10,'vol 1'!T10,'vol 1'!AA10)</f>
        <v>324.69</v>
      </c>
      <c r="AK9" s="7">
        <f>SUMPRODUCT('vol 1'!G10*AHT!G10+'vol 1'!N10*AHT!N10+'vol 1'!U10*AHT!U10+'vol 1'!AB10*AHT!AB10)/SUM('vol 1'!G10,'vol 1'!N10,'vol 1'!U10,'vol 1'!AB10)</f>
        <v>324.52475247524751</v>
      </c>
      <c r="AL9" s="7">
        <f>SUMPRODUCT('vol 1'!H10*AHT!H10+'vol 1'!O10*AHT!O10+'vol 1'!V10*AHT!V10+'vol 1'!AC10*AHT!AC10)/SUM('vol 1'!H10,'vol 1'!O10,'vol 1'!V10,'vol 1'!AC10)</f>
        <v>326.94949494949498</v>
      </c>
      <c r="AM9" s="7">
        <f>SUMPRODUCT('vol 1'!I10*AHT!I10+'vol 1'!P10*AHT!P10+'vol 1'!W10*AHT!W10+'vol 1'!AD10*AHT!AD10)/SUM('vol 1'!I10,'vol 1'!P10,'vol 1'!W10,'vol 1'!AD10)</f>
        <v>322.4736842105263</v>
      </c>
      <c r="AN9" s="7">
        <f>SUMPRODUCT('vol 1'!J10*AHT!J10+'vol 1'!Q10*AHT!Q10+'vol 1'!X10*AHT!X10+'vol 1'!AE10*AHT!AE10)/SUM('vol 1'!J10,'vol 1'!Q10,'vol 1'!X10,'vol 1'!AE10)</f>
        <v>329</v>
      </c>
      <c r="AO9" s="7">
        <f>SUMPRODUCT('vol 1'!K10*AHT!K10+'vol 1'!R10*AHT!R10+'vol 1'!Y10*AHT!Y10+'vol 1'!AF10*AHT!AF10)/SUM('vol 1'!K10,'vol 1'!R10,'vol 1'!Y10,'vol 1'!AF10)</f>
        <v>321.91176470588238</v>
      </c>
      <c r="AP9" s="7">
        <f>SUMPRODUCT('vol 1'!L10*AHT!L10+'vol 1'!S10*AHT!S10+'vol 1'!Z10*AHT!Z10+'vol 1'!AG10*AHT!AG10)/SUM('vol 1'!L10,'vol 1'!S10,'vol 1'!Z10,'vol 1'!AG10)</f>
        <v>320.8235294117647</v>
      </c>
      <c r="AR9" s="6">
        <f t="shared" si="18"/>
        <v>0.10416666666666666</v>
      </c>
      <c r="AS9" s="8">
        <f t="shared" si="15"/>
        <v>1.0004124587472072</v>
      </c>
      <c r="AT9" s="8">
        <f t="shared" si="1"/>
        <v>0.99746602653854399</v>
      </c>
      <c r="AU9" s="8">
        <f t="shared" si="2"/>
        <v>1.0050415536410444</v>
      </c>
      <c r="AV9" s="8">
        <f t="shared" si="3"/>
        <v>0.9893726330552689</v>
      </c>
      <c r="AW9" s="8">
        <f t="shared" si="4"/>
        <v>1.0116958456162946</v>
      </c>
      <c r="AX9" s="8">
        <f t="shared" si="5"/>
        <v>0.99040407191997215</v>
      </c>
      <c r="AY9" s="8">
        <f t="shared" si="6"/>
        <v>0.98647062119679063</v>
      </c>
      <c r="BA9" s="6">
        <f t="shared" si="19"/>
        <v>0.10416666666666666</v>
      </c>
      <c r="BB9" s="10">
        <f t="shared" si="16"/>
        <v>349.42364059200128</v>
      </c>
      <c r="BC9" s="10">
        <f t="shared" si="7"/>
        <v>349.24580514373423</v>
      </c>
      <c r="BD9" s="10">
        <f t="shared" si="8"/>
        <v>351.85525521256795</v>
      </c>
      <c r="BE9" s="10">
        <f t="shared" si="9"/>
        <v>347.03849435448421</v>
      </c>
      <c r="BF9" s="10">
        <f t="shared" si="10"/>
        <v>354.06195988410002</v>
      </c>
      <c r="BG9" s="10">
        <f t="shared" si="11"/>
        <v>346.43376997420654</v>
      </c>
      <c r="BH9" s="10">
        <f t="shared" si="12"/>
        <v>345.26263708347597</v>
      </c>
    </row>
    <row r="10" spans="1:60" x14ac:dyDescent="0.3">
      <c r="A10">
        <f t="shared" ca="1" si="13"/>
        <v>11</v>
      </c>
      <c r="B10" s="4">
        <f t="shared" ca="1" si="0"/>
        <v>4.2801556420233464E-2</v>
      </c>
      <c r="C10">
        <f t="shared" ca="1" si="14"/>
        <v>42.80155642023346</v>
      </c>
      <c r="E10" s="11">
        <f t="shared" si="20"/>
        <v>0.10416666666666666</v>
      </c>
      <c r="F10" s="13">
        <v>313</v>
      </c>
      <c r="G10" s="13">
        <v>311</v>
      </c>
      <c r="H10" s="13">
        <v>341</v>
      </c>
      <c r="I10" s="13">
        <v>313</v>
      </c>
      <c r="J10" s="13">
        <v>311</v>
      </c>
      <c r="K10" s="13">
        <v>340</v>
      </c>
      <c r="L10" s="13">
        <v>305</v>
      </c>
      <c r="M10" s="13">
        <v>330</v>
      </c>
      <c r="N10" s="13">
        <v>344</v>
      </c>
      <c r="O10" s="13">
        <v>310</v>
      </c>
      <c r="P10" s="13">
        <v>332</v>
      </c>
      <c r="Q10" s="13">
        <v>343</v>
      </c>
      <c r="R10" s="13">
        <v>330</v>
      </c>
      <c r="S10" s="13">
        <v>308</v>
      </c>
      <c r="T10" s="13">
        <v>324</v>
      </c>
      <c r="U10" s="13">
        <v>338</v>
      </c>
      <c r="V10" s="13">
        <v>319</v>
      </c>
      <c r="W10" s="13">
        <v>327</v>
      </c>
      <c r="X10" s="13">
        <v>337</v>
      </c>
      <c r="Y10" s="13">
        <v>307</v>
      </c>
      <c r="Z10" s="13">
        <v>344</v>
      </c>
      <c r="AA10" s="13">
        <v>330</v>
      </c>
      <c r="AB10" s="13">
        <v>313</v>
      </c>
      <c r="AC10" s="13">
        <v>340</v>
      </c>
      <c r="AD10" s="13">
        <v>318</v>
      </c>
      <c r="AE10" s="13">
        <v>325</v>
      </c>
      <c r="AF10" s="13">
        <v>309</v>
      </c>
      <c r="AG10" s="13">
        <v>329</v>
      </c>
      <c r="AI10" s="6">
        <f t="shared" si="17"/>
        <v>0.12499999999999999</v>
      </c>
      <c r="AJ10" s="7">
        <f>SUMPRODUCT('vol 1'!F11*AHT!F11+'vol 1'!M11*AHT!M11+'vol 1'!T11*AHT!T11+'vol 1'!AA11*AHT!AA11)/SUM('vol 1'!F11,'vol 1'!M11,'vol 1'!T11,'vol 1'!AA11)</f>
        <v>333.59047619047618</v>
      </c>
      <c r="AK10" s="7">
        <f>SUMPRODUCT('vol 1'!G11*AHT!G11+'vol 1'!N11*AHT!N11+'vol 1'!U11*AHT!U11+'vol 1'!AB11*AHT!AB11)/SUM('vol 1'!G11,'vol 1'!N11,'vol 1'!U11,'vol 1'!AB11)</f>
        <v>323.30769230769232</v>
      </c>
      <c r="AL10" s="7">
        <f>SUMPRODUCT('vol 1'!H11*AHT!H11+'vol 1'!O11*AHT!O11+'vol 1'!V11*AHT!V11+'vol 1'!AC11*AHT!AC11)/SUM('vol 1'!H11,'vol 1'!O11,'vol 1'!V11,'vol 1'!AC11)</f>
        <v>314.55208333333331</v>
      </c>
      <c r="AM10" s="7">
        <f>SUMPRODUCT('vol 1'!I11*AHT!I11+'vol 1'!P11*AHT!P11+'vol 1'!W11*AHT!W11+'vol 1'!AD11*AHT!AD11)/SUM('vol 1'!I11,'vol 1'!P11,'vol 1'!W11,'vol 1'!AD11)</f>
        <v>337.42553191489361</v>
      </c>
      <c r="AN10" s="7">
        <f>SUMPRODUCT('vol 1'!J11*AHT!J11+'vol 1'!Q11*AHT!Q11+'vol 1'!X11*AHT!X11+'vol 1'!AE11*AHT!AE11)/SUM('vol 1'!J11,'vol 1'!Q11,'vol 1'!X11,'vol 1'!AE11)</f>
        <v>321.39639639639637</v>
      </c>
      <c r="AO10" s="7">
        <f>SUMPRODUCT('vol 1'!K11*AHT!K11+'vol 1'!R11*AHT!R11+'vol 1'!Y11*AHT!Y11+'vol 1'!AF11*AHT!AF11)/SUM('vol 1'!K11,'vol 1'!R11,'vol 1'!Y11,'vol 1'!AF11)</f>
        <v>322.0612244897959</v>
      </c>
      <c r="AP10" s="7">
        <f>SUMPRODUCT('vol 1'!L11*AHT!L11+'vol 1'!S11*AHT!S11+'vol 1'!Z11*AHT!Z11+'vol 1'!AG11*AHT!AG11)/SUM('vol 1'!L11,'vol 1'!S11,'vol 1'!Z11,'vol 1'!AG11)</f>
        <v>322.94623655913978</v>
      </c>
      <c r="AR10" s="6">
        <f t="shared" si="18"/>
        <v>0.12499999999999999</v>
      </c>
      <c r="AS10" s="8">
        <f t="shared" si="15"/>
        <v>1.0278359927942529</v>
      </c>
      <c r="AT10" s="8">
        <f t="shared" si="1"/>
        <v>0.99372524510313653</v>
      </c>
      <c r="AU10" s="8">
        <f t="shared" si="2"/>
        <v>0.96693195560126344</v>
      </c>
      <c r="AV10" s="8">
        <f t="shared" si="3"/>
        <v>1.0352459853833109</v>
      </c>
      <c r="AW10" s="8">
        <f t="shared" si="4"/>
        <v>0.98831428276681454</v>
      </c>
      <c r="AX10" s="8">
        <f t="shared" si="5"/>
        <v>0.99086390469033236</v>
      </c>
      <c r="AY10" s="8">
        <f t="shared" si="6"/>
        <v>0.99299753723106443</v>
      </c>
      <c r="BA10" s="6">
        <f t="shared" si="19"/>
        <v>0.12499999999999999</v>
      </c>
      <c r="BB10" s="10">
        <f t="shared" si="16"/>
        <v>359.00212096860241</v>
      </c>
      <c r="BC10" s="10">
        <f t="shared" si="7"/>
        <v>347.9360339941249</v>
      </c>
      <c r="BD10" s="10">
        <f t="shared" si="8"/>
        <v>338.51345626330317</v>
      </c>
      <c r="BE10" s="10">
        <f t="shared" si="9"/>
        <v>363.12931654930748</v>
      </c>
      <c r="BF10" s="10">
        <f t="shared" si="10"/>
        <v>345.87914288083641</v>
      </c>
      <c r="BG10" s="10">
        <f t="shared" si="11"/>
        <v>346.5946150320068</v>
      </c>
      <c r="BH10" s="10">
        <f t="shared" si="12"/>
        <v>347.54704393107357</v>
      </c>
    </row>
    <row r="11" spans="1:60" x14ac:dyDescent="0.3">
      <c r="A11">
        <f t="shared" ca="1" si="13"/>
        <v>16</v>
      </c>
      <c r="B11" s="4">
        <f t="shared" ca="1" si="0"/>
        <v>6.2256809338521402E-2</v>
      </c>
      <c r="C11">
        <f t="shared" ca="1" si="14"/>
        <v>62.2568093385214</v>
      </c>
      <c r="E11" s="11">
        <f t="shared" si="20"/>
        <v>0.12499999999999999</v>
      </c>
      <c r="F11" s="13">
        <v>332</v>
      </c>
      <c r="G11" s="13">
        <v>312</v>
      </c>
      <c r="H11" s="13">
        <v>306</v>
      </c>
      <c r="I11" s="13">
        <v>330</v>
      </c>
      <c r="J11" s="13">
        <v>328</v>
      </c>
      <c r="K11" s="13">
        <v>331</v>
      </c>
      <c r="L11" s="13">
        <v>343</v>
      </c>
      <c r="M11" s="13">
        <v>336</v>
      </c>
      <c r="N11" s="13">
        <v>318</v>
      </c>
      <c r="O11" s="13">
        <v>305</v>
      </c>
      <c r="P11" s="13">
        <v>350</v>
      </c>
      <c r="Q11" s="13">
        <v>311</v>
      </c>
      <c r="R11" s="13">
        <v>310</v>
      </c>
      <c r="S11" s="13">
        <v>302</v>
      </c>
      <c r="T11" s="13">
        <v>323</v>
      </c>
      <c r="U11" s="13">
        <v>338</v>
      </c>
      <c r="V11" s="13">
        <v>328</v>
      </c>
      <c r="W11" s="13">
        <v>343</v>
      </c>
      <c r="X11" s="13">
        <v>334</v>
      </c>
      <c r="Y11" s="13">
        <v>319</v>
      </c>
      <c r="Z11" s="13">
        <v>338</v>
      </c>
      <c r="AA11" s="13">
        <v>347</v>
      </c>
      <c r="AB11" s="13">
        <v>328</v>
      </c>
      <c r="AC11" s="13">
        <v>316</v>
      </c>
      <c r="AD11" s="13">
        <v>322</v>
      </c>
      <c r="AE11" s="13">
        <v>311</v>
      </c>
      <c r="AF11" s="13">
        <v>329</v>
      </c>
      <c r="AG11" s="13">
        <v>314</v>
      </c>
      <c r="AI11" s="6">
        <f t="shared" si="17"/>
        <v>0.14583333333333331</v>
      </c>
      <c r="AJ11" s="7">
        <f>SUMPRODUCT('vol 1'!F12*AHT!F12+'vol 1'!M12*AHT!M12+'vol 1'!T12*AHT!T12+'vol 1'!AA12*AHT!AA12)/SUM('vol 1'!F12,'vol 1'!M12,'vol 1'!T12,'vol 1'!AA12)</f>
        <v>316.77669902912623</v>
      </c>
      <c r="AK11" s="7">
        <f>SUMPRODUCT('vol 1'!G12*AHT!G12+'vol 1'!N12*AHT!N12+'vol 1'!U12*AHT!U12+'vol 1'!AB12*AHT!AB12)/SUM('vol 1'!G12,'vol 1'!N12,'vol 1'!U12,'vol 1'!AB12)</f>
        <v>328.9009900990099</v>
      </c>
      <c r="AL11" s="7">
        <f>SUMPRODUCT('vol 1'!H12*AHT!H12+'vol 1'!O12*AHT!O12+'vol 1'!V12*AHT!V12+'vol 1'!AC12*AHT!AC12)/SUM('vol 1'!H12,'vol 1'!O12,'vol 1'!V12,'vol 1'!AC12)</f>
        <v>318.20481927710841</v>
      </c>
      <c r="AM11" s="7">
        <f>SUMPRODUCT('vol 1'!I12*AHT!I12+'vol 1'!P12*AHT!P12+'vol 1'!W12*AHT!W12+'vol 1'!AD12*AHT!AD12)/SUM('vol 1'!I12,'vol 1'!P12,'vol 1'!W12,'vol 1'!AD12)</f>
        <v>320.9158878504673</v>
      </c>
      <c r="AN11" s="7">
        <f>SUMPRODUCT('vol 1'!J12*AHT!J12+'vol 1'!Q12*AHT!Q12+'vol 1'!X12*AHT!X12+'vol 1'!AE12*AHT!AE12)/SUM('vol 1'!J12,'vol 1'!Q12,'vol 1'!X12,'vol 1'!AE12)</f>
        <v>315.53465346534654</v>
      </c>
      <c r="AO11" s="7">
        <f>SUMPRODUCT('vol 1'!K12*AHT!K12+'vol 1'!R12*AHT!R12+'vol 1'!Y12*AHT!Y12+'vol 1'!AF12*AHT!AF12)/SUM('vol 1'!K12,'vol 1'!R12,'vol 1'!Y12,'vol 1'!AF12)</f>
        <v>306.54205607476638</v>
      </c>
      <c r="AP11" s="7">
        <f>SUMPRODUCT('vol 1'!L12*AHT!L12+'vol 1'!S12*AHT!S12+'vol 1'!Z12*AHT!Z12+'vol 1'!AG12*AHT!AG12)/SUM('vol 1'!L12,'vol 1'!S12,'vol 1'!Z12,'vol 1'!AG12)</f>
        <v>330.85</v>
      </c>
      <c r="AR11" s="6">
        <f t="shared" si="18"/>
        <v>0.14583333333333331</v>
      </c>
      <c r="AS11" s="8">
        <f t="shared" si="15"/>
        <v>0.9760305409761687</v>
      </c>
      <c r="AT11" s="8">
        <f t="shared" si="1"/>
        <v>1.0109169214871372</v>
      </c>
      <c r="AU11" s="8">
        <f t="shared" si="2"/>
        <v>0.97816045255471284</v>
      </c>
      <c r="AV11" s="8">
        <f t="shared" si="3"/>
        <v>0.98459320092799707</v>
      </c>
      <c r="AW11" s="8">
        <f t="shared" si="4"/>
        <v>0.97028905185066316</v>
      </c>
      <c r="AX11" s="8">
        <f t="shared" si="5"/>
        <v>0.94311713282227017</v>
      </c>
      <c r="AY11" s="8">
        <f t="shared" si="6"/>
        <v>1.0173000889971195</v>
      </c>
      <c r="BA11" s="6">
        <f t="shared" si="19"/>
        <v>0.14583333333333331</v>
      </c>
      <c r="BB11" s="10">
        <f t="shared" si="16"/>
        <v>340.9075346622131</v>
      </c>
      <c r="BC11" s="10">
        <f t="shared" si="7"/>
        <v>353.95540778807418</v>
      </c>
      <c r="BD11" s="10">
        <f t="shared" si="8"/>
        <v>342.4444436407868</v>
      </c>
      <c r="BE11" s="10">
        <f t="shared" si="9"/>
        <v>345.3620310342933</v>
      </c>
      <c r="BF11" s="10">
        <f t="shared" si="10"/>
        <v>339.57087482459241</v>
      </c>
      <c r="BG11" s="10">
        <f t="shared" si="11"/>
        <v>329.89325580770048</v>
      </c>
      <c r="BH11" s="10">
        <f t="shared" si="12"/>
        <v>356.05288579834189</v>
      </c>
    </row>
    <row r="12" spans="1:60" x14ac:dyDescent="0.3">
      <c r="A12">
        <f t="shared" ca="1" si="13"/>
        <v>19</v>
      </c>
      <c r="B12" s="4">
        <f t="shared" ca="1" si="0"/>
        <v>7.3929961089494164E-2</v>
      </c>
      <c r="C12">
        <f t="shared" ca="1" si="14"/>
        <v>73.929961089494171</v>
      </c>
      <c r="E12" s="11">
        <f t="shared" si="20"/>
        <v>0.14583333333333331</v>
      </c>
      <c r="F12" s="13">
        <v>333</v>
      </c>
      <c r="G12" s="13">
        <v>304</v>
      </c>
      <c r="H12" s="13">
        <v>334</v>
      </c>
      <c r="I12" s="13">
        <v>345</v>
      </c>
      <c r="J12" s="13">
        <v>313</v>
      </c>
      <c r="K12" s="13">
        <v>309</v>
      </c>
      <c r="L12" s="13">
        <v>316</v>
      </c>
      <c r="M12" s="13">
        <v>314</v>
      </c>
      <c r="N12" s="13">
        <v>327</v>
      </c>
      <c r="O12" s="13">
        <v>317</v>
      </c>
      <c r="P12" s="13">
        <v>316</v>
      </c>
      <c r="Q12" s="13">
        <v>327</v>
      </c>
      <c r="R12" s="13">
        <v>305</v>
      </c>
      <c r="S12" s="13">
        <v>350</v>
      </c>
      <c r="T12" s="13">
        <v>323</v>
      </c>
      <c r="U12" s="13">
        <v>341</v>
      </c>
      <c r="V12" s="13">
        <v>305</v>
      </c>
      <c r="W12" s="13">
        <v>305</v>
      </c>
      <c r="X12" s="13">
        <v>304</v>
      </c>
      <c r="Y12" s="13">
        <v>301</v>
      </c>
      <c r="Z12" s="13">
        <v>348</v>
      </c>
      <c r="AA12" s="13">
        <v>301</v>
      </c>
      <c r="AB12" s="13">
        <v>349</v>
      </c>
      <c r="AC12" s="13">
        <v>317</v>
      </c>
      <c r="AD12" s="13">
        <v>317</v>
      </c>
      <c r="AE12" s="13">
        <v>320</v>
      </c>
      <c r="AF12" s="13">
        <v>310</v>
      </c>
      <c r="AG12" s="13">
        <v>307</v>
      </c>
      <c r="AI12" s="6">
        <f t="shared" si="17"/>
        <v>0.16666666666666666</v>
      </c>
      <c r="AJ12" s="7">
        <f>SUMPRODUCT('vol 1'!F13*AHT!F13+'vol 1'!M13*AHT!M13+'vol 1'!T13*AHT!T13+'vol 1'!AA13*AHT!AA13)/SUM('vol 1'!F13,'vol 1'!M13,'vol 1'!T13,'vol 1'!AA13)</f>
        <v>324.88118811881191</v>
      </c>
      <c r="AK12" s="7">
        <f>SUMPRODUCT('vol 1'!G13*AHT!G13+'vol 1'!N13*AHT!N13+'vol 1'!U13*AHT!U13+'vol 1'!AB13*AHT!AB13)/SUM('vol 1'!G13,'vol 1'!N13,'vol 1'!U13,'vol 1'!AB13)</f>
        <v>332.64646464646466</v>
      </c>
      <c r="AL12" s="7">
        <f>SUMPRODUCT('vol 1'!H13*AHT!H13+'vol 1'!O13*AHT!O13+'vol 1'!V13*AHT!V13+'vol 1'!AC13*AHT!AC13)/SUM('vol 1'!H13,'vol 1'!O13,'vol 1'!V13,'vol 1'!AC13)</f>
        <v>317.44660194174759</v>
      </c>
      <c r="AM12" s="7">
        <f>SUMPRODUCT('vol 1'!I13*AHT!I13+'vol 1'!P13*AHT!P13+'vol 1'!W13*AHT!W13+'vol 1'!AD13*AHT!AD13)/SUM('vol 1'!I13,'vol 1'!P13,'vol 1'!W13,'vol 1'!AD13)</f>
        <v>337.07216494845363</v>
      </c>
      <c r="AN12" s="7">
        <f>SUMPRODUCT('vol 1'!J13*AHT!J13+'vol 1'!Q13*AHT!Q13+'vol 1'!X13*AHT!X13+'vol 1'!AE13*AHT!AE13)/SUM('vol 1'!J13,'vol 1'!Q13,'vol 1'!X13,'vol 1'!AE13)</f>
        <v>334.44897959183675</v>
      </c>
      <c r="AO12" s="7">
        <f>SUMPRODUCT('vol 1'!K13*AHT!K13+'vol 1'!R13*AHT!R13+'vol 1'!Y13*AHT!Y13+'vol 1'!AF13*AHT!AF13)/SUM('vol 1'!K13,'vol 1'!R13,'vol 1'!Y13,'vol 1'!AF13)</f>
        <v>322.60377358490564</v>
      </c>
      <c r="AP12" s="7">
        <f>SUMPRODUCT('vol 1'!L13*AHT!L13+'vol 1'!S13*AHT!S13+'vol 1'!Z13*AHT!Z13+'vol 1'!AG13*AHT!AG13)/SUM('vol 1'!L13,'vol 1'!S13,'vol 1'!Z13,'vol 1'!AG13)</f>
        <v>318.31775700934577</v>
      </c>
      <c r="AR12" s="6">
        <f t="shared" si="18"/>
        <v>0.16666666666666666</v>
      </c>
      <c r="AS12" s="8">
        <f t="shared" si="15"/>
        <v>1.001001534407141</v>
      </c>
      <c r="AT12" s="8">
        <f t="shared" si="1"/>
        <v>1.0224290899299306</v>
      </c>
      <c r="AU12" s="8">
        <f t="shared" si="2"/>
        <v>0.97582969523439234</v>
      </c>
      <c r="AV12" s="8">
        <f t="shared" si="3"/>
        <v>1.0341618299215176</v>
      </c>
      <c r="AW12" s="8">
        <f t="shared" si="4"/>
        <v>1.0284518031114591</v>
      </c>
      <c r="AX12" s="8">
        <f t="shared" si="5"/>
        <v>0.9925331286576643</v>
      </c>
      <c r="AY12" s="8">
        <f t="shared" si="6"/>
        <v>0.97876585321133713</v>
      </c>
      <c r="BA12" s="6">
        <f t="shared" si="19"/>
        <v>0.16666666666666666</v>
      </c>
      <c r="BB12" s="10">
        <f t="shared" si="16"/>
        <v>349.62939268942716</v>
      </c>
      <c r="BC12" s="10">
        <f t="shared" si="7"/>
        <v>357.98619824086393</v>
      </c>
      <c r="BD12" s="10">
        <f t="shared" si="8"/>
        <v>341.62846821289634</v>
      </c>
      <c r="BE12" s="10">
        <f t="shared" si="9"/>
        <v>362.74903144080895</v>
      </c>
      <c r="BF12" s="10">
        <f t="shared" si="10"/>
        <v>359.92602187089074</v>
      </c>
      <c r="BG12" s="10">
        <f t="shared" si="11"/>
        <v>347.17849343914327</v>
      </c>
      <c r="BH12" s="10">
        <f t="shared" si="12"/>
        <v>342.56598453689867</v>
      </c>
    </row>
    <row r="13" spans="1:60" x14ac:dyDescent="0.3">
      <c r="A13">
        <f t="shared" ca="1" si="13"/>
        <v>15</v>
      </c>
      <c r="B13" s="4">
        <f t="shared" ca="1" si="0"/>
        <v>5.8365758754863814E-2</v>
      </c>
      <c r="C13">
        <f t="shared" ca="1" si="14"/>
        <v>58.365758754863812</v>
      </c>
      <c r="E13" s="11">
        <f t="shared" si="20"/>
        <v>0.16666666666666666</v>
      </c>
      <c r="F13" s="13">
        <v>341</v>
      </c>
      <c r="G13" s="13">
        <v>339</v>
      </c>
      <c r="H13" s="13">
        <v>320</v>
      </c>
      <c r="I13" s="13">
        <v>344</v>
      </c>
      <c r="J13" s="13">
        <v>330</v>
      </c>
      <c r="K13" s="13">
        <v>346</v>
      </c>
      <c r="L13" s="13">
        <v>321</v>
      </c>
      <c r="M13" s="13">
        <v>340</v>
      </c>
      <c r="N13" s="13">
        <v>349</v>
      </c>
      <c r="O13" s="13">
        <v>319</v>
      </c>
      <c r="P13" s="13">
        <v>344</v>
      </c>
      <c r="Q13" s="13">
        <v>316</v>
      </c>
      <c r="R13" s="13">
        <v>312</v>
      </c>
      <c r="S13" s="13">
        <v>315</v>
      </c>
      <c r="T13" s="13">
        <v>312</v>
      </c>
      <c r="U13" s="13">
        <v>344</v>
      </c>
      <c r="V13" s="13">
        <v>332</v>
      </c>
      <c r="W13" s="13">
        <v>336</v>
      </c>
      <c r="X13" s="13">
        <v>343</v>
      </c>
      <c r="Y13" s="13">
        <v>330</v>
      </c>
      <c r="Z13" s="13">
        <v>314</v>
      </c>
      <c r="AA13" s="13">
        <v>300</v>
      </c>
      <c r="AB13" s="13">
        <v>300</v>
      </c>
      <c r="AC13" s="13">
        <v>300</v>
      </c>
      <c r="AD13" s="13">
        <v>320</v>
      </c>
      <c r="AE13" s="13">
        <v>349</v>
      </c>
      <c r="AF13" s="13">
        <v>305</v>
      </c>
      <c r="AG13" s="13">
        <v>322</v>
      </c>
      <c r="AI13" s="6">
        <f t="shared" si="17"/>
        <v>0.1875</v>
      </c>
      <c r="AJ13" s="7">
        <f>SUMPRODUCT('vol 1'!F14*AHT!F14+'vol 1'!M14*AHT!M14+'vol 1'!T14*AHT!T14+'vol 1'!AA14*AHT!AA14)/SUM('vol 1'!F14,'vol 1'!M14,'vol 1'!T14,'vol 1'!AA14)</f>
        <v>338.05747126436779</v>
      </c>
      <c r="AK13" s="7">
        <f>SUMPRODUCT('vol 1'!G14*AHT!G14+'vol 1'!N14*AHT!N14+'vol 1'!U14*AHT!U14+'vol 1'!AB14*AHT!AB14)/SUM('vol 1'!G14,'vol 1'!N14,'vol 1'!U14,'vol 1'!AB14)</f>
        <v>321.85714285714283</v>
      </c>
      <c r="AL13" s="7">
        <f>SUMPRODUCT('vol 1'!H14*AHT!H14+'vol 1'!O14*AHT!O14+'vol 1'!V14*AHT!V14+'vol 1'!AC14*AHT!AC14)/SUM('vol 1'!H14,'vol 1'!O14,'vol 1'!V14,'vol 1'!AC14)</f>
        <v>321.60952380952381</v>
      </c>
      <c r="AM13" s="7">
        <f>SUMPRODUCT('vol 1'!I14*AHT!I14+'vol 1'!P14*AHT!P14+'vol 1'!W14*AHT!W14+'vol 1'!AD14*AHT!AD14)/SUM('vol 1'!I14,'vol 1'!P14,'vol 1'!W14,'vol 1'!AD14)</f>
        <v>319.97777777777776</v>
      </c>
      <c r="AN13" s="7">
        <f>SUMPRODUCT('vol 1'!J14*AHT!J14+'vol 1'!Q14*AHT!Q14+'vol 1'!X14*AHT!X14+'vol 1'!AE14*AHT!AE14)/SUM('vol 1'!J14,'vol 1'!Q14,'vol 1'!X14,'vol 1'!AE14)</f>
        <v>338.1682242990654</v>
      </c>
      <c r="AO13" s="7">
        <f>SUMPRODUCT('vol 1'!K14*AHT!K14+'vol 1'!R14*AHT!R14+'vol 1'!Y14*AHT!Y14+'vol 1'!AF14*AHT!AF14)/SUM('vol 1'!K14,'vol 1'!R14,'vol 1'!Y14,'vol 1'!AF14)</f>
        <v>317.02325581395348</v>
      </c>
      <c r="AP13" s="7">
        <f>SUMPRODUCT('vol 1'!L14*AHT!L14+'vol 1'!S14*AHT!S14+'vol 1'!Z14*AHT!Z14+'vol 1'!AG14*AHT!AG14)/SUM('vol 1'!L14,'vol 1'!S14,'vol 1'!Z14,'vol 1'!AG14)</f>
        <v>328.35416666666669</v>
      </c>
      <c r="AR13" s="6">
        <f t="shared" si="18"/>
        <v>0.1875</v>
      </c>
      <c r="AS13" s="8">
        <f t="shared" si="15"/>
        <v>1.0415993902659446</v>
      </c>
      <c r="AT13" s="8">
        <f t="shared" si="1"/>
        <v>0.98926680615294382</v>
      </c>
      <c r="AU13" s="8">
        <f t="shared" si="2"/>
        <v>0.9886265018553122</v>
      </c>
      <c r="AV13" s="8">
        <f t="shared" si="3"/>
        <v>0.98171501123948102</v>
      </c>
      <c r="AW13" s="8">
        <f t="shared" si="4"/>
        <v>1.0398887162395249</v>
      </c>
      <c r="AX13" s="8">
        <f t="shared" si="5"/>
        <v>0.97536392849244957</v>
      </c>
      <c r="AY13" s="8">
        <f t="shared" si="6"/>
        <v>1.0096258817366632</v>
      </c>
      <c r="BA13" s="6">
        <f t="shared" si="19"/>
        <v>0.1875</v>
      </c>
      <c r="BB13" s="10">
        <f t="shared" si="16"/>
        <v>363.80939461800875</v>
      </c>
      <c r="BC13" s="10">
        <f t="shared" si="7"/>
        <v>346.37498724223929</v>
      </c>
      <c r="BD13" s="10">
        <f t="shared" si="8"/>
        <v>346.10850552398824</v>
      </c>
      <c r="BE13" s="10">
        <f t="shared" si="9"/>
        <v>344.35245932935874</v>
      </c>
      <c r="BF13" s="10">
        <f t="shared" si="10"/>
        <v>363.92858439469001</v>
      </c>
      <c r="BG13" s="10">
        <f t="shared" si="11"/>
        <v>341.1728731985616</v>
      </c>
      <c r="BH13" s="10">
        <f t="shared" si="12"/>
        <v>353.36692944106511</v>
      </c>
    </row>
    <row r="14" spans="1:60" x14ac:dyDescent="0.3">
      <c r="A14">
        <f t="shared" ca="1" si="13"/>
        <v>14</v>
      </c>
      <c r="B14" s="4">
        <f t="shared" ca="1" si="0"/>
        <v>5.4474708171206226E-2</v>
      </c>
      <c r="C14">
        <f t="shared" ca="1" si="14"/>
        <v>54.474708171206224</v>
      </c>
      <c r="E14" s="11">
        <f t="shared" si="20"/>
        <v>0.1875</v>
      </c>
      <c r="F14" s="13">
        <v>338</v>
      </c>
      <c r="G14" s="13">
        <v>318</v>
      </c>
      <c r="H14" s="13">
        <v>333</v>
      </c>
      <c r="I14" s="13">
        <v>311</v>
      </c>
      <c r="J14" s="13">
        <v>314</v>
      </c>
      <c r="K14" s="13">
        <v>314</v>
      </c>
      <c r="L14" s="13">
        <v>331</v>
      </c>
      <c r="M14" s="13">
        <v>342</v>
      </c>
      <c r="N14" s="13">
        <v>330</v>
      </c>
      <c r="O14" s="13">
        <v>304</v>
      </c>
      <c r="P14" s="13">
        <v>330</v>
      </c>
      <c r="Q14" s="13">
        <v>338</v>
      </c>
      <c r="R14" s="13">
        <v>307</v>
      </c>
      <c r="S14" s="13">
        <v>332</v>
      </c>
      <c r="T14" s="13">
        <v>347</v>
      </c>
      <c r="U14" s="13">
        <v>335</v>
      </c>
      <c r="V14" s="13">
        <v>317</v>
      </c>
      <c r="W14" s="13">
        <v>327</v>
      </c>
      <c r="X14" s="13">
        <v>348</v>
      </c>
      <c r="Y14" s="13">
        <v>328</v>
      </c>
      <c r="Z14" s="13">
        <v>326</v>
      </c>
      <c r="AA14" s="13">
        <v>324</v>
      </c>
      <c r="AB14" s="13">
        <v>310</v>
      </c>
      <c r="AC14" s="13">
        <v>337</v>
      </c>
      <c r="AD14" s="13">
        <v>315</v>
      </c>
      <c r="AE14" s="13">
        <v>350</v>
      </c>
      <c r="AF14" s="13">
        <v>319</v>
      </c>
      <c r="AG14" s="13">
        <v>326</v>
      </c>
      <c r="AI14" s="6">
        <f t="shared" si="17"/>
        <v>0.20833333333333334</v>
      </c>
      <c r="AJ14" s="7">
        <f>SUMPRODUCT('vol 1'!F15*AHT!F15+'vol 1'!M15*AHT!M15+'vol 1'!T15*AHT!T15+'vol 1'!AA15*AHT!AA15)/SUM('vol 1'!F15,'vol 1'!M15,'vol 1'!T15,'vol 1'!AA15)</f>
        <v>335.54838709677421</v>
      </c>
      <c r="AK14" s="7">
        <f>SUMPRODUCT('vol 1'!G15*AHT!G15+'vol 1'!N15*AHT!N15+'vol 1'!U15*AHT!U15+'vol 1'!AB15*AHT!AB15)/SUM('vol 1'!G15,'vol 1'!N15,'vol 1'!U15,'vol 1'!AB15)</f>
        <v>327.8901098901099</v>
      </c>
      <c r="AL14" s="7">
        <f>SUMPRODUCT('vol 1'!H15*AHT!H15+'vol 1'!O15*AHT!O15+'vol 1'!V15*AHT!V15+'vol 1'!AC15*AHT!AC15)/SUM('vol 1'!H15,'vol 1'!O15,'vol 1'!V15,'vol 1'!AC15)</f>
        <v>332.1782178217822</v>
      </c>
      <c r="AM14" s="7">
        <f>SUMPRODUCT('vol 1'!I15*AHT!I15+'vol 1'!P15*AHT!P15+'vol 1'!W15*AHT!W15+'vol 1'!AD15*AHT!AD15)/SUM('vol 1'!I15,'vol 1'!P15,'vol 1'!W15,'vol 1'!AD15)</f>
        <v>339.58163265306121</v>
      </c>
      <c r="AN14" s="7">
        <f>SUMPRODUCT('vol 1'!J15*AHT!J15+'vol 1'!Q15*AHT!Q15+'vol 1'!X15*AHT!X15+'vol 1'!AE15*AHT!AE15)/SUM('vol 1'!J15,'vol 1'!Q15,'vol 1'!X15,'vol 1'!AE15)</f>
        <v>329.85227272727275</v>
      </c>
      <c r="AO14" s="7">
        <f>SUMPRODUCT('vol 1'!K15*AHT!K15+'vol 1'!R15*AHT!R15+'vol 1'!Y15*AHT!Y15+'vol 1'!AF15*AHT!AF15)/SUM('vol 1'!K15,'vol 1'!R15,'vol 1'!Y15,'vol 1'!AF15)</f>
        <v>319.86458333333331</v>
      </c>
      <c r="AP14" s="7">
        <f>SUMPRODUCT('vol 1'!L15*AHT!L15+'vol 1'!S15*AHT!S15+'vol 1'!Z15*AHT!Z15+'vol 1'!AG15*AHT!AG15)/SUM('vol 1'!L15,'vol 1'!S15,'vol 1'!Z15,'vol 1'!AG15)</f>
        <v>316.90625</v>
      </c>
      <c r="AR14" s="6">
        <f t="shared" si="18"/>
        <v>0.20833333333333334</v>
      </c>
      <c r="AS14" s="8">
        <f t="shared" si="15"/>
        <v>1.033868572990063</v>
      </c>
      <c r="AT14" s="8">
        <f t="shared" si="1"/>
        <v>1.0078098590594264</v>
      </c>
      <c r="AU14" s="8">
        <f t="shared" si="2"/>
        <v>1.0211146286581316</v>
      </c>
      <c r="AV14" s="8">
        <f t="shared" si="3"/>
        <v>1.0418610587021639</v>
      </c>
      <c r="AW14" s="8">
        <f t="shared" si="4"/>
        <v>1.0143166382531148</v>
      </c>
      <c r="AX14" s="8">
        <f t="shared" si="5"/>
        <v>0.98410564797394529</v>
      </c>
      <c r="AY14" s="8">
        <f t="shared" si="6"/>
        <v>0.97442574075485378</v>
      </c>
      <c r="BA14" s="6">
        <f t="shared" si="19"/>
        <v>0.20833333333333334</v>
      </c>
      <c r="BB14" s="10">
        <f t="shared" si="16"/>
        <v>361.10917802867027</v>
      </c>
      <c r="BC14" s="10">
        <f t="shared" si="7"/>
        <v>352.86752259667236</v>
      </c>
      <c r="BD14" s="10">
        <f t="shared" si="8"/>
        <v>357.48228216652791</v>
      </c>
      <c r="BE14" s="10">
        <f t="shared" si="9"/>
        <v>365.44966078354207</v>
      </c>
      <c r="BF14" s="10">
        <f t="shared" si="10"/>
        <v>354.97915548341285</v>
      </c>
      <c r="BG14" s="10">
        <f t="shared" si="11"/>
        <v>344.23064216568696</v>
      </c>
      <c r="BH14" s="10">
        <f t="shared" si="12"/>
        <v>341.04695432984971</v>
      </c>
    </row>
    <row r="15" spans="1:60" x14ac:dyDescent="0.3">
      <c r="A15">
        <f t="shared" ca="1" si="13"/>
        <v>19</v>
      </c>
      <c r="B15" s="4">
        <f t="shared" ca="1" si="0"/>
        <v>7.3929961089494164E-2</v>
      </c>
      <c r="C15">
        <f t="shared" ca="1" si="14"/>
        <v>73.929961089494171</v>
      </c>
      <c r="E15" s="11">
        <f t="shared" si="20"/>
        <v>0.20833333333333334</v>
      </c>
      <c r="F15" s="13">
        <v>308</v>
      </c>
      <c r="G15" s="13">
        <v>329</v>
      </c>
      <c r="H15" s="13">
        <v>330</v>
      </c>
      <c r="I15" s="13">
        <v>349</v>
      </c>
      <c r="J15" s="13">
        <v>317</v>
      </c>
      <c r="K15" s="13">
        <v>320</v>
      </c>
      <c r="L15" s="13">
        <v>318</v>
      </c>
      <c r="M15" s="13">
        <v>335</v>
      </c>
      <c r="N15" s="13">
        <v>302</v>
      </c>
      <c r="O15" s="13">
        <v>339</v>
      </c>
      <c r="P15" s="13">
        <v>340</v>
      </c>
      <c r="Q15" s="13">
        <v>338</v>
      </c>
      <c r="R15" s="13">
        <v>324</v>
      </c>
      <c r="S15" s="13">
        <v>310</v>
      </c>
      <c r="T15" s="13">
        <v>350</v>
      </c>
      <c r="U15" s="13">
        <v>328</v>
      </c>
      <c r="V15" s="13">
        <v>340</v>
      </c>
      <c r="W15" s="13">
        <v>328</v>
      </c>
      <c r="X15" s="13">
        <v>319</v>
      </c>
      <c r="Y15" s="13">
        <v>312</v>
      </c>
      <c r="Z15" s="13">
        <v>321</v>
      </c>
      <c r="AA15" s="13">
        <v>347</v>
      </c>
      <c r="AB15" s="13">
        <v>350</v>
      </c>
      <c r="AC15" s="13">
        <v>317</v>
      </c>
      <c r="AD15" s="13">
        <v>339</v>
      </c>
      <c r="AE15" s="13">
        <v>349</v>
      </c>
      <c r="AF15" s="13">
        <v>323</v>
      </c>
      <c r="AG15" s="13">
        <v>319</v>
      </c>
      <c r="AI15" s="6">
        <f t="shared" si="17"/>
        <v>0.22916666666666669</v>
      </c>
      <c r="AJ15" s="7">
        <f>SUMPRODUCT('vol 1'!F16*AHT!F16+'vol 1'!M16*AHT!M16+'vol 1'!T16*AHT!T16+'vol 1'!AA16*AHT!AA16)/SUM('vol 1'!F16,'vol 1'!M16,'vol 1'!T16,'vol 1'!AA16)</f>
        <v>327.77</v>
      </c>
      <c r="AK15" s="7">
        <f>SUMPRODUCT('vol 1'!G16*AHT!G16+'vol 1'!N16*AHT!N16+'vol 1'!U16*AHT!U16+'vol 1'!AB16*AHT!AB16)/SUM('vol 1'!G16,'vol 1'!N16,'vol 1'!U16,'vol 1'!AB16)</f>
        <v>325.69306930693068</v>
      </c>
      <c r="AL15" s="7">
        <f>SUMPRODUCT('vol 1'!H16*AHT!H16+'vol 1'!O16*AHT!O16+'vol 1'!V16*AHT!V16+'vol 1'!AC16*AHT!AC16)/SUM('vol 1'!H16,'vol 1'!O16,'vol 1'!V16,'vol 1'!AC16)</f>
        <v>331.29245283018867</v>
      </c>
      <c r="AM15" s="7">
        <f>SUMPRODUCT('vol 1'!I16*AHT!I16+'vol 1'!P16*AHT!P16+'vol 1'!W16*AHT!W16+'vol 1'!AD16*AHT!AD16)/SUM('vol 1'!I16,'vol 1'!P16,'vol 1'!W16,'vol 1'!AD16)</f>
        <v>314.96039603960395</v>
      </c>
      <c r="AN15" s="7">
        <f>SUMPRODUCT('vol 1'!J16*AHT!J16+'vol 1'!Q16*AHT!Q16+'vol 1'!X16*AHT!X16+'vol 1'!AE16*AHT!AE16)/SUM('vol 1'!J16,'vol 1'!Q16,'vol 1'!X16,'vol 1'!AE16)</f>
        <v>325.52941176470586</v>
      </c>
      <c r="AO15" s="7">
        <f>SUMPRODUCT('vol 1'!K16*AHT!K16+'vol 1'!R16*AHT!R16+'vol 1'!Y16*AHT!Y16+'vol 1'!AF16*AHT!AF16)/SUM('vol 1'!K16,'vol 1'!R16,'vol 1'!Y16,'vol 1'!AF16)</f>
        <v>326.74468085106383</v>
      </c>
      <c r="AP15" s="7">
        <f>SUMPRODUCT('vol 1'!L16*AHT!L16+'vol 1'!S16*AHT!S16+'vol 1'!Z16*AHT!Z16+'vol 1'!AG16*AHT!AG16)/SUM('vol 1'!L16,'vol 1'!S16,'vol 1'!Z16,'vol 1'!AG16)</f>
        <v>321.11827956989248</v>
      </c>
      <c r="AR15" s="6">
        <f t="shared" si="18"/>
        <v>0.22916666666666669</v>
      </c>
      <c r="AS15" s="8">
        <f t="shared" si="15"/>
        <v>1.0099023425531186</v>
      </c>
      <c r="AT15" s="8">
        <f t="shared" si="1"/>
        <v>1.0010569894433721</v>
      </c>
      <c r="AU15" s="8">
        <f t="shared" si="2"/>
        <v>1.0183917903082833</v>
      </c>
      <c r="AV15" s="8">
        <f t="shared" si="3"/>
        <v>0.96632132045353869</v>
      </c>
      <c r="AW15" s="8">
        <f t="shared" si="4"/>
        <v>1.0010235668944347</v>
      </c>
      <c r="AX15" s="8">
        <f t="shared" si="5"/>
        <v>1.0052731769177616</v>
      </c>
      <c r="AY15" s="8">
        <f t="shared" si="6"/>
        <v>0.98737692121823639</v>
      </c>
      <c r="BA15" s="6">
        <f t="shared" si="19"/>
        <v>0.22916666666666669</v>
      </c>
      <c r="BB15" s="10">
        <f t="shared" si="16"/>
        <v>352.73826319517156</v>
      </c>
      <c r="BC15" s="10">
        <f t="shared" si="7"/>
        <v>350.50311987683858</v>
      </c>
      <c r="BD15" s="10">
        <f t="shared" si="8"/>
        <v>356.52904299047827</v>
      </c>
      <c r="BE15" s="10">
        <f t="shared" si="9"/>
        <v>338.95287266764285</v>
      </c>
      <c r="BF15" s="10">
        <f t="shared" si="10"/>
        <v>350.32699552987827</v>
      </c>
      <c r="BG15" s="10">
        <f t="shared" si="11"/>
        <v>351.63483916058482</v>
      </c>
      <c r="BH15" s="10">
        <f t="shared" si="12"/>
        <v>345.57984017971575</v>
      </c>
    </row>
    <row r="16" spans="1:60" x14ac:dyDescent="0.3">
      <c r="A16">
        <f t="shared" ca="1" si="13"/>
        <v>10</v>
      </c>
      <c r="B16" s="4">
        <f t="shared" ca="1" si="0"/>
        <v>3.8910505836575876E-2</v>
      </c>
      <c r="C16">
        <f t="shared" ca="1" si="14"/>
        <v>38.910505836575879</v>
      </c>
      <c r="E16" s="11">
        <f t="shared" si="20"/>
        <v>0.22916666666666669</v>
      </c>
      <c r="F16" s="13">
        <v>334</v>
      </c>
      <c r="G16" s="13">
        <v>347</v>
      </c>
      <c r="H16" s="13">
        <v>341</v>
      </c>
      <c r="I16" s="13">
        <v>333</v>
      </c>
      <c r="J16" s="13">
        <v>305</v>
      </c>
      <c r="K16" s="13">
        <v>322</v>
      </c>
      <c r="L16" s="13">
        <v>315</v>
      </c>
      <c r="M16" s="13">
        <v>302</v>
      </c>
      <c r="N16" s="13">
        <v>301</v>
      </c>
      <c r="O16" s="13">
        <v>302</v>
      </c>
      <c r="P16" s="13">
        <v>302</v>
      </c>
      <c r="Q16" s="13">
        <v>318</v>
      </c>
      <c r="R16" s="13">
        <v>329</v>
      </c>
      <c r="S16" s="13">
        <v>315</v>
      </c>
      <c r="T16" s="13">
        <v>334</v>
      </c>
      <c r="U16" s="13">
        <v>331</v>
      </c>
      <c r="V16" s="13">
        <v>332</v>
      </c>
      <c r="W16" s="13">
        <v>327</v>
      </c>
      <c r="X16" s="13">
        <v>346</v>
      </c>
      <c r="Y16" s="13">
        <v>350</v>
      </c>
      <c r="Z16" s="13">
        <v>313</v>
      </c>
      <c r="AA16" s="13">
        <v>337</v>
      </c>
      <c r="AB16" s="13">
        <v>315</v>
      </c>
      <c r="AC16" s="13">
        <v>349</v>
      </c>
      <c r="AD16" s="13">
        <v>300</v>
      </c>
      <c r="AE16" s="13">
        <v>334</v>
      </c>
      <c r="AF16" s="13">
        <v>300</v>
      </c>
      <c r="AG16" s="13">
        <v>342</v>
      </c>
      <c r="AI16" s="6">
        <f t="shared" si="17"/>
        <v>0.25</v>
      </c>
      <c r="AJ16" s="7">
        <f>SUMPRODUCT('vol 1'!F17*AHT!F17+'vol 1'!M17*AHT!M17+'vol 1'!T17*AHT!T17+'vol 1'!AA17*AHT!AA17)/SUM('vol 1'!F17,'vol 1'!M17,'vol 1'!T17,'vol 1'!AA17)</f>
        <v>335.85294117647061</v>
      </c>
      <c r="AK16" s="7">
        <f>SUMPRODUCT('vol 1'!G17*AHT!G17+'vol 1'!N17*AHT!N17+'vol 1'!U17*AHT!U17+'vol 1'!AB17*AHT!AB17)/SUM('vol 1'!G17,'vol 1'!N17,'vol 1'!U17,'vol 1'!AB17)</f>
        <v>311.83050847457628</v>
      </c>
      <c r="AL16" s="7">
        <f>SUMPRODUCT('vol 1'!H17*AHT!H17+'vol 1'!O17*AHT!O17+'vol 1'!V17*AHT!V17+'vol 1'!AC17*AHT!AC17)/SUM('vol 1'!H17,'vol 1'!O17,'vol 1'!V17,'vol 1'!AC17)</f>
        <v>325.20754716981133</v>
      </c>
      <c r="AM16" s="7">
        <f>SUMPRODUCT('vol 1'!I17*AHT!I17+'vol 1'!P17*AHT!P17+'vol 1'!W17*AHT!W17+'vol 1'!AD17*AHT!AD17)/SUM('vol 1'!I17,'vol 1'!P17,'vol 1'!W17,'vol 1'!AD17)</f>
        <v>318.4727272727273</v>
      </c>
      <c r="AN16" s="7">
        <f>SUMPRODUCT('vol 1'!J17*AHT!J17+'vol 1'!Q17*AHT!Q17+'vol 1'!X17*AHT!X17+'vol 1'!AE17*AHT!AE17)/SUM('vol 1'!J17,'vol 1'!Q17,'vol 1'!X17,'vol 1'!AE17)</f>
        <v>323.57547169811323</v>
      </c>
      <c r="AO16" s="7">
        <f>SUMPRODUCT('vol 1'!K17*AHT!K17+'vol 1'!R17*AHT!R17+'vol 1'!Y17*AHT!Y17+'vol 1'!AF17*AHT!AF17)/SUM('vol 1'!K17,'vol 1'!R17,'vol 1'!Y17,'vol 1'!AF17)</f>
        <v>345.52083333333331</v>
      </c>
      <c r="AP16" s="7">
        <f>SUMPRODUCT('vol 1'!L17*AHT!L17+'vol 1'!S17*AHT!S17+'vol 1'!Z17*AHT!Z17+'vol 1'!AG17*AHT!AG17)/SUM('vol 1'!L17,'vol 1'!S17,'vol 1'!Z17,'vol 1'!AG17)</f>
        <v>318.1320754716981</v>
      </c>
      <c r="AR16" s="6">
        <f t="shared" si="18"/>
        <v>0.25</v>
      </c>
      <c r="AS16" s="8">
        <f t="shared" si="15"/>
        <v>1.0348069440384184</v>
      </c>
      <c r="AT16" s="8">
        <f t="shared" si="1"/>
        <v>0.95844873424671473</v>
      </c>
      <c r="AU16" s="8">
        <f t="shared" si="2"/>
        <v>0.99968681252689995</v>
      </c>
      <c r="AV16" s="8">
        <f t="shared" si="3"/>
        <v>0.97709740721790506</v>
      </c>
      <c r="AW16" s="8">
        <f t="shared" si="4"/>
        <v>0.9950150773869727</v>
      </c>
      <c r="AX16" s="8">
        <f t="shared" si="5"/>
        <v>1.0630404905492481</v>
      </c>
      <c r="AY16" s="8">
        <f t="shared" si="6"/>
        <v>0.97819491821126425</v>
      </c>
      <c r="BA16" s="6">
        <f t="shared" si="19"/>
        <v>0.25</v>
      </c>
      <c r="BB16" s="10">
        <f t="shared" si="16"/>
        <v>361.43693187167332</v>
      </c>
      <c r="BC16" s="10">
        <f t="shared" si="7"/>
        <v>335.58456225581739</v>
      </c>
      <c r="BD16" s="10">
        <f t="shared" si="8"/>
        <v>349.98061252293104</v>
      </c>
      <c r="BE16" s="10">
        <f t="shared" si="9"/>
        <v>342.73275984138689</v>
      </c>
      <c r="BF16" s="10">
        <f t="shared" si="10"/>
        <v>348.22421179287562</v>
      </c>
      <c r="BG16" s="10">
        <f t="shared" si="11"/>
        <v>371.84128702367002</v>
      </c>
      <c r="BH16" s="10">
        <f t="shared" si="12"/>
        <v>342.36615849089918</v>
      </c>
    </row>
    <row r="17" spans="1:60" x14ac:dyDescent="0.3">
      <c r="A17">
        <f t="shared" ca="1" si="13"/>
        <v>17</v>
      </c>
      <c r="B17" s="4">
        <f t="shared" ca="1" si="0"/>
        <v>6.6147859922178989E-2</v>
      </c>
      <c r="C17">
        <f t="shared" ca="1" si="14"/>
        <v>66.147859922178995</v>
      </c>
      <c r="E17" s="11">
        <f t="shared" si="20"/>
        <v>0.25</v>
      </c>
      <c r="F17" s="13">
        <v>347</v>
      </c>
      <c r="G17" s="13">
        <v>307</v>
      </c>
      <c r="H17" s="13">
        <v>317</v>
      </c>
      <c r="I17" s="13">
        <v>308</v>
      </c>
      <c r="J17" s="13">
        <v>345</v>
      </c>
      <c r="K17" s="13">
        <v>344</v>
      </c>
      <c r="L17" s="13">
        <v>321</v>
      </c>
      <c r="M17" s="13">
        <v>344</v>
      </c>
      <c r="N17" s="13">
        <v>305</v>
      </c>
      <c r="O17" s="13">
        <v>321</v>
      </c>
      <c r="P17" s="13">
        <v>341</v>
      </c>
      <c r="Q17" s="13">
        <v>330</v>
      </c>
      <c r="R17" s="13">
        <v>346</v>
      </c>
      <c r="S17" s="13">
        <v>317</v>
      </c>
      <c r="T17" s="13">
        <v>349</v>
      </c>
      <c r="U17" s="13">
        <v>307</v>
      </c>
      <c r="V17" s="13">
        <v>347</v>
      </c>
      <c r="W17" s="13">
        <v>313</v>
      </c>
      <c r="X17" s="13">
        <v>313</v>
      </c>
      <c r="Y17" s="13">
        <v>349</v>
      </c>
      <c r="Z17" s="13">
        <v>300</v>
      </c>
      <c r="AA17" s="13">
        <v>303</v>
      </c>
      <c r="AB17" s="13">
        <v>328</v>
      </c>
      <c r="AC17" s="13">
        <v>317</v>
      </c>
      <c r="AD17" s="13">
        <v>309</v>
      </c>
      <c r="AE17" s="13">
        <v>309</v>
      </c>
      <c r="AF17" s="13">
        <v>344</v>
      </c>
      <c r="AG17" s="13">
        <v>331</v>
      </c>
      <c r="AI17" s="6">
        <f t="shared" si="17"/>
        <v>0.27083333333333331</v>
      </c>
      <c r="AJ17" s="7">
        <f>SUMPRODUCT('vol 1'!F18*AHT!F18+'vol 1'!M18*AHT!M18+'vol 1'!T18*AHT!T18+'vol 1'!AA18*AHT!AA18)/SUM('vol 1'!F18,'vol 1'!M18,'vol 1'!T18,'vol 1'!AA18)</f>
        <v>318.57894736842104</v>
      </c>
      <c r="AK17" s="7">
        <f>SUMPRODUCT('vol 1'!G18*AHT!G18+'vol 1'!N18*AHT!N18+'vol 1'!U18*AHT!U18+'vol 1'!AB18*AHT!AB18)/SUM('vol 1'!G18,'vol 1'!N18,'vol 1'!U18,'vol 1'!AB18)</f>
        <v>336.94897959183675</v>
      </c>
      <c r="AL17" s="7">
        <f>SUMPRODUCT('vol 1'!H18*AHT!H18+'vol 1'!O18*AHT!O18+'vol 1'!V18*AHT!V18+'vol 1'!AC18*AHT!AC18)/SUM('vol 1'!H18,'vol 1'!O18,'vol 1'!V18,'vol 1'!AC18)</f>
        <v>323.25263157894739</v>
      </c>
      <c r="AM17" s="7">
        <f>SUMPRODUCT('vol 1'!I18*AHT!I18+'vol 1'!P18*AHT!P18+'vol 1'!W18*AHT!W18+'vol 1'!AD18*AHT!AD18)/SUM('vol 1'!I18,'vol 1'!P18,'vol 1'!W18,'vol 1'!AD18)</f>
        <v>324.18269230769232</v>
      </c>
      <c r="AN17" s="7">
        <f>SUMPRODUCT('vol 1'!J18*AHT!J18+'vol 1'!Q18*AHT!Q18+'vol 1'!X18*AHT!X18+'vol 1'!AE18*AHT!AE18)/SUM('vol 1'!J18,'vol 1'!Q18,'vol 1'!X18,'vol 1'!AE18)</f>
        <v>319.02352941176468</v>
      </c>
      <c r="AO17" s="7">
        <f>SUMPRODUCT('vol 1'!K18*AHT!K18+'vol 1'!R18*AHT!R18+'vol 1'!Y18*AHT!Y18+'vol 1'!AF18*AHT!AF18)/SUM('vol 1'!K18,'vol 1'!R18,'vol 1'!Y18,'vol 1'!AF18)</f>
        <v>311.44444444444446</v>
      </c>
      <c r="AP17" s="7">
        <f>SUMPRODUCT('vol 1'!L18*AHT!L18+'vol 1'!S18*AHT!S18+'vol 1'!Z18*AHT!Z18+'vol 1'!AG18*AHT!AG18)/SUM('vol 1'!L18,'vol 1'!S18,'vol 1'!Z18,'vol 1'!AG18)</f>
        <v>319.15178571428572</v>
      </c>
      <c r="AR17" s="6">
        <f t="shared" si="18"/>
        <v>0.27083333333333331</v>
      </c>
      <c r="AS17" s="8">
        <f t="shared" si="15"/>
        <v>0.98158350439477415</v>
      </c>
      <c r="AT17" s="8">
        <f t="shared" si="1"/>
        <v>1.0356533893214241</v>
      </c>
      <c r="AU17" s="8">
        <f t="shared" si="2"/>
        <v>0.99367740913882463</v>
      </c>
      <c r="AV17" s="8">
        <f t="shared" si="3"/>
        <v>0.99461599375040721</v>
      </c>
      <c r="AW17" s="8">
        <f t="shared" si="4"/>
        <v>0.98101756644294846</v>
      </c>
      <c r="AX17" s="8">
        <f t="shared" si="5"/>
        <v>0.95819997829670767</v>
      </c>
      <c r="AY17" s="8">
        <f t="shared" si="6"/>
        <v>0.98133033099813349</v>
      </c>
      <c r="BA17" s="6">
        <f t="shared" si="19"/>
        <v>0.27083333333333331</v>
      </c>
      <c r="BB17" s="10">
        <f t="shared" si="16"/>
        <v>342.84707137713281</v>
      </c>
      <c r="BC17" s="10">
        <f t="shared" si="7"/>
        <v>362.61646229554196</v>
      </c>
      <c r="BD17" s="10">
        <f t="shared" si="8"/>
        <v>347.87677894995448</v>
      </c>
      <c r="BE17" s="10">
        <f t="shared" si="9"/>
        <v>348.8776881427529</v>
      </c>
      <c r="BF17" s="10">
        <f t="shared" si="10"/>
        <v>343.32551997772708</v>
      </c>
      <c r="BG17" s="10">
        <f t="shared" si="11"/>
        <v>335.16908934654924</v>
      </c>
      <c r="BH17" s="10">
        <f t="shared" si="12"/>
        <v>343.46354635413468</v>
      </c>
    </row>
    <row r="18" spans="1:60" x14ac:dyDescent="0.3">
      <c r="A18">
        <f t="shared" ca="1" si="13"/>
        <v>18</v>
      </c>
      <c r="B18" s="4">
        <f t="shared" ca="1" si="0"/>
        <v>7.0038910505836577E-2</v>
      </c>
      <c r="C18">
        <f t="shared" ca="1" si="14"/>
        <v>70.038910505836583</v>
      </c>
      <c r="E18" s="11">
        <f t="shared" si="20"/>
        <v>0.27083333333333331</v>
      </c>
      <c r="F18" s="13">
        <v>314</v>
      </c>
      <c r="G18" s="13">
        <v>345</v>
      </c>
      <c r="H18" s="13">
        <v>332</v>
      </c>
      <c r="I18" s="13">
        <v>323</v>
      </c>
      <c r="J18" s="13">
        <v>333</v>
      </c>
      <c r="K18" s="13">
        <v>303</v>
      </c>
      <c r="L18" s="13">
        <v>312</v>
      </c>
      <c r="M18" s="13">
        <v>307</v>
      </c>
      <c r="N18" s="13">
        <v>326</v>
      </c>
      <c r="O18" s="13">
        <v>320</v>
      </c>
      <c r="P18" s="13">
        <v>322</v>
      </c>
      <c r="Q18" s="13">
        <v>323</v>
      </c>
      <c r="R18" s="13">
        <v>301</v>
      </c>
      <c r="S18" s="13">
        <v>319</v>
      </c>
      <c r="T18" s="13">
        <v>348</v>
      </c>
      <c r="U18" s="13">
        <v>333</v>
      </c>
      <c r="V18" s="13">
        <v>308</v>
      </c>
      <c r="W18" s="13">
        <v>302</v>
      </c>
      <c r="X18" s="13">
        <v>304</v>
      </c>
      <c r="Y18" s="13">
        <v>303</v>
      </c>
      <c r="Z18" s="13">
        <v>328</v>
      </c>
      <c r="AA18" s="13">
        <v>312</v>
      </c>
      <c r="AB18" s="13">
        <v>345</v>
      </c>
      <c r="AC18" s="13">
        <v>333</v>
      </c>
      <c r="AD18" s="13">
        <v>350</v>
      </c>
      <c r="AE18" s="13">
        <v>315</v>
      </c>
      <c r="AF18" s="13">
        <v>335</v>
      </c>
      <c r="AG18" s="13">
        <v>318</v>
      </c>
      <c r="AI18" s="6">
        <f t="shared" si="17"/>
        <v>0.29166666666666663</v>
      </c>
      <c r="AJ18" s="7">
        <f>SUMPRODUCT('vol 1'!F19*AHT!F19+'vol 1'!M19*AHT!M19+'vol 1'!T19*AHT!T19+'vol 1'!AA19*AHT!AA19)/SUM('vol 1'!F19,'vol 1'!M19,'vol 1'!T19,'vol 1'!AA19)</f>
        <v>318.44086021505376</v>
      </c>
      <c r="AK18" s="7">
        <f>SUMPRODUCT('vol 1'!G19*AHT!G19+'vol 1'!N19*AHT!N19+'vol 1'!U19*AHT!U19+'vol 1'!AB19*AHT!AB19)/SUM('vol 1'!G19,'vol 1'!N19,'vol 1'!U19,'vol 1'!AB19)</f>
        <v>332.86666666666667</v>
      </c>
      <c r="AL18" s="7">
        <f>SUMPRODUCT('vol 1'!H19*AHT!H19+'vol 1'!O19*AHT!O19+'vol 1'!V19*AHT!V19+'vol 1'!AC19*AHT!AC19)/SUM('vol 1'!H19,'vol 1'!O19,'vol 1'!V19,'vol 1'!AC19)</f>
        <v>320.36</v>
      </c>
      <c r="AM18" s="7">
        <f>SUMPRODUCT('vol 1'!I19*AHT!I19+'vol 1'!P19*AHT!P19+'vol 1'!W19*AHT!W19+'vol 1'!AD19*AHT!AD19)/SUM('vol 1'!I19,'vol 1'!P19,'vol 1'!W19,'vol 1'!AD19)</f>
        <v>329.25531914893617</v>
      </c>
      <c r="AN18" s="7">
        <f>SUMPRODUCT('vol 1'!J19*AHT!J19+'vol 1'!Q19*AHT!Q19+'vol 1'!X19*AHT!X19+'vol 1'!AE19*AHT!AE19)/SUM('vol 1'!J19,'vol 1'!Q19,'vol 1'!X19,'vol 1'!AE19)</f>
        <v>322.59139784946234</v>
      </c>
      <c r="AO18" s="7">
        <f>SUMPRODUCT('vol 1'!K19*AHT!K19+'vol 1'!R19*AHT!R19+'vol 1'!Y19*AHT!Y19+'vol 1'!AF19*AHT!AF19)/SUM('vol 1'!K19,'vol 1'!R19,'vol 1'!Y19,'vol 1'!AF19)</f>
        <v>335.70454545454544</v>
      </c>
      <c r="AP18" s="7">
        <f>SUMPRODUCT('vol 1'!L19*AHT!L19+'vol 1'!S19*AHT!S19+'vol 1'!Z19*AHT!Z19+'vol 1'!AG19*AHT!AG19)/SUM('vol 1'!L19,'vol 1'!S19,'vol 1'!Z19,'vol 1'!AG19)</f>
        <v>322.69565217391306</v>
      </c>
      <c r="AR18" s="6">
        <f t="shared" si="18"/>
        <v>0.29166666666666663</v>
      </c>
      <c r="AS18" s="8">
        <f t="shared" si="15"/>
        <v>0.98115803977122074</v>
      </c>
      <c r="AT18" s="8">
        <f t="shared" si="1"/>
        <v>1.0231059074375364</v>
      </c>
      <c r="AU18" s="8">
        <f t="shared" si="2"/>
        <v>0.98478547022738672</v>
      </c>
      <c r="AV18" s="8">
        <f t="shared" si="3"/>
        <v>1.0101791805162204</v>
      </c>
      <c r="AW18" s="8">
        <f t="shared" si="4"/>
        <v>0.99198898795092483</v>
      </c>
      <c r="AX18" s="8">
        <f t="shared" si="5"/>
        <v>1.0328393840591736</v>
      </c>
      <c r="AY18" s="8">
        <f t="shared" si="6"/>
        <v>0.99222703846306559</v>
      </c>
      <c r="BA18" s="6">
        <f t="shared" si="19"/>
        <v>0.29166666666666663</v>
      </c>
      <c r="BB18" s="10">
        <f t="shared" si="16"/>
        <v>342.69846527331509</v>
      </c>
      <c r="BC18" s="10">
        <f t="shared" si="7"/>
        <v>358.22317440756046</v>
      </c>
      <c r="BD18" s="10">
        <f t="shared" si="8"/>
        <v>344.76379777650544</v>
      </c>
      <c r="BE18" s="10">
        <f t="shared" si="9"/>
        <v>354.33672826789422</v>
      </c>
      <c r="BF18" s="10">
        <f t="shared" si="10"/>
        <v>347.16517496757467</v>
      </c>
      <c r="BG18" s="10">
        <f t="shared" si="11"/>
        <v>361.2772319320282</v>
      </c>
      <c r="BH18" s="10">
        <f t="shared" si="12"/>
        <v>347.27737098715346</v>
      </c>
    </row>
    <row r="19" spans="1:60" x14ac:dyDescent="0.3">
      <c r="A19">
        <f t="shared" ca="1" si="13"/>
        <v>19</v>
      </c>
      <c r="B19" s="4">
        <f t="shared" ca="1" si="0"/>
        <v>7.3929961089494164E-2</v>
      </c>
      <c r="C19">
        <f t="shared" ca="1" si="14"/>
        <v>73.929961089494171</v>
      </c>
      <c r="E19" s="11">
        <f t="shared" si="20"/>
        <v>0.29166666666666663</v>
      </c>
      <c r="F19" s="13">
        <v>306</v>
      </c>
      <c r="G19" s="13">
        <v>328</v>
      </c>
      <c r="H19" s="13">
        <v>326</v>
      </c>
      <c r="I19" s="13">
        <v>342</v>
      </c>
      <c r="J19" s="13">
        <v>301</v>
      </c>
      <c r="K19" s="13">
        <v>302</v>
      </c>
      <c r="L19" s="13">
        <v>318</v>
      </c>
      <c r="M19" s="13">
        <v>307</v>
      </c>
      <c r="N19" s="13">
        <v>308</v>
      </c>
      <c r="O19" s="13">
        <v>332</v>
      </c>
      <c r="P19" s="13">
        <v>338</v>
      </c>
      <c r="Q19" s="13">
        <v>303</v>
      </c>
      <c r="R19" s="13">
        <v>340</v>
      </c>
      <c r="S19" s="13">
        <v>302</v>
      </c>
      <c r="T19" s="13">
        <v>317</v>
      </c>
      <c r="U19" s="13">
        <v>347</v>
      </c>
      <c r="V19" s="13">
        <v>300</v>
      </c>
      <c r="W19" s="13">
        <v>304</v>
      </c>
      <c r="X19" s="13">
        <v>349</v>
      </c>
      <c r="Y19" s="13">
        <v>347</v>
      </c>
      <c r="Z19" s="13">
        <v>344</v>
      </c>
      <c r="AA19" s="13">
        <v>342</v>
      </c>
      <c r="AB19" s="13">
        <v>348</v>
      </c>
      <c r="AC19" s="13">
        <v>321</v>
      </c>
      <c r="AD19" s="13">
        <v>337</v>
      </c>
      <c r="AE19" s="13">
        <v>335</v>
      </c>
      <c r="AF19" s="13">
        <v>350</v>
      </c>
      <c r="AG19" s="13">
        <v>326</v>
      </c>
      <c r="AI19" s="6">
        <f t="shared" si="17"/>
        <v>0.31249999999999994</v>
      </c>
      <c r="AJ19" s="7">
        <f>SUMPRODUCT('vol 1'!F20*AHT!F20+'vol 1'!M20*AHT!M20+'vol 1'!T20*AHT!T20+'vol 1'!AA20*AHT!AA20)/SUM('vol 1'!F20,'vol 1'!M20,'vol 1'!T20,'vol 1'!AA20)</f>
        <v>310.05769230769232</v>
      </c>
      <c r="AK19" s="7">
        <f>SUMPRODUCT('vol 1'!G20*AHT!G20+'vol 1'!N20*AHT!N20+'vol 1'!U20*AHT!U20+'vol 1'!AB20*AHT!AB20)/SUM('vol 1'!G20,'vol 1'!N20,'vol 1'!U20,'vol 1'!AB20)</f>
        <v>332.18446601941747</v>
      </c>
      <c r="AL19" s="7">
        <f>SUMPRODUCT('vol 1'!H20*AHT!H20+'vol 1'!O20*AHT!O20+'vol 1'!V20*AHT!V20+'vol 1'!AC20*AHT!AC20)/SUM('vol 1'!H20,'vol 1'!O20,'vol 1'!V20,'vol 1'!AC20)</f>
        <v>332.69306930693068</v>
      </c>
      <c r="AM19" s="7">
        <f>SUMPRODUCT('vol 1'!I20*AHT!I20+'vol 1'!P20*AHT!P20+'vol 1'!W20*AHT!W20+'vol 1'!AD20*AHT!AD20)/SUM('vol 1'!I20,'vol 1'!P20,'vol 1'!W20,'vol 1'!AD20)</f>
        <v>316.60000000000002</v>
      </c>
      <c r="AN19" s="7">
        <f>SUMPRODUCT('vol 1'!J20*AHT!J20+'vol 1'!Q20*AHT!Q20+'vol 1'!X20*AHT!X20+'vol 1'!AE20*AHT!AE20)/SUM('vol 1'!J20,'vol 1'!Q20,'vol 1'!X20,'vol 1'!AE20)</f>
        <v>316.62</v>
      </c>
      <c r="AO19" s="7">
        <f>SUMPRODUCT('vol 1'!K20*AHT!K20+'vol 1'!R20*AHT!R20+'vol 1'!Y20*AHT!Y20+'vol 1'!AF20*AHT!AF20)/SUM('vol 1'!K20,'vol 1'!R20,'vol 1'!Y20,'vol 1'!AF20)</f>
        <v>321.8095238095238</v>
      </c>
      <c r="AP19" s="7">
        <f>SUMPRODUCT('vol 1'!L20*AHT!L20+'vol 1'!S20*AHT!S20+'vol 1'!Z20*AHT!Z20+'vol 1'!AG20*AHT!AG20)/SUM('vol 1'!L20,'vol 1'!S20,'vol 1'!Z20,'vol 1'!AG20)</f>
        <v>319.35416666666669</v>
      </c>
      <c r="AR19" s="6">
        <f t="shared" si="18"/>
        <v>0.31249999999999994</v>
      </c>
      <c r="AS19" s="8">
        <f t="shared" si="15"/>
        <v>0.95532840036657585</v>
      </c>
      <c r="AT19" s="8">
        <f t="shared" si="1"/>
        <v>1.0210090813442307</v>
      </c>
      <c r="AU19" s="8">
        <f t="shared" si="2"/>
        <v>1.022697280243533</v>
      </c>
      <c r="AV19" s="8">
        <f t="shared" si="3"/>
        <v>0.97135174422729964</v>
      </c>
      <c r="AW19" s="8">
        <f t="shared" si="4"/>
        <v>0.97362656121286062</v>
      </c>
      <c r="AX19" s="8">
        <f t="shared" si="5"/>
        <v>0.9900895142952677</v>
      </c>
      <c r="AY19" s="8">
        <f t="shared" si="6"/>
        <v>0.98195261348526808</v>
      </c>
      <c r="BA19" s="6">
        <f t="shared" si="19"/>
        <v>0.31249999999999994</v>
      </c>
      <c r="BB19" s="10">
        <f t="shared" si="16"/>
        <v>333.67669974347348</v>
      </c>
      <c r="BC19" s="10">
        <f t="shared" si="7"/>
        <v>357.48900632792754</v>
      </c>
      <c r="BD19" s="10">
        <f t="shared" si="8"/>
        <v>358.03635306586199</v>
      </c>
      <c r="BE19" s="10">
        <f t="shared" si="9"/>
        <v>340.71737537783002</v>
      </c>
      <c r="BF19" s="10">
        <f t="shared" si="10"/>
        <v>340.73889890122712</v>
      </c>
      <c r="BG19" s="10">
        <f t="shared" si="11"/>
        <v>346.32374075796025</v>
      </c>
      <c r="BH19" s="10">
        <f t="shared" si="12"/>
        <v>343.68134391232076</v>
      </c>
    </row>
    <row r="20" spans="1:60" x14ac:dyDescent="0.3">
      <c r="A20">
        <f t="shared" ca="1" si="13"/>
        <v>11</v>
      </c>
      <c r="B20" s="4">
        <f t="shared" ca="1" si="0"/>
        <v>4.2801556420233464E-2</v>
      </c>
      <c r="C20">
        <f t="shared" ca="1" si="14"/>
        <v>42.80155642023346</v>
      </c>
      <c r="E20" s="11">
        <f t="shared" si="20"/>
        <v>0.31249999999999994</v>
      </c>
      <c r="F20" s="13">
        <v>301</v>
      </c>
      <c r="G20" s="13">
        <v>347</v>
      </c>
      <c r="H20" s="13">
        <v>317</v>
      </c>
      <c r="I20" s="13">
        <v>303</v>
      </c>
      <c r="J20" s="13">
        <v>314</v>
      </c>
      <c r="K20" s="13">
        <v>336</v>
      </c>
      <c r="L20" s="13">
        <v>316</v>
      </c>
      <c r="M20" s="13">
        <v>330</v>
      </c>
      <c r="N20" s="13">
        <v>317</v>
      </c>
      <c r="O20" s="13">
        <v>332</v>
      </c>
      <c r="P20" s="13">
        <v>305</v>
      </c>
      <c r="Q20" s="13">
        <v>332</v>
      </c>
      <c r="R20" s="13">
        <v>310</v>
      </c>
      <c r="S20" s="13">
        <v>324</v>
      </c>
      <c r="T20" s="13">
        <v>311</v>
      </c>
      <c r="U20" s="13">
        <v>333</v>
      </c>
      <c r="V20" s="13">
        <v>327</v>
      </c>
      <c r="W20" s="13">
        <v>342</v>
      </c>
      <c r="X20" s="13">
        <v>310</v>
      </c>
      <c r="Y20" s="13">
        <v>316</v>
      </c>
      <c r="Z20" s="13">
        <v>323</v>
      </c>
      <c r="AA20" s="13">
        <v>300</v>
      </c>
      <c r="AB20" s="13">
        <v>333</v>
      </c>
      <c r="AC20" s="13">
        <v>350</v>
      </c>
      <c r="AD20" s="13">
        <v>316</v>
      </c>
      <c r="AE20" s="13">
        <v>306</v>
      </c>
      <c r="AF20" s="13">
        <v>326</v>
      </c>
      <c r="AG20" s="13">
        <v>314</v>
      </c>
      <c r="AI20" s="6">
        <f>AI19+"00:30"</f>
        <v>0.33333333333333326</v>
      </c>
      <c r="AJ20" s="7">
        <f>SUMPRODUCT('vol 1'!F21*AHT!F21+'vol 1'!M21*AHT!M21+'vol 1'!T21*AHT!T21+'vol 1'!AA21*AHT!AA21)/SUM('vol 1'!F21,'vol 1'!M21,'vol 1'!T21,'vol 1'!AA21)</f>
        <v>322.126213592233</v>
      </c>
      <c r="AK20" s="7">
        <f>SUMPRODUCT('vol 1'!G21*AHT!G21+'vol 1'!N21*AHT!N21+'vol 1'!U21*AHT!U21+'vol 1'!AB21*AHT!AB21)/SUM('vol 1'!G21,'vol 1'!N21,'vol 1'!U21,'vol 1'!AB21)</f>
        <v>332.82</v>
      </c>
      <c r="AL20" s="7">
        <f>SUMPRODUCT('vol 1'!H21*AHT!H21+'vol 1'!O21*AHT!O21+'vol 1'!V21*AHT!V21+'vol 1'!AC21*AHT!AC21)/SUM('vol 1'!H21,'vol 1'!O21,'vol 1'!V21,'vol 1'!AC21)</f>
        <v>320.0204081632653</v>
      </c>
      <c r="AM20" s="7">
        <f>SUMPRODUCT('vol 1'!I21*AHT!I21+'vol 1'!P21*AHT!P21+'vol 1'!W21*AHT!W21+'vol 1'!AD21*AHT!AD21)/SUM('vol 1'!I21,'vol 1'!P21,'vol 1'!W21,'vol 1'!AD21)</f>
        <v>334.7216494845361</v>
      </c>
      <c r="AN20" s="7">
        <f>SUMPRODUCT('vol 1'!J21*AHT!J21+'vol 1'!Q21*AHT!Q21+'vol 1'!X21*AHT!X21+'vol 1'!AE21*AHT!AE21)/SUM('vol 1'!J21,'vol 1'!Q21,'vol 1'!X21,'vol 1'!AE21)</f>
        <v>336.5090909090909</v>
      </c>
      <c r="AO20" s="7">
        <f>SUMPRODUCT('vol 1'!K21*AHT!K21+'vol 1'!R21*AHT!R21+'vol 1'!Y21*AHT!Y21+'vol 1'!AF21*AHT!AF21)/SUM('vol 1'!K21,'vol 1'!R21,'vol 1'!Y21,'vol 1'!AF21)</f>
        <v>317.64423076923077</v>
      </c>
      <c r="AP20" s="7">
        <f>SUMPRODUCT('vol 1'!L21*AHT!L21+'vol 1'!S21*AHT!S21+'vol 1'!Z21*AHT!Z21+'vol 1'!AG21*AHT!AG21)/SUM('vol 1'!L21,'vol 1'!S21,'vol 1'!Z21,'vol 1'!AG21)</f>
        <v>323.89</v>
      </c>
      <c r="AR20" s="6">
        <f>AR19+"00:30"</f>
        <v>0.33333333333333326</v>
      </c>
      <c r="AS20" s="8">
        <f t="shared" si="15"/>
        <v>0.9925130966975696</v>
      </c>
      <c r="AT20" s="8">
        <f t="shared" si="1"/>
        <v>1.0229624718006034</v>
      </c>
      <c r="AU20" s="8">
        <f t="shared" si="2"/>
        <v>0.98374156616126052</v>
      </c>
      <c r="AV20" s="8">
        <f t="shared" si="3"/>
        <v>1.0269502781346902</v>
      </c>
      <c r="AW20" s="8">
        <f t="shared" si="4"/>
        <v>1.0347867759417728</v>
      </c>
      <c r="AX20" s="8">
        <f t="shared" si="5"/>
        <v>0.97727443997943697</v>
      </c>
      <c r="AY20" s="8">
        <f t="shared" si="6"/>
        <v>0.99589942821604049</v>
      </c>
      <c r="BA20" s="6">
        <f>BA19+"00:30"</f>
        <v>0.33333333333333326</v>
      </c>
      <c r="BB20" s="10">
        <f t="shared" si="16"/>
        <v>346.66455475535025</v>
      </c>
      <c r="BC20" s="10">
        <f t="shared" si="7"/>
        <v>358.172952852967</v>
      </c>
      <c r="BD20" s="10">
        <f t="shared" si="8"/>
        <v>344.39833713433239</v>
      </c>
      <c r="BE20" s="10">
        <f t="shared" si="9"/>
        <v>360.21946271165228</v>
      </c>
      <c r="BF20" s="10">
        <f t="shared" si="10"/>
        <v>362.14306457777963</v>
      </c>
      <c r="BG20" s="10">
        <f t="shared" si="11"/>
        <v>341.8411516475112</v>
      </c>
      <c r="BH20" s="10">
        <f t="shared" si="12"/>
        <v>348.56269965611284</v>
      </c>
    </row>
    <row r="21" spans="1:60" x14ac:dyDescent="0.3">
      <c r="A21">
        <f t="shared" ca="1" si="13"/>
        <v>13</v>
      </c>
      <c r="B21" s="4">
        <f t="shared" ca="1" si="0"/>
        <v>5.0583657587548639E-2</v>
      </c>
      <c r="C21">
        <f t="shared" ca="1" si="14"/>
        <v>50.583657587548636</v>
      </c>
      <c r="E21" s="11">
        <f t="shared" si="20"/>
        <v>0.33333333333333326</v>
      </c>
      <c r="F21" s="13">
        <v>322</v>
      </c>
      <c r="G21" s="13">
        <v>324</v>
      </c>
      <c r="H21" s="13">
        <v>337</v>
      </c>
      <c r="I21" s="13">
        <v>335</v>
      </c>
      <c r="J21" s="13">
        <v>344</v>
      </c>
      <c r="K21" s="13">
        <v>318</v>
      </c>
      <c r="L21" s="13">
        <v>332</v>
      </c>
      <c r="M21" s="13">
        <v>310</v>
      </c>
      <c r="N21" s="13">
        <v>342</v>
      </c>
      <c r="O21" s="13">
        <v>338</v>
      </c>
      <c r="P21" s="13">
        <v>330</v>
      </c>
      <c r="Q21" s="13">
        <v>336</v>
      </c>
      <c r="R21" s="13">
        <v>321</v>
      </c>
      <c r="S21" s="13">
        <v>322</v>
      </c>
      <c r="T21" s="13">
        <v>319</v>
      </c>
      <c r="U21" s="13">
        <v>338</v>
      </c>
      <c r="V21" s="13">
        <v>302</v>
      </c>
      <c r="W21" s="13">
        <v>348</v>
      </c>
      <c r="X21" s="13">
        <v>344</v>
      </c>
      <c r="Y21" s="13">
        <v>315</v>
      </c>
      <c r="Z21" s="13">
        <v>345</v>
      </c>
      <c r="AA21" s="13">
        <v>336</v>
      </c>
      <c r="AB21" s="13">
        <v>329</v>
      </c>
      <c r="AC21" s="13">
        <v>300</v>
      </c>
      <c r="AD21" s="13">
        <v>328</v>
      </c>
      <c r="AE21" s="13">
        <v>322</v>
      </c>
      <c r="AF21" s="13">
        <v>317</v>
      </c>
      <c r="AG21" s="13">
        <v>302</v>
      </c>
      <c r="AI21" s="6">
        <f t="shared" si="17"/>
        <v>0.35416666666666657</v>
      </c>
      <c r="AJ21" s="7">
        <f>SUMPRODUCT('vol 1'!F22*AHT!F22+'vol 1'!M22*AHT!M22+'vol 1'!T22*AHT!T22+'vol 1'!AA22*AHT!AA22)/SUM('vol 1'!F22,'vol 1'!M22,'vol 1'!T22,'vol 1'!AA22)</f>
        <v>318.66055045871559</v>
      </c>
      <c r="AK21" s="7">
        <f>SUMPRODUCT('vol 1'!G22*AHT!G22+'vol 1'!N22*AHT!N22+'vol 1'!U22*AHT!U22+'vol 1'!AB22*AHT!AB22)/SUM('vol 1'!G22,'vol 1'!N22,'vol 1'!U22,'vol 1'!AB22)</f>
        <v>321.24038461538464</v>
      </c>
      <c r="AL21" s="7">
        <f>SUMPRODUCT('vol 1'!H22*AHT!H22+'vol 1'!O22*AHT!O22+'vol 1'!V22*AHT!V22+'vol 1'!AC22*AHT!AC22)/SUM('vol 1'!H22,'vol 1'!O22,'vol 1'!V22,'vol 1'!AC22)</f>
        <v>320.03370786516854</v>
      </c>
      <c r="AM21" s="7">
        <f>SUMPRODUCT('vol 1'!I22*AHT!I22+'vol 1'!P22*AHT!P22+'vol 1'!W22*AHT!W22+'vol 1'!AD22*AHT!AD22)/SUM('vol 1'!I22,'vol 1'!P22,'vol 1'!W22,'vol 1'!AD22)</f>
        <v>331.36734693877548</v>
      </c>
      <c r="AN21" s="7">
        <f>SUMPRODUCT('vol 1'!J22*AHT!J22+'vol 1'!Q22*AHT!Q22+'vol 1'!X22*AHT!X22+'vol 1'!AE22*AHT!AE22)/SUM('vol 1'!J22,'vol 1'!Q22,'vol 1'!X22,'vol 1'!AE22)</f>
        <v>329.02752293577981</v>
      </c>
      <c r="AO21" s="7">
        <f>SUMPRODUCT('vol 1'!K22*AHT!K22+'vol 1'!R22*AHT!R22+'vol 1'!Y22*AHT!Y22+'vol 1'!AF22*AHT!AF22)/SUM('vol 1'!K22,'vol 1'!R22,'vol 1'!Y22,'vol 1'!AF22)</f>
        <v>323.4375</v>
      </c>
      <c r="AP21" s="7">
        <f>SUMPRODUCT('vol 1'!L22*AHT!L22+'vol 1'!S22*AHT!S22+'vol 1'!Z22*AHT!Z22+'vol 1'!AG22*AHT!AG22)/SUM('vol 1'!L22,'vol 1'!S22,'vol 1'!Z22,'vol 1'!AG22)</f>
        <v>325.50526315789472</v>
      </c>
      <c r="AR21" s="6">
        <f t="shared" ref="AR21:AR22" si="21">AR20+"00:30"</f>
        <v>0.35416666666666657</v>
      </c>
      <c r="AS21" s="8">
        <f t="shared" si="15"/>
        <v>0.98183493421461132</v>
      </c>
      <c r="AT21" s="8">
        <f t="shared" si="1"/>
        <v>0.98737112519779591</v>
      </c>
      <c r="AU21" s="8">
        <f t="shared" si="2"/>
        <v>0.98378244939634807</v>
      </c>
      <c r="AV21" s="8">
        <f t="shared" si="3"/>
        <v>1.0166590348356042</v>
      </c>
      <c r="AW21" s="8">
        <f t="shared" si="4"/>
        <v>1.0117804803876853</v>
      </c>
      <c r="AX21" s="8">
        <f t="shared" si="5"/>
        <v>0.99509819811739997</v>
      </c>
      <c r="AY21" s="8">
        <f t="shared" si="6"/>
        <v>1.0008660516232646</v>
      </c>
      <c r="BA21" s="6">
        <f t="shared" ref="BA21:BA22" si="22">BA20+"00:30"</f>
        <v>0.35416666666666657</v>
      </c>
      <c r="BB21" s="10">
        <f t="shared" si="16"/>
        <v>342.93489067829478</v>
      </c>
      <c r="BC21" s="10">
        <f t="shared" si="7"/>
        <v>345.71124671989412</v>
      </c>
      <c r="BD21" s="10">
        <f t="shared" si="8"/>
        <v>344.4126499565869</v>
      </c>
      <c r="BE21" s="10">
        <f t="shared" si="9"/>
        <v>356.60964224540237</v>
      </c>
      <c r="BF21" s="10">
        <f t="shared" si="10"/>
        <v>354.09157941171077</v>
      </c>
      <c r="BG21" s="10">
        <f t="shared" si="11"/>
        <v>348.075729939251</v>
      </c>
      <c r="BH21" s="10">
        <f t="shared" si="12"/>
        <v>350.3010073746928</v>
      </c>
    </row>
    <row r="22" spans="1:60" x14ac:dyDescent="0.3">
      <c r="A22">
        <f t="shared" ca="1" si="13"/>
        <v>19</v>
      </c>
      <c r="B22" s="4">
        <f t="shared" ca="1" si="0"/>
        <v>7.3929961089494164E-2</v>
      </c>
      <c r="C22">
        <f t="shared" ca="1" si="14"/>
        <v>73.929961089494171</v>
      </c>
      <c r="E22" s="11">
        <f t="shared" si="20"/>
        <v>0.35416666666666657</v>
      </c>
      <c r="F22" s="13">
        <v>316</v>
      </c>
      <c r="G22" s="13">
        <v>339</v>
      </c>
      <c r="H22" s="13">
        <v>301</v>
      </c>
      <c r="I22" s="13">
        <v>330</v>
      </c>
      <c r="J22" s="13">
        <v>338</v>
      </c>
      <c r="K22" s="13">
        <v>343</v>
      </c>
      <c r="L22" s="13">
        <v>350</v>
      </c>
      <c r="M22" s="13">
        <v>316</v>
      </c>
      <c r="N22" s="13">
        <v>314</v>
      </c>
      <c r="O22" s="13">
        <v>342</v>
      </c>
      <c r="P22" s="13">
        <v>334</v>
      </c>
      <c r="Q22" s="13">
        <v>302</v>
      </c>
      <c r="R22" s="13">
        <v>319</v>
      </c>
      <c r="S22" s="13">
        <v>301</v>
      </c>
      <c r="T22" s="13">
        <v>323</v>
      </c>
      <c r="U22" s="13">
        <v>318</v>
      </c>
      <c r="V22" s="13">
        <v>315</v>
      </c>
      <c r="W22" s="13">
        <v>314</v>
      </c>
      <c r="X22" s="13">
        <v>335</v>
      </c>
      <c r="Y22" s="13">
        <v>306</v>
      </c>
      <c r="Z22" s="13">
        <v>337</v>
      </c>
      <c r="AA22" s="13">
        <v>319</v>
      </c>
      <c r="AB22" s="13">
        <v>318</v>
      </c>
      <c r="AC22" s="13">
        <v>317</v>
      </c>
      <c r="AD22" s="13">
        <v>347</v>
      </c>
      <c r="AE22" s="13">
        <v>338</v>
      </c>
      <c r="AF22" s="13">
        <v>333</v>
      </c>
      <c r="AG22" s="13">
        <v>313</v>
      </c>
      <c r="AI22" s="6">
        <f t="shared" si="17"/>
        <v>0.37499999999999989</v>
      </c>
      <c r="AJ22" s="7">
        <f>SUMPRODUCT('vol 1'!F23*AHT!F23+'vol 1'!M23*AHT!M23+'vol 1'!T23*AHT!T23+'vol 1'!AA23*AHT!AA23)/SUM('vol 1'!F23,'vol 1'!M23,'vol 1'!T23,'vol 1'!AA23)</f>
        <v>326.40206185567013</v>
      </c>
      <c r="AK22" s="7">
        <f>SUMPRODUCT('vol 1'!G23*AHT!G23+'vol 1'!N23*AHT!N23+'vol 1'!U23*AHT!U23+'vol 1'!AB23*AHT!AB23)/SUM('vol 1'!G23,'vol 1'!N23,'vol 1'!U23,'vol 1'!AB23)</f>
        <v>334.24175824175825</v>
      </c>
      <c r="AL22" s="7">
        <f>SUMPRODUCT('vol 1'!H23*AHT!H23+'vol 1'!O23*AHT!O23+'vol 1'!V23*AHT!V23+'vol 1'!AC23*AHT!AC23)/SUM('vol 1'!H23,'vol 1'!O23,'vol 1'!V23,'vol 1'!AC23)</f>
        <v>324.85046728971963</v>
      </c>
      <c r="AM22" s="7">
        <f>SUMPRODUCT('vol 1'!I23*AHT!I23+'vol 1'!P23*AHT!P23+'vol 1'!W23*AHT!W23+'vol 1'!AD23*AHT!AD23)/SUM('vol 1'!I23,'vol 1'!P23,'vol 1'!W23,'vol 1'!AD23)</f>
        <v>318.57575757575756</v>
      </c>
      <c r="AN22" s="7">
        <f>SUMPRODUCT('vol 1'!J23*AHT!J23+'vol 1'!Q23*AHT!Q23+'vol 1'!X23*AHT!X23+'vol 1'!AE23*AHT!AE23)/SUM('vol 1'!J23,'vol 1'!Q23,'vol 1'!X23,'vol 1'!AE23)</f>
        <v>330.56565656565658</v>
      </c>
      <c r="AO22" s="7">
        <f>SUMPRODUCT('vol 1'!K23*AHT!K23+'vol 1'!R23*AHT!R23+'vol 1'!Y23*AHT!Y23+'vol 1'!AF23*AHT!AF23)/SUM('vol 1'!K23,'vol 1'!R23,'vol 1'!Y23,'vol 1'!AF23)</f>
        <v>313.83168316831683</v>
      </c>
      <c r="AP22" s="7">
        <f>SUMPRODUCT('vol 1'!L23*AHT!L23+'vol 1'!S23*AHT!S23+'vol 1'!Z23*AHT!Z23+'vol 1'!AG23*AHT!AG23)/SUM('vol 1'!L23,'vol 1'!S23,'vol 1'!Z23,'vol 1'!AG23)</f>
        <v>337.34042553191489</v>
      </c>
      <c r="AR22" s="6">
        <f t="shared" si="21"/>
        <v>0.37499999999999989</v>
      </c>
      <c r="AS22" s="8">
        <f t="shared" si="15"/>
        <v>1.0056875457857926</v>
      </c>
      <c r="AT22" s="8">
        <f t="shared" si="1"/>
        <v>1.0273324174928453</v>
      </c>
      <c r="AU22" s="8">
        <f t="shared" si="2"/>
        <v>0.9985891502793508</v>
      </c>
      <c r="AV22" s="8">
        <f t="shared" si="3"/>
        <v>0.97741351165428136</v>
      </c>
      <c r="AW22" s="8">
        <f t="shared" si="4"/>
        <v>1.0165103387565273</v>
      </c>
      <c r="AX22" s="8">
        <f t="shared" si="5"/>
        <v>0.9655446336090987</v>
      </c>
      <c r="AY22" s="8">
        <f t="shared" si="6"/>
        <v>1.0372568986427178</v>
      </c>
      <c r="BA22" s="6">
        <f t="shared" si="22"/>
        <v>0.37499999999999989</v>
      </c>
      <c r="BB22" s="10">
        <f t="shared" si="16"/>
        <v>351.26612076240065</v>
      </c>
      <c r="BC22" s="10">
        <f t="shared" si="7"/>
        <v>359.70301519205003</v>
      </c>
      <c r="BD22" s="10">
        <f t="shared" si="8"/>
        <v>349.59633166523969</v>
      </c>
      <c r="BE22" s="10">
        <f t="shared" si="9"/>
        <v>342.84363859828164</v>
      </c>
      <c r="BF22" s="10">
        <f t="shared" si="10"/>
        <v>355.74688217024516</v>
      </c>
      <c r="BG22" s="10">
        <f t="shared" si="11"/>
        <v>337.73817877294886</v>
      </c>
      <c r="BH22" s="10">
        <f t="shared" si="12"/>
        <v>363.03772708804274</v>
      </c>
    </row>
    <row r="23" spans="1:60" x14ac:dyDescent="0.3">
      <c r="A23">
        <f t="shared" ca="1" si="13"/>
        <v>20</v>
      </c>
      <c r="B23" s="4">
        <f t="shared" ca="1" si="0"/>
        <v>7.7821011673151752E-2</v>
      </c>
      <c r="C23">
        <f t="shared" ca="1" si="14"/>
        <v>77.821011673151759</v>
      </c>
      <c r="E23" s="11">
        <f t="shared" si="20"/>
        <v>0.37499999999999989</v>
      </c>
      <c r="F23" s="13">
        <v>313</v>
      </c>
      <c r="G23" s="13">
        <v>336</v>
      </c>
      <c r="H23" s="13">
        <v>321</v>
      </c>
      <c r="I23" s="13">
        <v>325</v>
      </c>
      <c r="J23" s="13">
        <v>346</v>
      </c>
      <c r="K23" s="13">
        <v>315</v>
      </c>
      <c r="L23" s="13">
        <v>345</v>
      </c>
      <c r="M23" s="13">
        <v>316</v>
      </c>
      <c r="N23" s="13">
        <v>332</v>
      </c>
      <c r="O23" s="13">
        <v>349</v>
      </c>
      <c r="P23" s="13">
        <v>320</v>
      </c>
      <c r="Q23" s="13">
        <v>347</v>
      </c>
      <c r="R23" s="13">
        <v>319</v>
      </c>
      <c r="S23" s="13">
        <v>348</v>
      </c>
      <c r="T23" s="13">
        <v>332</v>
      </c>
      <c r="U23" s="13">
        <v>338</v>
      </c>
      <c r="V23" s="13">
        <v>313</v>
      </c>
      <c r="W23" s="13">
        <v>313</v>
      </c>
      <c r="X23" s="13">
        <v>325</v>
      </c>
      <c r="Y23" s="13">
        <v>305</v>
      </c>
      <c r="Z23" s="13">
        <v>312</v>
      </c>
      <c r="AA23" s="13">
        <v>347</v>
      </c>
      <c r="AB23" s="13">
        <v>332</v>
      </c>
      <c r="AC23" s="13">
        <v>315</v>
      </c>
      <c r="AD23" s="13">
        <v>315</v>
      </c>
      <c r="AE23" s="13">
        <v>305</v>
      </c>
      <c r="AF23" s="13">
        <v>317</v>
      </c>
      <c r="AG23" s="13">
        <v>340</v>
      </c>
      <c r="AI23" s="6">
        <f>AI22+"00:30"</f>
        <v>0.3958333333333332</v>
      </c>
      <c r="AJ23" s="7">
        <f>SUMPRODUCT('vol 1'!F24*AHT!F24+'vol 1'!M24*AHT!M24+'vol 1'!T24*AHT!T24+'vol 1'!AA24*AHT!AA24)/SUM('vol 1'!F24,'vol 1'!M24,'vol 1'!T24,'vol 1'!AA24)</f>
        <v>317.02806122448982</v>
      </c>
      <c r="AK23" s="7">
        <f>SUMPRODUCT('vol 1'!G24*AHT!G24+'vol 1'!N24*AHT!N24+'vol 1'!U24*AHT!U24+'vol 1'!AB24*AHT!AB24)/SUM('vol 1'!G24,'vol 1'!N24,'vol 1'!U24,'vol 1'!AB24)</f>
        <v>319.61538461538464</v>
      </c>
      <c r="AL23" s="7">
        <f>SUMPRODUCT('vol 1'!H24*AHT!H24+'vol 1'!O24*AHT!O24+'vol 1'!V24*AHT!V24+'vol 1'!AC24*AHT!AC24)/SUM('vol 1'!H24,'vol 1'!O24,'vol 1'!V24,'vol 1'!AC24)</f>
        <v>322.67050691244242</v>
      </c>
      <c r="AM23" s="7">
        <f>SUMPRODUCT('vol 1'!I24*AHT!I24+'vol 1'!P24*AHT!P24+'vol 1'!W24*AHT!W24+'vol 1'!AD24*AHT!AD24)/SUM('vol 1'!I24,'vol 1'!P24,'vol 1'!W24,'vol 1'!AD24)</f>
        <v>306.54972375690608</v>
      </c>
      <c r="AN23" s="7">
        <f>SUMPRODUCT('vol 1'!J24*AHT!J24+'vol 1'!Q24*AHT!Q24+'vol 1'!X24*AHT!X24+'vol 1'!AE24*AHT!AE24)/SUM('vol 1'!J24,'vol 1'!Q24,'vol 1'!X24,'vol 1'!AE24)</f>
        <v>332.49275362318838</v>
      </c>
      <c r="AO23" s="7">
        <f>SUMPRODUCT('vol 1'!K24*AHT!K24+'vol 1'!R24*AHT!R24+'vol 1'!Y24*AHT!Y24+'vol 1'!AF24*AHT!AF24)/SUM('vol 1'!K24,'vol 1'!R24,'vol 1'!Y24,'vol 1'!AF24)</f>
        <v>318.76630434782606</v>
      </c>
      <c r="AP23" s="7">
        <f>SUMPRODUCT('vol 1'!L24*AHT!L24+'vol 1'!S24*AHT!S24+'vol 1'!Z24*AHT!Z24+'vol 1'!AG24*AHT!AG24)/SUM('vol 1'!L24,'vol 1'!S24,'vol 1'!Z24,'vol 1'!AG24)</f>
        <v>324.61</v>
      </c>
      <c r="AR23" s="6">
        <f>AR22+"00:30"</f>
        <v>0.3958333333333332</v>
      </c>
      <c r="AS23" s="8">
        <f t="shared" si="15"/>
        <v>0.97680502085512955</v>
      </c>
      <c r="AT23" s="8">
        <f t="shared" si="1"/>
        <v>0.98237649141173744</v>
      </c>
      <c r="AU23" s="8">
        <f t="shared" si="2"/>
        <v>0.9918879600395768</v>
      </c>
      <c r="AV23" s="8">
        <f t="shared" si="3"/>
        <v>0.94051676836281606</v>
      </c>
      <c r="AW23" s="8">
        <f t="shared" si="4"/>
        <v>1.0224362843103398</v>
      </c>
      <c r="AX23" s="8">
        <f t="shared" si="5"/>
        <v>0.98072664758126205</v>
      </c>
      <c r="AY23" s="8">
        <f t="shared" si="6"/>
        <v>0.9981132896761522</v>
      </c>
      <c r="BA23" s="6">
        <f>BA22+"00:30"</f>
        <v>0.3958333333333332</v>
      </c>
      <c r="BB23" s="10">
        <f t="shared" si="16"/>
        <v>341.17804466686721</v>
      </c>
      <c r="BC23" s="10">
        <f t="shared" si="7"/>
        <v>343.96246044387084</v>
      </c>
      <c r="BD23" s="10">
        <f t="shared" si="8"/>
        <v>347.25031025597389</v>
      </c>
      <c r="BE23" s="10">
        <f t="shared" si="9"/>
        <v>329.90150758449732</v>
      </c>
      <c r="BF23" s="10">
        <f t="shared" si="10"/>
        <v>357.82077810056916</v>
      </c>
      <c r="BG23" s="10">
        <f t="shared" si="11"/>
        <v>343.04870049362552</v>
      </c>
      <c r="BH23" s="10">
        <f t="shared" si="12"/>
        <v>349.33754649841245</v>
      </c>
    </row>
    <row r="24" spans="1:60" x14ac:dyDescent="0.3">
      <c r="A24">
        <f t="shared" ca="1" si="13"/>
        <v>11</v>
      </c>
      <c r="B24" s="4">
        <f t="shared" ca="1" si="0"/>
        <v>4.2801556420233464E-2</v>
      </c>
      <c r="C24">
        <f t="shared" ca="1" si="14"/>
        <v>42.80155642023346</v>
      </c>
      <c r="E24" s="11">
        <f t="shared" si="20"/>
        <v>0.3958333333333332</v>
      </c>
      <c r="F24" s="13">
        <v>330</v>
      </c>
      <c r="G24" s="13">
        <v>314</v>
      </c>
      <c r="H24" s="13">
        <v>304</v>
      </c>
      <c r="I24" s="13">
        <v>301</v>
      </c>
      <c r="J24" s="13">
        <v>314</v>
      </c>
      <c r="K24" s="13">
        <v>322</v>
      </c>
      <c r="L24" s="13">
        <v>313</v>
      </c>
      <c r="M24" s="13">
        <v>308</v>
      </c>
      <c r="N24" s="13">
        <v>301</v>
      </c>
      <c r="O24" s="13">
        <v>347</v>
      </c>
      <c r="P24" s="13">
        <v>317</v>
      </c>
      <c r="Q24" s="13">
        <v>348</v>
      </c>
      <c r="R24" s="13">
        <v>307</v>
      </c>
      <c r="S24" s="13">
        <v>340</v>
      </c>
      <c r="T24" s="13">
        <v>320</v>
      </c>
      <c r="U24" s="13">
        <v>325</v>
      </c>
      <c r="V24" s="13">
        <v>321</v>
      </c>
      <c r="W24" s="13">
        <v>301</v>
      </c>
      <c r="X24" s="13">
        <v>340</v>
      </c>
      <c r="Y24" s="13">
        <v>329</v>
      </c>
      <c r="Z24" s="13">
        <v>301</v>
      </c>
      <c r="AA24" s="13">
        <v>309</v>
      </c>
      <c r="AB24" s="13">
        <v>340</v>
      </c>
      <c r="AC24" s="13">
        <v>322</v>
      </c>
      <c r="AD24" s="13">
        <v>306</v>
      </c>
      <c r="AE24" s="13">
        <v>330</v>
      </c>
      <c r="AF24" s="13">
        <v>316</v>
      </c>
      <c r="AG24" s="13">
        <v>344</v>
      </c>
      <c r="AI24" s="6">
        <f t="shared" si="17"/>
        <v>0.41666666666666652</v>
      </c>
      <c r="AJ24" s="7">
        <f>SUMPRODUCT('vol 1'!F25*AHT!F25+'vol 1'!M25*AHT!M25+'vol 1'!T25*AHT!T25+'vol 1'!AA25*AHT!AA25)/SUM('vol 1'!F25,'vol 1'!M25,'vol 1'!T25,'vol 1'!AA25)</f>
        <v>308.16759776536315</v>
      </c>
      <c r="AK24" s="7">
        <f>SUMPRODUCT('vol 1'!G25*AHT!G25+'vol 1'!N25*AHT!N25+'vol 1'!U25*AHT!U25+'vol 1'!AB25*AHT!AB25)/SUM('vol 1'!G25,'vol 1'!N25,'vol 1'!U25,'vol 1'!AB25)</f>
        <v>315.58904109589042</v>
      </c>
      <c r="AL24" s="7">
        <f>SUMPRODUCT('vol 1'!H25*AHT!H25+'vol 1'!O25*AHT!O25+'vol 1'!V25*AHT!V25+'vol 1'!AC25*AHT!AC25)/SUM('vol 1'!H25,'vol 1'!O25,'vol 1'!V25,'vol 1'!AC25)</f>
        <v>321.91578947368419</v>
      </c>
      <c r="AM24" s="7">
        <f>SUMPRODUCT('vol 1'!I25*AHT!I25+'vol 1'!P25*AHT!P25+'vol 1'!W25*AHT!W25+'vol 1'!AD25*AHT!AD25)/SUM('vol 1'!I25,'vol 1'!P25,'vol 1'!W25,'vol 1'!AD25)</f>
        <v>317.44801980198019</v>
      </c>
      <c r="AN24" s="7">
        <f>SUMPRODUCT('vol 1'!J25*AHT!J25+'vol 1'!Q25*AHT!Q25+'vol 1'!X25*AHT!X25+'vol 1'!AE25*AHT!AE25)/SUM('vol 1'!J25,'vol 1'!Q25,'vol 1'!X25,'vol 1'!AE25)</f>
        <v>329.53902439024392</v>
      </c>
      <c r="AO24" s="7">
        <f>SUMPRODUCT('vol 1'!K25*AHT!K25+'vol 1'!R25*AHT!R25+'vol 1'!Y25*AHT!Y25+'vol 1'!AF25*AHT!AF25)/SUM('vol 1'!K25,'vol 1'!R25,'vol 1'!Y25,'vol 1'!AF25)</f>
        <v>324.356783919598</v>
      </c>
      <c r="AP24" s="7">
        <f>SUMPRODUCT('vol 1'!L25*AHT!L25+'vol 1'!S25*AHT!S25+'vol 1'!Z25*AHT!Z25+'vol 1'!AG25*AHT!AG25)/SUM('vol 1'!L25,'vol 1'!S25,'vol 1'!Z25,'vol 1'!AG25)</f>
        <v>329.23589743589741</v>
      </c>
      <c r="AR24" s="6">
        <f t="shared" ref="AR24:AR27" si="23">AR23+"00:30"</f>
        <v>0.41666666666666652</v>
      </c>
      <c r="AS24" s="8">
        <f t="shared" si="15"/>
        <v>0.94950477127927346</v>
      </c>
      <c r="AT24" s="8">
        <f t="shared" si="1"/>
        <v>0.97000103825681838</v>
      </c>
      <c r="AU24" s="8">
        <f t="shared" si="2"/>
        <v>0.98956796138863301</v>
      </c>
      <c r="AV24" s="8">
        <f t="shared" si="3"/>
        <v>0.97395353043637334</v>
      </c>
      <c r="AW24" s="8">
        <f t="shared" si="4"/>
        <v>1.0133533797691687</v>
      </c>
      <c r="AX24" s="8">
        <f t="shared" si="5"/>
        <v>0.99792649654275345</v>
      </c>
      <c r="AY24" s="8">
        <f t="shared" si="6"/>
        <v>1.0123370341924889</v>
      </c>
      <c r="BA24" s="6">
        <f t="shared" ref="BA24:BA27" si="24">BA23+"00:30"</f>
        <v>0.41666666666666652</v>
      </c>
      <c r="BB24" s="10">
        <f t="shared" si="16"/>
        <v>331.64262503823545</v>
      </c>
      <c r="BC24" s="10">
        <f t="shared" si="7"/>
        <v>339.62940549651893</v>
      </c>
      <c r="BD24" s="10">
        <f t="shared" si="8"/>
        <v>346.43810133340412</v>
      </c>
      <c r="BE24" s="10">
        <f t="shared" si="9"/>
        <v>341.62999408029088</v>
      </c>
      <c r="BF24" s="10">
        <f t="shared" si="10"/>
        <v>354.64204508785406</v>
      </c>
      <c r="BG24" s="10">
        <f t="shared" si="11"/>
        <v>349.0650413868583</v>
      </c>
      <c r="BH24" s="10">
        <f t="shared" si="12"/>
        <v>354.31582708314397</v>
      </c>
    </row>
    <row r="25" spans="1:60" x14ac:dyDescent="0.3">
      <c r="E25" s="11">
        <f t="shared" si="20"/>
        <v>0.41666666666666652</v>
      </c>
      <c r="F25" s="13">
        <v>300</v>
      </c>
      <c r="G25" s="13">
        <v>304</v>
      </c>
      <c r="H25" s="13">
        <v>312</v>
      </c>
      <c r="I25" s="13">
        <v>308</v>
      </c>
      <c r="J25" s="13">
        <v>336</v>
      </c>
      <c r="K25" s="13">
        <v>313</v>
      </c>
      <c r="L25" s="13">
        <v>350</v>
      </c>
      <c r="M25" s="13">
        <v>308</v>
      </c>
      <c r="N25" s="13">
        <v>334</v>
      </c>
      <c r="O25" s="13">
        <v>340</v>
      </c>
      <c r="P25" s="13">
        <v>319</v>
      </c>
      <c r="Q25" s="13">
        <v>339</v>
      </c>
      <c r="R25" s="13">
        <v>309</v>
      </c>
      <c r="S25" s="13">
        <v>338</v>
      </c>
      <c r="T25" s="13">
        <v>325</v>
      </c>
      <c r="U25" s="13">
        <v>312</v>
      </c>
      <c r="V25" s="13">
        <v>335</v>
      </c>
      <c r="W25" s="13">
        <v>329</v>
      </c>
      <c r="X25" s="13">
        <v>321</v>
      </c>
      <c r="Y25" s="13">
        <v>341</v>
      </c>
      <c r="Z25" s="13">
        <v>303</v>
      </c>
      <c r="AA25" s="13">
        <v>302</v>
      </c>
      <c r="AB25" s="13">
        <v>312</v>
      </c>
      <c r="AC25" s="13">
        <v>305</v>
      </c>
      <c r="AD25" s="13">
        <v>312</v>
      </c>
      <c r="AE25" s="13">
        <v>321</v>
      </c>
      <c r="AF25" s="13">
        <v>337</v>
      </c>
      <c r="AG25" s="13">
        <v>322</v>
      </c>
      <c r="AI25" s="6">
        <f t="shared" si="17"/>
        <v>0.43749999999999983</v>
      </c>
      <c r="AJ25" s="7">
        <f>SUMPRODUCT('vol 1'!F26*AHT!F26+'vol 1'!M26*AHT!M26+'vol 1'!T26*AHT!T26+'vol 1'!AA26*AHT!AA26)/SUM('vol 1'!F26,'vol 1'!M26,'vol 1'!T26,'vol 1'!AA26)</f>
        <v>319.47323943661974</v>
      </c>
      <c r="AK25" s="7">
        <f>SUMPRODUCT('vol 1'!G26*AHT!G26+'vol 1'!N26*AHT!N26+'vol 1'!U26*AHT!U26+'vol 1'!AB26*AHT!AB26)/SUM('vol 1'!G26,'vol 1'!N26,'vol 1'!U26,'vol 1'!AB26)</f>
        <v>313.21739130434781</v>
      </c>
      <c r="AL25" s="7">
        <f>SUMPRODUCT('vol 1'!H26*AHT!H26+'vol 1'!O26*AHT!O26+'vol 1'!V26*AHT!V26+'vol 1'!AC26*AHT!AC26)/SUM('vol 1'!H26,'vol 1'!O26,'vol 1'!V26,'vol 1'!AC26)</f>
        <v>326.14207650273227</v>
      </c>
      <c r="AM25" s="7">
        <f>SUMPRODUCT('vol 1'!I26*AHT!I26+'vol 1'!P26*AHT!P26+'vol 1'!W26*AHT!W26+'vol 1'!AD26*AHT!AD26)/SUM('vol 1'!I26,'vol 1'!P26,'vol 1'!W26,'vol 1'!AD26)</f>
        <v>318.30215827338128</v>
      </c>
      <c r="AN25" s="7">
        <f>SUMPRODUCT('vol 1'!J26*AHT!J26+'vol 1'!Q26*AHT!Q26+'vol 1'!X26*AHT!X26+'vol 1'!AE26*AHT!AE26)/SUM('vol 1'!J26,'vol 1'!Q26,'vol 1'!X26,'vol 1'!AE26)</f>
        <v>319.72209026128269</v>
      </c>
      <c r="AO25" s="7">
        <f>SUMPRODUCT('vol 1'!K26*AHT!K26+'vol 1'!R26*AHT!R26+'vol 1'!Y26*AHT!Y26+'vol 1'!AF26*AHT!AF26)/SUM('vol 1'!K26,'vol 1'!R26,'vol 1'!Y26,'vol 1'!AF26)</f>
        <v>324.31175059952039</v>
      </c>
      <c r="AP25" s="7">
        <f>SUMPRODUCT('vol 1'!L26*AHT!L26+'vol 1'!S26*AHT!S26+'vol 1'!Z26*AHT!Z26+'vol 1'!AG26*AHT!AG26)/SUM('vol 1'!L26,'vol 1'!S26,'vol 1'!Z26,'vol 1'!AG26)</f>
        <v>333.140625</v>
      </c>
      <c r="AR25" s="6">
        <f t="shared" si="23"/>
        <v>0.43749999999999983</v>
      </c>
      <c r="AS25" s="8">
        <f t="shared" si="15"/>
        <v>0.98433893550378515</v>
      </c>
      <c r="AT25" s="8">
        <f t="shared" si="1"/>
        <v>0.96271148614756474</v>
      </c>
      <c r="AU25" s="8">
        <f t="shared" si="2"/>
        <v>1.002559552283929</v>
      </c>
      <c r="AV25" s="8">
        <f t="shared" si="3"/>
        <v>0.97657408916665478</v>
      </c>
      <c r="AW25" s="8">
        <f t="shared" si="4"/>
        <v>0.98316568531640613</v>
      </c>
      <c r="AX25" s="8">
        <f t="shared" si="5"/>
        <v>0.99778794558417738</v>
      </c>
      <c r="AY25" s="8">
        <f t="shared" si="6"/>
        <v>1.0243433201180474</v>
      </c>
      <c r="BA25" s="6">
        <f t="shared" si="24"/>
        <v>0.43749999999999983</v>
      </c>
      <c r="BB25" s="10">
        <f t="shared" si="16"/>
        <v>343.80948718982347</v>
      </c>
      <c r="BC25" s="10">
        <f t="shared" si="7"/>
        <v>337.07709250760621</v>
      </c>
      <c r="BD25" s="10">
        <f t="shared" si="8"/>
        <v>350.98633072105616</v>
      </c>
      <c r="BE25" s="10">
        <f t="shared" si="9"/>
        <v>342.54919754897384</v>
      </c>
      <c r="BF25" s="10">
        <f t="shared" si="10"/>
        <v>344.07729451717586</v>
      </c>
      <c r="BG25" s="10">
        <f t="shared" si="11"/>
        <v>349.0165776009411</v>
      </c>
      <c r="BH25" s="10">
        <f t="shared" si="12"/>
        <v>358.51800183742853</v>
      </c>
    </row>
    <row r="26" spans="1:60" x14ac:dyDescent="0.3">
      <c r="E26" s="11">
        <f t="shared" si="20"/>
        <v>0.43749999999999983</v>
      </c>
      <c r="F26" s="13">
        <v>321</v>
      </c>
      <c r="G26" s="13">
        <v>304</v>
      </c>
      <c r="H26" s="13">
        <v>335</v>
      </c>
      <c r="I26" s="13">
        <v>309</v>
      </c>
      <c r="J26" s="13">
        <v>309</v>
      </c>
      <c r="K26" s="13">
        <v>300</v>
      </c>
      <c r="L26" s="13">
        <v>329</v>
      </c>
      <c r="M26" s="13">
        <v>303</v>
      </c>
      <c r="N26" s="13">
        <v>333</v>
      </c>
      <c r="O26" s="13">
        <v>313</v>
      </c>
      <c r="P26" s="13">
        <v>348</v>
      </c>
      <c r="Q26" s="13">
        <v>329</v>
      </c>
      <c r="R26" s="13">
        <v>337</v>
      </c>
      <c r="S26" s="13">
        <v>336</v>
      </c>
      <c r="T26" s="13">
        <v>333</v>
      </c>
      <c r="U26" s="13">
        <v>313</v>
      </c>
      <c r="V26" s="13">
        <v>315</v>
      </c>
      <c r="W26" s="13">
        <v>301</v>
      </c>
      <c r="X26" s="13">
        <v>336</v>
      </c>
      <c r="Y26" s="13">
        <v>312</v>
      </c>
      <c r="Z26" s="13">
        <v>318</v>
      </c>
      <c r="AA26" s="13">
        <v>323</v>
      </c>
      <c r="AB26" s="13">
        <v>303</v>
      </c>
      <c r="AC26" s="13">
        <v>341</v>
      </c>
      <c r="AD26" s="13">
        <v>313</v>
      </c>
      <c r="AE26" s="13">
        <v>306</v>
      </c>
      <c r="AF26" s="13">
        <v>342</v>
      </c>
      <c r="AG26" s="13">
        <v>349</v>
      </c>
      <c r="AI26" s="6">
        <f t="shared" si="17"/>
        <v>0.45833333333333315</v>
      </c>
      <c r="AJ26" s="7">
        <f>SUMPRODUCT('vol 1'!F27*AHT!F27+'vol 1'!M27*AHT!M27+'vol 1'!T27*AHT!T27+'vol 1'!AA27*AHT!AA27)/SUM('vol 1'!F27,'vol 1'!M27,'vol 1'!T27,'vol 1'!AA27)</f>
        <v>334.02933333333334</v>
      </c>
      <c r="AK26" s="7">
        <f>SUMPRODUCT('vol 1'!G27*AHT!G27+'vol 1'!N27*AHT!N27+'vol 1'!U27*AHT!U27+'vol 1'!AB27*AHT!AB27)/SUM('vol 1'!G27,'vol 1'!N27,'vol 1'!U27,'vol 1'!AB27)</f>
        <v>329.15526315789475</v>
      </c>
      <c r="AL26" s="7">
        <f>SUMPRODUCT('vol 1'!H27*AHT!H27+'vol 1'!O27*AHT!O27+'vol 1'!V27*AHT!V27+'vol 1'!AC27*AHT!AC27)/SUM('vol 1'!H27,'vol 1'!O27,'vol 1'!V27,'vol 1'!AC27)</f>
        <v>326.53148614609574</v>
      </c>
      <c r="AM26" s="7">
        <f>SUMPRODUCT('vol 1'!I27*AHT!I27+'vol 1'!P27*AHT!P27+'vol 1'!W27*AHT!W27+'vol 1'!AD27*AHT!AD27)/SUM('vol 1'!I27,'vol 1'!P27,'vol 1'!W27,'vol 1'!AD27)</f>
        <v>318.34032634032633</v>
      </c>
      <c r="AN26" s="7">
        <f>SUMPRODUCT('vol 1'!J27*AHT!J27+'vol 1'!Q27*AHT!Q27+'vol 1'!X27*AHT!X27+'vol 1'!AE27*AHT!AE27)/SUM('vol 1'!J27,'vol 1'!Q27,'vol 1'!X27,'vol 1'!AE27)</f>
        <v>324.76513317191285</v>
      </c>
      <c r="AO26" s="7">
        <f>SUMPRODUCT('vol 1'!K27*AHT!K27+'vol 1'!R27*AHT!R27+'vol 1'!Y27*AHT!Y27+'vol 1'!AF27*AHT!AF27)/SUM('vol 1'!K27,'vol 1'!R27,'vol 1'!Y27,'vol 1'!AF27)</f>
        <v>341.50129870129871</v>
      </c>
      <c r="AP26" s="7">
        <f>SUMPRODUCT('vol 1'!L27*AHT!L27+'vol 1'!S27*AHT!S27+'vol 1'!Z27*AHT!Z27+'vol 1'!AG27*AHT!AG27)/SUM('vol 1'!L27,'vol 1'!S27,'vol 1'!Z27,'vol 1'!AG27)</f>
        <v>325.71527777777777</v>
      </c>
      <c r="AR26" s="6">
        <f t="shared" si="23"/>
        <v>0.45833333333333315</v>
      </c>
      <c r="AS26" s="8">
        <f t="shared" si="15"/>
        <v>1.0291881691881193</v>
      </c>
      <c r="AT26" s="8">
        <f t="shared" si="1"/>
        <v>1.0116984604476238</v>
      </c>
      <c r="AU26" s="8">
        <f t="shared" si="2"/>
        <v>1.0037565961057258</v>
      </c>
      <c r="AV26" s="8">
        <f t="shared" si="3"/>
        <v>0.97669119156210915</v>
      </c>
      <c r="AW26" s="8">
        <f t="shared" si="4"/>
        <v>0.99867336179649502</v>
      </c>
      <c r="AX26" s="8">
        <f t="shared" si="5"/>
        <v>1.0506738612325854</v>
      </c>
      <c r="AY26" s="8">
        <f t="shared" si="6"/>
        <v>1.0015118061691244</v>
      </c>
      <c r="BA26" s="6">
        <f t="shared" si="24"/>
        <v>0.45833333333333315</v>
      </c>
      <c r="BB26" s="10">
        <f t="shared" si="16"/>
        <v>359.47440856771829</v>
      </c>
      <c r="BC26" s="10">
        <f t="shared" si="7"/>
        <v>354.22905039468361</v>
      </c>
      <c r="BD26" s="10">
        <f t="shared" si="8"/>
        <v>351.40540409955781</v>
      </c>
      <c r="BE26" s="10">
        <f t="shared" si="9"/>
        <v>342.59027311306971</v>
      </c>
      <c r="BF26" s="10">
        <f t="shared" si="10"/>
        <v>349.5044971211799</v>
      </c>
      <c r="BG26" s="10">
        <f t="shared" si="11"/>
        <v>367.51555963874551</v>
      </c>
      <c r="BH26" s="10">
        <f t="shared" si="12"/>
        <v>350.52702010393324</v>
      </c>
    </row>
    <row r="27" spans="1:60" x14ac:dyDescent="0.3">
      <c r="E27" s="11">
        <f t="shared" si="20"/>
        <v>0.45833333333333315</v>
      </c>
      <c r="F27" s="13">
        <v>347</v>
      </c>
      <c r="G27" s="13">
        <v>313</v>
      </c>
      <c r="H27" s="13">
        <v>332</v>
      </c>
      <c r="I27" s="13">
        <v>311</v>
      </c>
      <c r="J27" s="13">
        <v>347</v>
      </c>
      <c r="K27" s="13">
        <v>338</v>
      </c>
      <c r="L27" s="13">
        <v>340</v>
      </c>
      <c r="M27" s="13">
        <v>330</v>
      </c>
      <c r="N27" s="13">
        <v>349</v>
      </c>
      <c r="O27" s="13">
        <v>307</v>
      </c>
      <c r="P27" s="13">
        <v>331</v>
      </c>
      <c r="Q27" s="13">
        <v>310</v>
      </c>
      <c r="R27" s="13">
        <v>336</v>
      </c>
      <c r="S27" s="13">
        <v>312</v>
      </c>
      <c r="T27" s="13">
        <v>330</v>
      </c>
      <c r="U27" s="13">
        <v>336</v>
      </c>
      <c r="V27" s="13">
        <v>347</v>
      </c>
      <c r="W27" s="13">
        <v>304</v>
      </c>
      <c r="X27" s="13">
        <v>332</v>
      </c>
      <c r="Y27" s="13">
        <v>347</v>
      </c>
      <c r="Z27" s="13">
        <v>332</v>
      </c>
      <c r="AA27" s="13">
        <v>331</v>
      </c>
      <c r="AB27" s="13">
        <v>315</v>
      </c>
      <c r="AC27" s="13">
        <v>325</v>
      </c>
      <c r="AD27" s="13">
        <v>331</v>
      </c>
      <c r="AE27" s="13">
        <v>316</v>
      </c>
      <c r="AF27" s="13">
        <v>343</v>
      </c>
      <c r="AG27" s="13">
        <v>315</v>
      </c>
      <c r="AI27" s="6">
        <f t="shared" si="17"/>
        <v>0.47916666666666646</v>
      </c>
      <c r="AJ27" s="7">
        <f>SUMPRODUCT('vol 1'!F28*AHT!F28+'vol 1'!M28*AHT!M28+'vol 1'!T28*AHT!T28+'vol 1'!AA28*AHT!AA28)/SUM('vol 1'!F28,'vol 1'!M28,'vol 1'!T28,'vol 1'!AA28)</f>
        <v>321.01285347043699</v>
      </c>
      <c r="AK27" s="7">
        <f>SUMPRODUCT('vol 1'!G28*AHT!G28+'vol 1'!N28*AHT!N28+'vol 1'!U28*AHT!U28+'vol 1'!AB28*AHT!AB28)/SUM('vol 1'!G28,'vol 1'!N28,'vol 1'!U28,'vol 1'!AB28)</f>
        <v>324.48424068767906</v>
      </c>
      <c r="AL27" s="7">
        <f>SUMPRODUCT('vol 1'!H28*AHT!H28+'vol 1'!O28*AHT!O28+'vol 1'!V28*AHT!V28+'vol 1'!AC28*AHT!AC28)/SUM('vol 1'!H28,'vol 1'!O28,'vol 1'!V28,'vol 1'!AC28)</f>
        <v>331.12740384615387</v>
      </c>
      <c r="AM27" s="7">
        <f>SUMPRODUCT('vol 1'!I28*AHT!I28+'vol 1'!P28*AHT!P28+'vol 1'!W28*AHT!W28+'vol 1'!AD28*AHT!AD28)/SUM('vol 1'!I28,'vol 1'!P28,'vol 1'!W28,'vol 1'!AD28)</f>
        <v>323.80541871921184</v>
      </c>
      <c r="AN27" s="7">
        <f>SUMPRODUCT('vol 1'!J28*AHT!J28+'vol 1'!Q28*AHT!Q28+'vol 1'!X28*AHT!X28+'vol 1'!AE28*AHT!AE28)/SUM('vol 1'!J28,'vol 1'!Q28,'vol 1'!X28,'vol 1'!AE28)</f>
        <v>322.93794749403344</v>
      </c>
      <c r="AO27" s="7">
        <f>SUMPRODUCT('vol 1'!K28*AHT!K28+'vol 1'!R28*AHT!R28+'vol 1'!Y28*AHT!Y28+'vol 1'!AF28*AHT!AF28)/SUM('vol 1'!K28,'vol 1'!R28,'vol 1'!Y28,'vol 1'!AF28)</f>
        <v>332.37470167064441</v>
      </c>
      <c r="AP27" s="7">
        <f>SUMPRODUCT('vol 1'!L28*AHT!L28+'vol 1'!S28*AHT!S28+'vol 1'!Z28*AHT!Z28+'vol 1'!AG28*AHT!AG28)/SUM('vol 1'!L28,'vol 1'!S28,'vol 1'!Z28,'vol 1'!AG28)</f>
        <v>335.24413145539904</v>
      </c>
      <c r="AR27" s="6">
        <f t="shared" si="23"/>
        <v>0.47916666666666646</v>
      </c>
      <c r="AS27" s="8">
        <f t="shared" si="15"/>
        <v>0.98908268819432943</v>
      </c>
      <c r="AT27" s="8">
        <f t="shared" si="1"/>
        <v>0.99734150866597593</v>
      </c>
      <c r="AU27" s="8">
        <f t="shared" si="2"/>
        <v>1.0178844303340255</v>
      </c>
      <c r="AV27" s="8">
        <f t="shared" si="3"/>
        <v>0.99345849103966366</v>
      </c>
      <c r="AW27" s="8">
        <f t="shared" si="4"/>
        <v>0.99305465006555216</v>
      </c>
      <c r="AX27" s="8">
        <f t="shared" si="5"/>
        <v>1.0225946797519354</v>
      </c>
      <c r="AY27" s="8">
        <f t="shared" si="6"/>
        <v>1.0308111977190251</v>
      </c>
      <c r="BA27" s="6">
        <f t="shared" si="24"/>
        <v>0.47916666666666646</v>
      </c>
      <c r="BB27" s="10">
        <f t="shared" si="16"/>
        <v>345.46638312380037</v>
      </c>
      <c r="BC27" s="10">
        <f t="shared" si="7"/>
        <v>349.20220732335457</v>
      </c>
      <c r="BD27" s="10">
        <f t="shared" si="8"/>
        <v>356.35142120700039</v>
      </c>
      <c r="BE27" s="10">
        <f t="shared" si="9"/>
        <v>348.47167529731246</v>
      </c>
      <c r="BF27" s="10">
        <f t="shared" si="10"/>
        <v>347.5381234367357</v>
      </c>
      <c r="BG27" s="10">
        <f t="shared" si="11"/>
        <v>357.69373340243584</v>
      </c>
      <c r="BH27" s="10">
        <f t="shared" si="12"/>
        <v>360.78174535787667</v>
      </c>
    </row>
    <row r="28" spans="1:60" x14ac:dyDescent="0.3">
      <c r="E28" s="11">
        <f t="shared" si="20"/>
        <v>0.47916666666666646</v>
      </c>
      <c r="F28" s="13">
        <v>320</v>
      </c>
      <c r="G28" s="13">
        <v>342</v>
      </c>
      <c r="H28" s="13">
        <v>348</v>
      </c>
      <c r="I28" s="13">
        <v>311</v>
      </c>
      <c r="J28" s="13">
        <v>331</v>
      </c>
      <c r="K28" s="13">
        <v>321</v>
      </c>
      <c r="L28" s="13">
        <v>348</v>
      </c>
      <c r="M28" s="13">
        <v>338</v>
      </c>
      <c r="N28" s="13">
        <v>329</v>
      </c>
      <c r="O28" s="13">
        <v>350</v>
      </c>
      <c r="P28" s="13">
        <v>308</v>
      </c>
      <c r="Q28" s="13">
        <v>309</v>
      </c>
      <c r="R28" s="13">
        <v>345</v>
      </c>
      <c r="S28" s="13">
        <v>329</v>
      </c>
      <c r="T28" s="13">
        <v>311</v>
      </c>
      <c r="U28" s="13">
        <v>307</v>
      </c>
      <c r="V28" s="13">
        <v>324</v>
      </c>
      <c r="W28" s="13">
        <v>332</v>
      </c>
      <c r="X28" s="13">
        <v>346</v>
      </c>
      <c r="Y28" s="13">
        <v>329</v>
      </c>
      <c r="Z28" s="13">
        <v>310</v>
      </c>
      <c r="AA28" s="13">
        <v>316</v>
      </c>
      <c r="AB28" s="13">
        <v>321</v>
      </c>
      <c r="AC28" s="13">
        <v>305</v>
      </c>
      <c r="AD28" s="13">
        <v>348</v>
      </c>
      <c r="AE28" s="13">
        <v>307</v>
      </c>
      <c r="AF28" s="13">
        <v>335</v>
      </c>
      <c r="AG28" s="13">
        <v>348</v>
      </c>
      <c r="AI28" s="14">
        <f t="shared" ref="AI28:AI51" si="25">AI27+"00:30"</f>
        <v>0.49999999999999978</v>
      </c>
      <c r="AJ28" s="7">
        <f>SUMPRODUCT('vol 1'!F29*AHT!F29+'vol 1'!M29*AHT!M29+'vol 1'!T29*AHT!T29+'vol 1'!AA29*AHT!AA29)/SUM('vol 1'!F29,'vol 1'!M29,'vol 1'!T29,'vol 1'!AA29)</f>
        <v>318.93333333333334</v>
      </c>
      <c r="AK28" s="7">
        <f>SUMPRODUCT('vol 1'!G29*AHT!G29+'vol 1'!N29*AHT!N29+'vol 1'!U29*AHT!U29+'vol 1'!AB29*AHT!AB29)/SUM('vol 1'!G29,'vol 1'!N29,'vol 1'!U29,'vol 1'!AB29)</f>
        <v>321.41688654353561</v>
      </c>
      <c r="AL28" s="7">
        <f>SUMPRODUCT('vol 1'!H29*AHT!H29+'vol 1'!O29*AHT!O29+'vol 1'!V29*AHT!V29+'vol 1'!AC29*AHT!AC29)/SUM('vol 1'!H29,'vol 1'!O29,'vol 1'!V29,'vol 1'!AC29)</f>
        <v>334.07713498622587</v>
      </c>
      <c r="AM28" s="7">
        <f>SUMPRODUCT('vol 1'!I29*AHT!I29+'vol 1'!P29*AHT!P29+'vol 1'!W29*AHT!W29+'vol 1'!AD29*AHT!AD29)/SUM('vol 1'!I29,'vol 1'!P29,'vol 1'!W29,'vol 1'!AD29)</f>
        <v>329.00254452926208</v>
      </c>
      <c r="AN28" s="7">
        <f>SUMPRODUCT('vol 1'!J29*AHT!J29+'vol 1'!Q29*AHT!Q29+'vol 1'!X29*AHT!X29+'vol 1'!AE29*AHT!AE29)/SUM('vol 1'!J29,'vol 1'!Q29,'vol 1'!X29,'vol 1'!AE29)</f>
        <v>325.71834625322998</v>
      </c>
      <c r="AO28" s="7">
        <f>SUMPRODUCT('vol 1'!K29*AHT!K29+'vol 1'!R29*AHT!R29+'vol 1'!Y29*AHT!Y29+'vol 1'!AF29*AHT!AF29)/SUM('vol 1'!K29,'vol 1'!R29,'vol 1'!Y29,'vol 1'!AF29)</f>
        <v>325.93457943925233</v>
      </c>
      <c r="AP28" s="7">
        <f>SUMPRODUCT('vol 1'!L29*AHT!L29+'vol 1'!S29*AHT!S29+'vol 1'!Z29*AHT!Z29+'vol 1'!AG29*AHT!AG29)/SUM('vol 1'!L29,'vol 1'!S29,'vol 1'!Z29,'vol 1'!AG29)</f>
        <v>316.97237569060775</v>
      </c>
      <c r="AR28" s="14">
        <f t="shared" ref="AR28:AR51" si="26">AR27+"00:30"</f>
        <v>0.49999999999999978</v>
      </c>
      <c r="AS28" s="8">
        <f t="shared" si="15"/>
        <v>0.9826754140147298</v>
      </c>
      <c r="AT28" s="8">
        <f t="shared" si="1"/>
        <v>0.98791362519388648</v>
      </c>
      <c r="AU28" s="8">
        <f t="shared" si="2"/>
        <v>1.0269518930878654</v>
      </c>
      <c r="AV28" s="8">
        <f t="shared" si="3"/>
        <v>1.0094036496643037</v>
      </c>
      <c r="AW28" s="8">
        <f t="shared" si="4"/>
        <v>1.0016045524176367</v>
      </c>
      <c r="AX28" s="8">
        <f t="shared" si="5"/>
        <v>1.0027807929017278</v>
      </c>
      <c r="AY28" s="8">
        <f t="shared" si="6"/>
        <v>0.97462906452979792</v>
      </c>
      <c r="BA28" s="14">
        <f t="shared" ref="BA28:BA51" si="27">BA27+"00:30"</f>
        <v>0.49999999999999978</v>
      </c>
      <c r="BB28" s="10">
        <f t="shared" si="16"/>
        <v>343.22845310750444</v>
      </c>
      <c r="BC28" s="10">
        <f t="shared" si="7"/>
        <v>345.90119388890457</v>
      </c>
      <c r="BD28" s="10">
        <f t="shared" si="8"/>
        <v>359.52585156744124</v>
      </c>
      <c r="BE28" s="10">
        <f t="shared" si="9"/>
        <v>354.06469824585542</v>
      </c>
      <c r="BF28" s="10">
        <f t="shared" si="10"/>
        <v>350.53032232409265</v>
      </c>
      <c r="BG28" s="10">
        <f t="shared" si="11"/>
        <v>350.76302732602301</v>
      </c>
      <c r="BH28" s="10">
        <f t="shared" si="12"/>
        <v>341.11811722229731</v>
      </c>
    </row>
    <row r="29" spans="1:60" x14ac:dyDescent="0.3">
      <c r="E29" s="11">
        <f t="shared" si="20"/>
        <v>0.49999999999999978</v>
      </c>
      <c r="F29" s="13">
        <v>301</v>
      </c>
      <c r="G29" s="13">
        <v>300</v>
      </c>
      <c r="H29" s="13">
        <v>338</v>
      </c>
      <c r="I29" s="13">
        <v>342</v>
      </c>
      <c r="J29" s="13">
        <v>329</v>
      </c>
      <c r="K29" s="13">
        <v>305</v>
      </c>
      <c r="L29" s="13">
        <v>307</v>
      </c>
      <c r="M29" s="13">
        <v>306</v>
      </c>
      <c r="N29" s="13">
        <v>309</v>
      </c>
      <c r="O29" s="13">
        <v>349</v>
      </c>
      <c r="P29" s="13">
        <v>334</v>
      </c>
      <c r="Q29" s="13">
        <v>310</v>
      </c>
      <c r="R29" s="13">
        <v>323</v>
      </c>
      <c r="S29" s="13">
        <v>316</v>
      </c>
      <c r="T29" s="13">
        <v>342</v>
      </c>
      <c r="U29" s="13">
        <v>337</v>
      </c>
      <c r="V29" s="13">
        <v>301</v>
      </c>
      <c r="W29" s="13">
        <v>322</v>
      </c>
      <c r="X29" s="13">
        <v>332</v>
      </c>
      <c r="Y29" s="13">
        <v>333</v>
      </c>
      <c r="Z29" s="13">
        <v>330</v>
      </c>
      <c r="AA29" s="13">
        <v>331</v>
      </c>
      <c r="AB29" s="13">
        <v>335</v>
      </c>
      <c r="AC29" s="13">
        <v>349</v>
      </c>
      <c r="AD29" s="13">
        <v>316</v>
      </c>
      <c r="AE29" s="13">
        <v>331</v>
      </c>
      <c r="AF29" s="13">
        <v>341</v>
      </c>
      <c r="AG29" s="13">
        <v>316</v>
      </c>
      <c r="AI29" s="15">
        <f t="shared" si="25"/>
        <v>0.52083333333333315</v>
      </c>
      <c r="AJ29" s="7">
        <f>SUMPRODUCT('vol 1'!F30*AHT!F30+'vol 1'!M30*AHT!M30+'vol 1'!T30*AHT!T30+'vol 1'!AA30*AHT!AA30)/SUM('vol 1'!F30,'vol 1'!M30,'vol 1'!T30,'vol 1'!AA30)</f>
        <v>321.26822916666669</v>
      </c>
      <c r="AK29" s="7">
        <f>SUMPRODUCT('vol 1'!G30*AHT!G30+'vol 1'!N30*AHT!N30+'vol 1'!U30*AHT!U30+'vol 1'!AB30*AHT!AB30)/SUM('vol 1'!G30,'vol 1'!N30,'vol 1'!U30,'vol 1'!AB30)</f>
        <v>320.44646924829158</v>
      </c>
      <c r="AL29" s="7">
        <f>SUMPRODUCT('vol 1'!H30*AHT!H30+'vol 1'!O30*AHT!O30+'vol 1'!V30*AHT!V30+'vol 1'!AC30*AHT!AC30)/SUM('vol 1'!H30,'vol 1'!O30,'vol 1'!V30,'vol 1'!AC30)</f>
        <v>325.25599999999997</v>
      </c>
      <c r="AM29" s="7">
        <f>SUMPRODUCT('vol 1'!I30*AHT!I30+'vol 1'!P30*AHT!P30+'vol 1'!W30*AHT!W30+'vol 1'!AD30*AHT!AD30)/SUM('vol 1'!I30,'vol 1'!P30,'vol 1'!W30,'vol 1'!AD30)</f>
        <v>316.2093023255814</v>
      </c>
      <c r="AN29" s="7">
        <f>SUMPRODUCT('vol 1'!J30*AHT!J30+'vol 1'!Q30*AHT!Q30+'vol 1'!X30*AHT!X30+'vol 1'!AE30*AHT!AE30)/SUM('vol 1'!J30,'vol 1'!Q30,'vol 1'!X30,'vol 1'!AE30)</f>
        <v>316.92631578947368</v>
      </c>
      <c r="AO29" s="7">
        <f>SUMPRODUCT('vol 1'!K30*AHT!K30+'vol 1'!R30*AHT!R30+'vol 1'!Y30*AHT!Y30+'vol 1'!AF30*AHT!AF30)/SUM('vol 1'!K30,'vol 1'!R30,'vol 1'!Y30,'vol 1'!AF30)</f>
        <v>316.32134292565945</v>
      </c>
      <c r="AP29" s="7">
        <f>SUMPRODUCT('vol 1'!L30*AHT!L30+'vol 1'!S30*AHT!S30+'vol 1'!Z30*AHT!Z30+'vol 1'!AG30*AHT!AG30)/SUM('vol 1'!L30,'vol 1'!S30,'vol 1'!Z30,'vol 1'!AG30)</f>
        <v>311.90796019900495</v>
      </c>
      <c r="AR29" s="15">
        <f t="shared" si="26"/>
        <v>0.52083333333333315</v>
      </c>
      <c r="AS29" s="8">
        <f t="shared" si="15"/>
        <v>0.98986953419565205</v>
      </c>
      <c r="AT29" s="8">
        <f t="shared" si="1"/>
        <v>0.98493093041887037</v>
      </c>
      <c r="AU29" s="8">
        <f t="shared" si="2"/>
        <v>0.99983575634997768</v>
      </c>
      <c r="AV29" s="8">
        <f t="shared" si="3"/>
        <v>0.97015305544804487</v>
      </c>
      <c r="AW29" s="8">
        <f t="shared" si="4"/>
        <v>0.97456850167382481</v>
      </c>
      <c r="AX29" s="8">
        <f t="shared" si="5"/>
        <v>0.97320440076181614</v>
      </c>
      <c r="AY29" s="8">
        <f t="shared" si="6"/>
        <v>0.95905696137028174</v>
      </c>
      <c r="BA29" s="15">
        <f t="shared" si="27"/>
        <v>0.52083333333333315</v>
      </c>
      <c r="BB29" s="10">
        <f t="shared" si="16"/>
        <v>345.74121236244434</v>
      </c>
      <c r="BC29" s="10">
        <f t="shared" si="7"/>
        <v>344.85685392094251</v>
      </c>
      <c r="BD29" s="10">
        <f t="shared" si="8"/>
        <v>350.03275630414237</v>
      </c>
      <c r="BE29" s="10">
        <f t="shared" si="9"/>
        <v>340.29691585100079</v>
      </c>
      <c r="BF29" s="10">
        <f t="shared" si="10"/>
        <v>341.06854865431075</v>
      </c>
      <c r="BG29" s="10">
        <f t="shared" si="11"/>
        <v>340.41749127486162</v>
      </c>
      <c r="BH29" s="10">
        <f t="shared" si="12"/>
        <v>335.66791395596209</v>
      </c>
    </row>
    <row r="30" spans="1:60" x14ac:dyDescent="0.3">
      <c r="E30" s="11">
        <f t="shared" si="20"/>
        <v>0.52083333333333315</v>
      </c>
      <c r="F30" s="13">
        <v>337</v>
      </c>
      <c r="G30" s="13">
        <v>330</v>
      </c>
      <c r="H30" s="13">
        <v>348</v>
      </c>
      <c r="I30" s="13">
        <v>321</v>
      </c>
      <c r="J30" s="13">
        <v>331</v>
      </c>
      <c r="K30" s="13">
        <v>333</v>
      </c>
      <c r="L30" s="13">
        <v>302</v>
      </c>
      <c r="M30" s="13">
        <v>329</v>
      </c>
      <c r="N30" s="13">
        <v>341</v>
      </c>
      <c r="O30" s="13">
        <v>311</v>
      </c>
      <c r="P30" s="13">
        <v>325</v>
      </c>
      <c r="Q30" s="13">
        <v>305</v>
      </c>
      <c r="R30" s="13">
        <v>311</v>
      </c>
      <c r="S30" s="13">
        <v>319</v>
      </c>
      <c r="T30" s="13">
        <v>309</v>
      </c>
      <c r="U30" s="13">
        <v>309</v>
      </c>
      <c r="V30" s="13">
        <v>324</v>
      </c>
      <c r="W30" s="13">
        <v>307</v>
      </c>
      <c r="X30" s="13">
        <v>320</v>
      </c>
      <c r="Y30" s="13">
        <v>310</v>
      </c>
      <c r="Z30" s="13">
        <v>324</v>
      </c>
      <c r="AA30" s="13">
        <v>308</v>
      </c>
      <c r="AB30" s="13">
        <v>302</v>
      </c>
      <c r="AC30" s="13">
        <v>322</v>
      </c>
      <c r="AD30" s="13">
        <v>313</v>
      </c>
      <c r="AE30" s="13">
        <v>310</v>
      </c>
      <c r="AF30" s="13">
        <v>313</v>
      </c>
      <c r="AG30" s="13">
        <v>302</v>
      </c>
      <c r="AI30" s="15">
        <f t="shared" si="25"/>
        <v>0.54166666666666652</v>
      </c>
      <c r="AJ30" s="7">
        <f>SUMPRODUCT('vol 1'!F31*AHT!F31+'vol 1'!M31*AHT!M31+'vol 1'!T31*AHT!T31+'vol 1'!AA31*AHT!AA31)/SUM('vol 1'!F31,'vol 1'!M31,'vol 1'!T31,'vol 1'!AA31)</f>
        <v>312.28641975308642</v>
      </c>
      <c r="AK30" s="7">
        <f>SUMPRODUCT('vol 1'!G31*AHT!G31+'vol 1'!N31*AHT!N31+'vol 1'!U31*AHT!U31+'vol 1'!AB31*AHT!AB31)/SUM('vol 1'!G31,'vol 1'!N31,'vol 1'!U31,'vol 1'!AB31)</f>
        <v>324.34020618556701</v>
      </c>
      <c r="AL30" s="7">
        <f>SUMPRODUCT('vol 1'!H31*AHT!H31+'vol 1'!O31*AHT!O31+'vol 1'!V31*AHT!V31+'vol 1'!AC31*AHT!AC31)/SUM('vol 1'!H31,'vol 1'!O31,'vol 1'!V31,'vol 1'!AC31)</f>
        <v>340.63659147869674</v>
      </c>
      <c r="AM30" s="7">
        <f>SUMPRODUCT('vol 1'!I31*AHT!I31+'vol 1'!P31*AHT!P31+'vol 1'!W31*AHT!W31+'vol 1'!AD31*AHT!AD31)/SUM('vol 1'!I31,'vol 1'!P31,'vol 1'!W31,'vol 1'!AD31)</f>
        <v>322.81796116504853</v>
      </c>
      <c r="AN30" s="7">
        <f>SUMPRODUCT('vol 1'!J31*AHT!J31+'vol 1'!Q31*AHT!Q31+'vol 1'!X31*AHT!X31+'vol 1'!AE31*AHT!AE31)/SUM('vol 1'!J31,'vol 1'!Q31,'vol 1'!X31,'vol 1'!AE31)</f>
        <v>338.8423645320197</v>
      </c>
      <c r="AO30" s="7">
        <f>SUMPRODUCT('vol 1'!K31*AHT!K31+'vol 1'!R31*AHT!R31+'vol 1'!Y31*AHT!Y31+'vol 1'!AF31*AHT!AF31)/SUM('vol 1'!K31,'vol 1'!R31,'vol 1'!Y31,'vol 1'!AF31)</f>
        <v>322.27872860635699</v>
      </c>
      <c r="AP30" s="7">
        <f>SUMPRODUCT('vol 1'!L31*AHT!L31+'vol 1'!S31*AHT!S31+'vol 1'!Z31*AHT!Z31+'vol 1'!AG31*AHT!AG31)/SUM('vol 1'!L31,'vol 1'!S31,'vol 1'!Z31,'vol 1'!AG31)</f>
        <v>323.0687203791469</v>
      </c>
      <c r="AR30" s="15">
        <f t="shared" si="26"/>
        <v>0.54166666666666652</v>
      </c>
      <c r="AS30" s="8">
        <f t="shared" si="15"/>
        <v>0.9621954018249641</v>
      </c>
      <c r="AT30" s="8">
        <f t="shared" si="1"/>
        <v>0.99689880122560248</v>
      </c>
      <c r="AU30" s="8">
        <f t="shared" si="2"/>
        <v>1.0471156383943145</v>
      </c>
      <c r="AV30" s="8">
        <f t="shared" si="3"/>
        <v>0.99042889970173897</v>
      </c>
      <c r="AW30" s="8">
        <f t="shared" si="4"/>
        <v>1.0419617401697459</v>
      </c>
      <c r="AX30" s="8">
        <f t="shared" si="5"/>
        <v>0.99153308483942781</v>
      </c>
      <c r="AY30" s="8">
        <f t="shared" si="6"/>
        <v>0.993374151409677</v>
      </c>
      <c r="BA30" s="15">
        <f t="shared" si="27"/>
        <v>0.54166666666666652</v>
      </c>
      <c r="BB30" s="10">
        <f t="shared" si="16"/>
        <v>336.07520310932063</v>
      </c>
      <c r="BC30" s="10">
        <f t="shared" si="7"/>
        <v>349.04720082454389</v>
      </c>
      <c r="BD30" s="10">
        <f t="shared" si="8"/>
        <v>366.5849823318751</v>
      </c>
      <c r="BE30" s="10">
        <f t="shared" si="9"/>
        <v>347.40899700877316</v>
      </c>
      <c r="BF30" s="10">
        <f t="shared" si="10"/>
        <v>364.65407804853965</v>
      </c>
      <c r="BG30" s="10">
        <f t="shared" si="11"/>
        <v>346.82868777909641</v>
      </c>
      <c r="BH30" s="10">
        <f t="shared" si="12"/>
        <v>347.67885809935871</v>
      </c>
    </row>
    <row r="31" spans="1:60" x14ac:dyDescent="0.3">
      <c r="E31" s="11">
        <f t="shared" si="20"/>
        <v>0.54166666666666652</v>
      </c>
      <c r="F31" s="13">
        <v>314</v>
      </c>
      <c r="G31" s="13">
        <v>332</v>
      </c>
      <c r="H31" s="13">
        <v>344</v>
      </c>
      <c r="I31" s="13">
        <v>346</v>
      </c>
      <c r="J31" s="13">
        <v>344</v>
      </c>
      <c r="K31" s="13">
        <v>328</v>
      </c>
      <c r="L31" s="13">
        <v>309</v>
      </c>
      <c r="M31" s="13">
        <v>315</v>
      </c>
      <c r="N31" s="13">
        <v>326</v>
      </c>
      <c r="O31" s="13">
        <v>331</v>
      </c>
      <c r="P31" s="13">
        <v>307</v>
      </c>
      <c r="Q31" s="13">
        <v>332</v>
      </c>
      <c r="R31" s="13">
        <v>331</v>
      </c>
      <c r="S31" s="13">
        <v>336</v>
      </c>
      <c r="T31" s="13">
        <v>311</v>
      </c>
      <c r="U31" s="13">
        <v>314</v>
      </c>
      <c r="V31" s="13">
        <v>342</v>
      </c>
      <c r="W31" s="13">
        <v>322</v>
      </c>
      <c r="X31" s="13">
        <v>332</v>
      </c>
      <c r="Y31" s="13">
        <v>325</v>
      </c>
      <c r="Z31" s="13">
        <v>315</v>
      </c>
      <c r="AA31" s="13">
        <v>310</v>
      </c>
      <c r="AB31" s="13">
        <v>324</v>
      </c>
      <c r="AC31" s="13">
        <v>345</v>
      </c>
      <c r="AD31" s="13">
        <v>317</v>
      </c>
      <c r="AE31" s="13">
        <v>350</v>
      </c>
      <c r="AF31" s="13">
        <v>307</v>
      </c>
      <c r="AG31" s="16">
        <v>330</v>
      </c>
      <c r="AI31" s="15">
        <f t="shared" si="25"/>
        <v>0.56249999999999989</v>
      </c>
      <c r="AJ31" s="7">
        <f>SUMPRODUCT('vol 1'!F32*AHT!F32+'vol 1'!M32*AHT!M32+'vol 1'!T32*AHT!T32+'vol 1'!AA32*AHT!AA32)/SUM('vol 1'!F32,'vol 1'!M32,'vol 1'!T32,'vol 1'!AA32)</f>
        <v>334.17530864197533</v>
      </c>
      <c r="AK31" s="7">
        <f>SUMPRODUCT('vol 1'!G32*AHT!G32+'vol 1'!N32*AHT!N32+'vol 1'!U32*AHT!U32+'vol 1'!AB32*AHT!AB32)/SUM('vol 1'!G32,'vol 1'!N32,'vol 1'!U32,'vol 1'!AB32)</f>
        <v>327.59746835443036</v>
      </c>
      <c r="AL31" s="7">
        <f>SUMPRODUCT('vol 1'!H32*AHT!H32+'vol 1'!O32*AHT!O32+'vol 1'!V32*AHT!V32+'vol 1'!AC32*AHT!AC32)/SUM('vol 1'!H32,'vol 1'!O32,'vol 1'!V32,'vol 1'!AC32)</f>
        <v>324.0402144772118</v>
      </c>
      <c r="AM31" s="7">
        <f>SUMPRODUCT('vol 1'!I32*AHT!I32+'vol 1'!P32*AHT!P32+'vol 1'!W32*AHT!W32+'vol 1'!AD32*AHT!AD32)/SUM('vol 1'!I32,'vol 1'!P32,'vol 1'!W32,'vol 1'!AD32)</f>
        <v>330.05263157894734</v>
      </c>
      <c r="AN31" s="7">
        <f>SUMPRODUCT('vol 1'!J32*AHT!J32+'vol 1'!Q32*AHT!Q32+'vol 1'!X32*AHT!X32+'vol 1'!AE32*AHT!AE32)/SUM('vol 1'!J32,'vol 1'!Q32,'vol 1'!X32,'vol 1'!AE32)</f>
        <v>308.502538071066</v>
      </c>
      <c r="AO31" s="7">
        <f>SUMPRODUCT('vol 1'!K32*AHT!K32+'vol 1'!R32*AHT!R32+'vol 1'!Y32*AHT!Y32+'vol 1'!AF32*AHT!AF32)/SUM('vol 1'!K32,'vol 1'!R32,'vol 1'!Y32,'vol 1'!AF32)</f>
        <v>333.5090909090909</v>
      </c>
      <c r="AP31" s="7">
        <f>SUMPRODUCT('vol 1'!L32*AHT!L32+'vol 1'!S32*AHT!S32+'vol 1'!Z32*AHT!Z32+'vol 1'!AG32*AHT!AG32)/SUM('vol 1'!L32,'vol 1'!S32,'vol 1'!Z32,'vol 1'!AG32)</f>
        <v>332.19306930693068</v>
      </c>
      <c r="AR31" s="15">
        <f t="shared" si="26"/>
        <v>0.56249999999999989</v>
      </c>
      <c r="AS31" s="8">
        <f t="shared" si="15"/>
        <v>1.0296379382522571</v>
      </c>
      <c r="AT31" s="8">
        <f t="shared" si="1"/>
        <v>1.0069103899509286</v>
      </c>
      <c r="AU31" s="8">
        <f t="shared" si="2"/>
        <v>0.99609843609228443</v>
      </c>
      <c r="AV31" s="8">
        <f t="shared" si="3"/>
        <v>1.0126253928332938</v>
      </c>
      <c r="AW31" s="8">
        <f t="shared" si="4"/>
        <v>0.94866485145465107</v>
      </c>
      <c r="AX31" s="8">
        <f t="shared" si="5"/>
        <v>1.0260847781083162</v>
      </c>
      <c r="AY31" s="8">
        <f t="shared" si="6"/>
        <v>1.0214297686872202</v>
      </c>
      <c r="BA31" s="15">
        <f t="shared" si="27"/>
        <v>0.56249999999999989</v>
      </c>
      <c r="BB31" s="10">
        <f t="shared" si="16"/>
        <v>359.63150371626688</v>
      </c>
      <c r="BC31" s="10">
        <f t="shared" si="7"/>
        <v>352.55258874966273</v>
      </c>
      <c r="BD31" s="10">
        <f t="shared" si="8"/>
        <v>348.72435689685631</v>
      </c>
      <c r="BE31" s="10">
        <f t="shared" si="9"/>
        <v>355.19477690500577</v>
      </c>
      <c r="BF31" s="10">
        <f t="shared" si="10"/>
        <v>332.00307981355866</v>
      </c>
      <c r="BG31" s="10">
        <f t="shared" si="11"/>
        <v>358.91453606819817</v>
      </c>
      <c r="BH31" s="10">
        <f t="shared" si="12"/>
        <v>357.49826498093165</v>
      </c>
    </row>
    <row r="32" spans="1:60" x14ac:dyDescent="0.3">
      <c r="E32" s="11">
        <f t="shared" si="20"/>
        <v>0.56249999999999989</v>
      </c>
      <c r="F32" s="13">
        <v>346</v>
      </c>
      <c r="G32" s="13">
        <v>337</v>
      </c>
      <c r="H32" s="13">
        <v>309</v>
      </c>
      <c r="I32" s="13">
        <v>330</v>
      </c>
      <c r="J32" s="13">
        <v>310</v>
      </c>
      <c r="K32" s="13">
        <v>314</v>
      </c>
      <c r="L32" s="13">
        <v>350</v>
      </c>
      <c r="M32" s="13">
        <v>302</v>
      </c>
      <c r="N32" s="13">
        <v>346</v>
      </c>
      <c r="O32" s="13">
        <v>318</v>
      </c>
      <c r="P32" s="13">
        <v>313</v>
      </c>
      <c r="Q32" s="13">
        <v>306</v>
      </c>
      <c r="R32" s="13">
        <v>324</v>
      </c>
      <c r="S32" s="13">
        <v>303</v>
      </c>
      <c r="T32" s="13">
        <v>345</v>
      </c>
      <c r="U32" s="13">
        <v>300</v>
      </c>
      <c r="V32" s="13">
        <v>330</v>
      </c>
      <c r="W32" s="13">
        <v>341</v>
      </c>
      <c r="X32" s="13">
        <v>315</v>
      </c>
      <c r="Y32" s="13">
        <v>345</v>
      </c>
      <c r="Z32" s="13">
        <v>337</v>
      </c>
      <c r="AA32" s="13">
        <v>350</v>
      </c>
      <c r="AB32" s="13">
        <v>323</v>
      </c>
      <c r="AC32" s="13">
        <v>345</v>
      </c>
      <c r="AD32" s="13">
        <v>341</v>
      </c>
      <c r="AE32" s="13">
        <v>304</v>
      </c>
      <c r="AF32" s="13">
        <v>350</v>
      </c>
      <c r="AG32" s="13">
        <v>337</v>
      </c>
      <c r="AI32" s="15">
        <f t="shared" si="25"/>
        <v>0.58333333333333326</v>
      </c>
      <c r="AJ32" s="7">
        <f>SUMPRODUCT('vol 1'!F33*AHT!F33+'vol 1'!M33*AHT!M33+'vol 1'!T33*AHT!T33+'vol 1'!AA33*AHT!AA33)/SUM('vol 1'!F33,'vol 1'!M33,'vol 1'!T33,'vol 1'!AA33)</f>
        <v>326.2962962962963</v>
      </c>
      <c r="AK32" s="7">
        <f>SUMPRODUCT('vol 1'!G33*AHT!G33+'vol 1'!N33*AHT!N33+'vol 1'!U33*AHT!U33+'vol 1'!AB33*AHT!AB33)/SUM('vol 1'!G33,'vol 1'!N33,'vol 1'!U33,'vol 1'!AB33)</f>
        <v>314.83614457831328</v>
      </c>
      <c r="AL32" s="7">
        <f>SUMPRODUCT('vol 1'!H33*AHT!H33+'vol 1'!O33*AHT!O33+'vol 1'!V33*AHT!V33+'vol 1'!AC33*AHT!AC33)/SUM('vol 1'!H33,'vol 1'!O33,'vol 1'!V33,'vol 1'!AC33)</f>
        <v>306.29368932038835</v>
      </c>
      <c r="AM32" s="7">
        <f>SUMPRODUCT('vol 1'!I33*AHT!I33+'vol 1'!P33*AHT!P33+'vol 1'!W33*AHT!W33+'vol 1'!AD33*AHT!AD33)/SUM('vol 1'!I33,'vol 1'!P33,'vol 1'!W33,'vol 1'!AD33)</f>
        <v>332.3038277511962</v>
      </c>
      <c r="AN32" s="7">
        <f>SUMPRODUCT('vol 1'!J33*AHT!J33+'vol 1'!Q33*AHT!Q33+'vol 1'!X33*AHT!X33+'vol 1'!AE33*AHT!AE33)/SUM('vol 1'!J33,'vol 1'!Q33,'vol 1'!X33,'vol 1'!AE33)</f>
        <v>333.31627906976746</v>
      </c>
      <c r="AO32" s="7">
        <f>SUMPRODUCT('vol 1'!K33*AHT!K33+'vol 1'!R33*AHT!R33+'vol 1'!Y33*AHT!Y33+'vol 1'!AF33*AHT!AF33)/SUM('vol 1'!K33,'vol 1'!R33,'vol 1'!Y33,'vol 1'!AF33)</f>
        <v>324.97837837837835</v>
      </c>
      <c r="AP32" s="7">
        <f>SUMPRODUCT('vol 1'!L33*AHT!L33+'vol 1'!S33*AHT!S33+'vol 1'!Z33*AHT!Z33+'vol 1'!AG33*AHT!AG33)/SUM('vol 1'!L33,'vol 1'!S33,'vol 1'!Z33,'vol 1'!AG33)</f>
        <v>324.59147869674183</v>
      </c>
      <c r="AR32" s="15">
        <f t="shared" si="26"/>
        <v>0.58333333333333326</v>
      </c>
      <c r="AS32" s="8">
        <f t="shared" si="15"/>
        <v>1.0053616682308819</v>
      </c>
      <c r="AT32" s="8">
        <f t="shared" si="1"/>
        <v>0.96768691986660516</v>
      </c>
      <c r="AU32" s="8">
        <f t="shared" si="2"/>
        <v>0.94154568256043114</v>
      </c>
      <c r="AV32" s="8">
        <f t="shared" si="3"/>
        <v>1.0195322258355419</v>
      </c>
      <c r="AW32" s="8">
        <f t="shared" si="4"/>
        <v>1.0249686772375841</v>
      </c>
      <c r="AX32" s="8">
        <f t="shared" si="5"/>
        <v>0.99983891401411062</v>
      </c>
      <c r="AY32" s="8">
        <f t="shared" si="6"/>
        <v>0.99805634023243783</v>
      </c>
      <c r="BA32" s="15">
        <f t="shared" si="27"/>
        <v>0.58333333333333326</v>
      </c>
      <c r="BB32" s="10">
        <f t="shared" si="16"/>
        <v>351.15229838781056</v>
      </c>
      <c r="BC32" s="10">
        <f t="shared" si="7"/>
        <v>338.81915620593151</v>
      </c>
      <c r="BD32" s="10">
        <f t="shared" si="8"/>
        <v>329.62596942525329</v>
      </c>
      <c r="BE32" s="10">
        <f t="shared" si="9"/>
        <v>357.61746057926115</v>
      </c>
      <c r="BF32" s="10">
        <f t="shared" si="10"/>
        <v>358.70703656145128</v>
      </c>
      <c r="BG32" s="10">
        <f t="shared" si="11"/>
        <v>349.73398653071507</v>
      </c>
      <c r="BH32" s="10">
        <f t="shared" si="12"/>
        <v>349.31761431321121</v>
      </c>
    </row>
    <row r="33" spans="5:60" x14ac:dyDescent="0.3">
      <c r="E33" s="11">
        <f t="shared" si="20"/>
        <v>0.58333333333333326</v>
      </c>
      <c r="F33" s="13">
        <v>336</v>
      </c>
      <c r="G33" s="13">
        <v>319</v>
      </c>
      <c r="H33" s="13">
        <v>308</v>
      </c>
      <c r="I33" s="13">
        <v>350</v>
      </c>
      <c r="J33" s="13">
        <v>327</v>
      </c>
      <c r="K33" s="13">
        <v>317</v>
      </c>
      <c r="L33" s="13">
        <v>315</v>
      </c>
      <c r="M33" s="13">
        <v>324</v>
      </c>
      <c r="N33" s="13">
        <v>329</v>
      </c>
      <c r="O33" s="13">
        <v>315</v>
      </c>
      <c r="P33" s="13">
        <v>341</v>
      </c>
      <c r="Q33" s="13">
        <v>344</v>
      </c>
      <c r="R33" s="13">
        <v>327</v>
      </c>
      <c r="S33" s="13">
        <v>310</v>
      </c>
      <c r="T33" s="13">
        <v>330</v>
      </c>
      <c r="U33" s="13">
        <v>310</v>
      </c>
      <c r="V33" s="13">
        <v>302</v>
      </c>
      <c r="W33" s="13">
        <v>308</v>
      </c>
      <c r="X33" s="13">
        <v>327</v>
      </c>
      <c r="Y33" s="13">
        <v>308</v>
      </c>
      <c r="Z33" s="13">
        <v>337</v>
      </c>
      <c r="AA33" s="13">
        <v>316</v>
      </c>
      <c r="AB33" s="13">
        <v>301</v>
      </c>
      <c r="AC33" s="13">
        <v>300</v>
      </c>
      <c r="AD33" s="13">
        <v>328</v>
      </c>
      <c r="AE33" s="13">
        <v>334</v>
      </c>
      <c r="AF33" s="13">
        <v>347</v>
      </c>
      <c r="AG33" s="13">
        <v>336</v>
      </c>
      <c r="AI33" s="15">
        <f t="shared" si="25"/>
        <v>0.60416666666666663</v>
      </c>
      <c r="AJ33" s="7">
        <f>SUMPRODUCT('vol 1'!F34*AHT!F34+'vol 1'!M34*AHT!M34+'vol 1'!T34*AHT!T34+'vol 1'!AA34*AHT!AA34)/SUM('vol 1'!F34,'vol 1'!M34,'vol 1'!T34,'vol 1'!AA34)</f>
        <v>319.26165803108807</v>
      </c>
      <c r="AK33" s="7">
        <f>SUMPRODUCT('vol 1'!G34*AHT!G34+'vol 1'!N34*AHT!N34+'vol 1'!U34*AHT!U34+'vol 1'!AB34*AHT!AB34)/SUM('vol 1'!G34,'vol 1'!N34,'vol 1'!U34,'vol 1'!AB34)</f>
        <v>336.76991150442478</v>
      </c>
      <c r="AL33" s="7">
        <f>SUMPRODUCT('vol 1'!H34*AHT!H34+'vol 1'!O34*AHT!O34+'vol 1'!V34*AHT!V34+'vol 1'!AC34*AHT!AC34)/SUM('vol 1'!H34,'vol 1'!O34,'vol 1'!V34,'vol 1'!AC34)</f>
        <v>319.50383631713555</v>
      </c>
      <c r="AM33" s="7">
        <f>SUMPRODUCT('vol 1'!I34*AHT!I34+'vol 1'!P34*AHT!P34+'vol 1'!W34*AHT!W34+'vol 1'!AD34*AHT!AD34)/SUM('vol 1'!I34,'vol 1'!P34,'vol 1'!W34,'vol 1'!AD34)</f>
        <v>317.90909090909093</v>
      </c>
      <c r="AN33" s="7">
        <f>SUMPRODUCT('vol 1'!J34*AHT!J34+'vol 1'!Q34*AHT!Q34+'vol 1'!X34*AHT!X34+'vol 1'!AE34*AHT!AE34)/SUM('vol 1'!J34,'vol 1'!Q34,'vol 1'!X34,'vol 1'!AE34)</f>
        <v>315.85929648241205</v>
      </c>
      <c r="AO33" s="7">
        <f>SUMPRODUCT('vol 1'!K34*AHT!K34+'vol 1'!R34*AHT!R34+'vol 1'!Y34*AHT!Y34+'vol 1'!AF34*AHT!AF34)/SUM('vol 1'!K34,'vol 1'!R34,'vol 1'!Y34,'vol 1'!AF34)</f>
        <v>308.74540682414698</v>
      </c>
      <c r="AP33" s="7">
        <f>SUMPRODUCT('vol 1'!L34*AHT!L34+'vol 1'!S34*AHT!S34+'vol 1'!Z34*AHT!Z34+'vol 1'!AG34*AHT!AG34)/SUM('vol 1'!L34,'vol 1'!S34,'vol 1'!Z34,'vol 1'!AG34)</f>
        <v>330.34188034188037</v>
      </c>
      <c r="AR33" s="15">
        <f t="shared" si="26"/>
        <v>0.60416666666666663</v>
      </c>
      <c r="AS33" s="8">
        <f t="shared" si="15"/>
        <v>0.98368702545378939</v>
      </c>
      <c r="AT33" s="8">
        <f t="shared" si="1"/>
        <v>1.0351030019248748</v>
      </c>
      <c r="AU33" s="8">
        <f t="shared" si="2"/>
        <v>0.98215362619248436</v>
      </c>
      <c r="AV33" s="8">
        <f t="shared" si="3"/>
        <v>0.9753681300071404</v>
      </c>
      <c r="AW33" s="8">
        <f t="shared" si="4"/>
        <v>0.97128734969769515</v>
      </c>
      <c r="AX33" s="8">
        <f t="shared" si="5"/>
        <v>0.94989603248767462</v>
      </c>
      <c r="AY33" s="8">
        <f t="shared" si="6"/>
        <v>1.0157377188190138</v>
      </c>
      <c r="BA33" s="15">
        <f t="shared" si="27"/>
        <v>0.60416666666666663</v>
      </c>
      <c r="BB33" s="10">
        <f t="shared" si="16"/>
        <v>343.58178832320471</v>
      </c>
      <c r="BC33" s="10">
        <f t="shared" si="7"/>
        <v>362.42375348708674</v>
      </c>
      <c r="BD33" s="10">
        <f t="shared" si="8"/>
        <v>343.84241482350672</v>
      </c>
      <c r="BE33" s="10">
        <f t="shared" si="9"/>
        <v>342.12618781837466</v>
      </c>
      <c r="BF33" s="10">
        <f t="shared" si="10"/>
        <v>339.92024790326991</v>
      </c>
      <c r="BG33" s="10">
        <f t="shared" si="11"/>
        <v>332.26444937802813</v>
      </c>
      <c r="BH33" s="10">
        <f t="shared" si="12"/>
        <v>355.5060595308359</v>
      </c>
    </row>
    <row r="34" spans="5:60" x14ac:dyDescent="0.3">
      <c r="E34" s="11">
        <f t="shared" si="20"/>
        <v>0.60416666666666663</v>
      </c>
      <c r="F34" s="13">
        <v>304</v>
      </c>
      <c r="G34" s="13">
        <v>348</v>
      </c>
      <c r="H34" s="13">
        <v>318</v>
      </c>
      <c r="I34" s="13">
        <v>320</v>
      </c>
      <c r="J34" s="13">
        <v>321</v>
      </c>
      <c r="K34" s="13">
        <v>300</v>
      </c>
      <c r="L34" s="13">
        <v>320</v>
      </c>
      <c r="M34" s="13">
        <v>319</v>
      </c>
      <c r="N34" s="13">
        <v>327</v>
      </c>
      <c r="O34" s="13">
        <v>309</v>
      </c>
      <c r="P34" s="13">
        <v>307</v>
      </c>
      <c r="Q34" s="13">
        <v>324</v>
      </c>
      <c r="R34" s="13">
        <v>332</v>
      </c>
      <c r="S34" s="13">
        <v>344</v>
      </c>
      <c r="T34" s="13">
        <v>336</v>
      </c>
      <c r="U34" s="13">
        <v>326</v>
      </c>
      <c r="V34" s="13">
        <v>309</v>
      </c>
      <c r="W34" s="13">
        <v>342</v>
      </c>
      <c r="X34" s="13">
        <v>317</v>
      </c>
      <c r="Y34" s="13">
        <v>304</v>
      </c>
      <c r="Z34" s="13">
        <v>323</v>
      </c>
      <c r="AA34" s="13">
        <v>319</v>
      </c>
      <c r="AB34" s="13">
        <v>346</v>
      </c>
      <c r="AC34" s="13">
        <v>340</v>
      </c>
      <c r="AD34" s="13">
        <v>304</v>
      </c>
      <c r="AE34" s="13">
        <v>301</v>
      </c>
      <c r="AF34" s="13">
        <v>300</v>
      </c>
      <c r="AG34" s="13">
        <v>332</v>
      </c>
      <c r="AI34" s="15">
        <f t="shared" si="25"/>
        <v>0.625</v>
      </c>
      <c r="AJ34" s="7">
        <f>SUMPRODUCT('vol 1'!F35*AHT!F35+'vol 1'!M35*AHT!M35+'vol 1'!T35*AHT!T35+'vol 1'!AA35*AHT!AA35)/SUM('vol 1'!F35,'vol 1'!M35,'vol 1'!T35,'vol 1'!AA35)</f>
        <v>322.04473684210524</v>
      </c>
      <c r="AK34" s="7">
        <f>SUMPRODUCT('vol 1'!G35*AHT!G35+'vol 1'!N35*AHT!N35+'vol 1'!U35*AHT!U35+'vol 1'!AB35*AHT!AB35)/SUM('vol 1'!G35,'vol 1'!N35,'vol 1'!U35,'vol 1'!AB35)</f>
        <v>327.97542997542996</v>
      </c>
      <c r="AL34" s="7">
        <f>SUMPRODUCT('vol 1'!H35*AHT!H35+'vol 1'!O35*AHT!O35+'vol 1'!V35*AHT!V35+'vol 1'!AC35*AHT!AC35)/SUM('vol 1'!H35,'vol 1'!O35,'vol 1'!V35,'vol 1'!AC35)</f>
        <v>327.03439803439801</v>
      </c>
      <c r="AM34" s="7">
        <f>SUMPRODUCT('vol 1'!I35*AHT!I35+'vol 1'!P35*AHT!P35+'vol 1'!W35*AHT!W35+'vol 1'!AD35*AHT!AD35)/SUM('vol 1'!I35,'vol 1'!P35,'vol 1'!W35,'vol 1'!AD35)</f>
        <v>334.33152173913044</v>
      </c>
      <c r="AN34" s="7">
        <f>SUMPRODUCT('vol 1'!J35*AHT!J35+'vol 1'!Q35*AHT!Q35+'vol 1'!X35*AHT!X35+'vol 1'!AE35*AHT!AE35)/SUM('vol 1'!J35,'vol 1'!Q35,'vol 1'!X35,'vol 1'!AE35)</f>
        <v>332.26603325415675</v>
      </c>
      <c r="AO34" s="7">
        <f>SUMPRODUCT('vol 1'!K35*AHT!K35+'vol 1'!R35*AHT!R35+'vol 1'!Y35*AHT!Y35+'vol 1'!AF35*AHT!AF35)/SUM('vol 1'!K35,'vol 1'!R35,'vol 1'!Y35,'vol 1'!AF35)</f>
        <v>325.46134020618558</v>
      </c>
      <c r="AP34" s="7">
        <f>SUMPRODUCT('vol 1'!L35*AHT!L35+'vol 1'!S35*AHT!S35+'vol 1'!Z35*AHT!Z35+'vol 1'!AG35*AHT!AG35)/SUM('vol 1'!L35,'vol 1'!S35,'vol 1'!Z35,'vol 1'!AG35)</f>
        <v>327.96800000000002</v>
      </c>
      <c r="AR34" s="15">
        <f t="shared" si="26"/>
        <v>0.625</v>
      </c>
      <c r="AS34" s="8">
        <f t="shared" si="15"/>
        <v>0.99226205614835017</v>
      </c>
      <c r="AT34" s="8">
        <f t="shared" si="1"/>
        <v>1.0080721006475921</v>
      </c>
      <c r="AU34" s="8">
        <f t="shared" si="2"/>
        <v>1.0053025454140185</v>
      </c>
      <c r="AV34" s="8">
        <f t="shared" si="3"/>
        <v>1.0257533379389503</v>
      </c>
      <c r="AW34" s="8">
        <f t="shared" si="4"/>
        <v>1.0217391048104436</v>
      </c>
      <c r="AX34" s="8">
        <f t="shared" si="5"/>
        <v>1.0013248098815053</v>
      </c>
      <c r="AY34" s="8">
        <f t="shared" si="6"/>
        <v>1.0084384935415061</v>
      </c>
      <c r="BA34" s="15">
        <f t="shared" si="27"/>
        <v>0.625</v>
      </c>
      <c r="BB34" s="10">
        <f t="shared" si="16"/>
        <v>346.57687141846503</v>
      </c>
      <c r="BC34" s="10">
        <f t="shared" si="7"/>
        <v>352.95934203930437</v>
      </c>
      <c r="BD34" s="10">
        <f t="shared" si="8"/>
        <v>351.94662588928821</v>
      </c>
      <c r="BE34" s="10">
        <f t="shared" si="9"/>
        <v>359.79961652884532</v>
      </c>
      <c r="BF34" s="10">
        <f t="shared" si="10"/>
        <v>357.57678704219535</v>
      </c>
      <c r="BG34" s="10">
        <f t="shared" si="11"/>
        <v>350.25373854075349</v>
      </c>
      <c r="BH34" s="10">
        <f t="shared" si="12"/>
        <v>352.95134607680399</v>
      </c>
    </row>
    <row r="35" spans="5:60" x14ac:dyDescent="0.3">
      <c r="E35" s="11">
        <f t="shared" si="20"/>
        <v>0.625</v>
      </c>
      <c r="F35" s="13">
        <v>344</v>
      </c>
      <c r="G35" s="13">
        <v>343</v>
      </c>
      <c r="H35" s="13">
        <v>331</v>
      </c>
      <c r="I35" s="13">
        <v>300</v>
      </c>
      <c r="J35" s="13">
        <v>346</v>
      </c>
      <c r="K35" s="13">
        <v>328</v>
      </c>
      <c r="L35" s="13">
        <v>332</v>
      </c>
      <c r="M35" s="13">
        <v>329</v>
      </c>
      <c r="N35" s="13">
        <v>344</v>
      </c>
      <c r="O35" s="13">
        <v>307</v>
      </c>
      <c r="P35" s="13">
        <v>344</v>
      </c>
      <c r="Q35" s="13">
        <v>343</v>
      </c>
      <c r="R35" s="13">
        <v>321</v>
      </c>
      <c r="S35" s="13">
        <v>308</v>
      </c>
      <c r="T35" s="13">
        <v>310</v>
      </c>
      <c r="U35" s="13">
        <v>314</v>
      </c>
      <c r="V35" s="13">
        <v>319</v>
      </c>
      <c r="W35" s="13">
        <v>344</v>
      </c>
      <c r="X35" s="13">
        <v>310</v>
      </c>
      <c r="Y35" s="13">
        <v>316</v>
      </c>
      <c r="Z35" s="13">
        <v>349</v>
      </c>
      <c r="AA35" s="13">
        <v>306</v>
      </c>
      <c r="AB35" s="13">
        <v>308</v>
      </c>
      <c r="AC35" s="13">
        <v>349</v>
      </c>
      <c r="AD35" s="13">
        <v>346</v>
      </c>
      <c r="AE35" s="13">
        <v>333</v>
      </c>
      <c r="AF35" s="13">
        <v>334</v>
      </c>
      <c r="AG35" s="13">
        <v>315</v>
      </c>
      <c r="AI35" s="15">
        <f t="shared" si="25"/>
        <v>0.64583333333333337</v>
      </c>
      <c r="AJ35" s="7">
        <f>SUMPRODUCT('vol 1'!F36*AHT!F36+'vol 1'!M36*AHT!M36+'vol 1'!T36*AHT!T36+'vol 1'!AA36*AHT!AA36)/SUM('vol 1'!F36,'vol 1'!M36,'vol 1'!T36,'vol 1'!AA36)</f>
        <v>326.36319612590802</v>
      </c>
      <c r="AK35" s="7">
        <f>SUMPRODUCT('vol 1'!G36*AHT!G36+'vol 1'!N36*AHT!N36+'vol 1'!U36*AHT!U36+'vol 1'!AB36*AHT!AB36)/SUM('vol 1'!G36,'vol 1'!N36,'vol 1'!U36,'vol 1'!AB36)</f>
        <v>325.89834515366431</v>
      </c>
      <c r="AL35" s="7">
        <f>SUMPRODUCT('vol 1'!H36*AHT!H36+'vol 1'!O36*AHT!O36+'vol 1'!V36*AHT!V36+'vol 1'!AC36*AHT!AC36)/SUM('vol 1'!H36,'vol 1'!O36,'vol 1'!V36,'vol 1'!AC36)</f>
        <v>319.71428571428572</v>
      </c>
      <c r="AM35" s="7">
        <f>SUMPRODUCT('vol 1'!I36*AHT!I36+'vol 1'!P36*AHT!P36+'vol 1'!W36*AHT!W36+'vol 1'!AD36*AHT!AD36)/SUM('vol 1'!I36,'vol 1'!P36,'vol 1'!W36,'vol 1'!AD36)</f>
        <v>323.92434988179667</v>
      </c>
      <c r="AN35" s="7">
        <f>SUMPRODUCT('vol 1'!J36*AHT!J36+'vol 1'!Q36*AHT!Q36+'vol 1'!X36*AHT!X36+'vol 1'!AE36*AHT!AE36)/SUM('vol 1'!J36,'vol 1'!Q36,'vol 1'!X36,'vol 1'!AE36)</f>
        <v>317.09732360097325</v>
      </c>
      <c r="AO35" s="7">
        <f>SUMPRODUCT('vol 1'!K36*AHT!K36+'vol 1'!R36*AHT!R36+'vol 1'!Y36*AHT!Y36+'vol 1'!AF36*AHT!AF36)/SUM('vol 1'!K36,'vol 1'!R36,'vol 1'!Y36,'vol 1'!AF36)</f>
        <v>330.9336870026525</v>
      </c>
      <c r="AP35" s="7">
        <f>SUMPRODUCT('vol 1'!L36*AHT!L36+'vol 1'!S36*AHT!S36+'vol 1'!Z36*AHT!Z36+'vol 1'!AG36*AHT!AG36)/SUM('vol 1'!L36,'vol 1'!S36,'vol 1'!Z36,'vol 1'!AG36)</f>
        <v>326.82205513784459</v>
      </c>
      <c r="AR35" s="15">
        <f t="shared" si="26"/>
        <v>0.64583333333333337</v>
      </c>
      <c r="AS35" s="8">
        <f t="shared" si="15"/>
        <v>1.0055677953768722</v>
      </c>
      <c r="AT35" s="8">
        <f t="shared" si="1"/>
        <v>1.001687929553869</v>
      </c>
      <c r="AU35" s="8">
        <f t="shared" si="2"/>
        <v>0.98280054687088247</v>
      </c>
      <c r="AV35" s="8">
        <f t="shared" si="3"/>
        <v>0.99382338046549989</v>
      </c>
      <c r="AW35" s="8">
        <f t="shared" si="4"/>
        <v>0.97509436152933249</v>
      </c>
      <c r="AX35" s="8">
        <f t="shared" si="5"/>
        <v>1.0181612077532356</v>
      </c>
      <c r="AY35" s="8">
        <f t="shared" si="6"/>
        <v>1.004914933589091</v>
      </c>
      <c r="BA35" s="15">
        <f t="shared" si="27"/>
        <v>0.64583333333333337</v>
      </c>
      <c r="BB35" s="10">
        <f t="shared" si="16"/>
        <v>351.22429439020635</v>
      </c>
      <c r="BC35" s="10">
        <f t="shared" si="7"/>
        <v>350.72403285134124</v>
      </c>
      <c r="BD35" s="10">
        <f t="shared" si="8"/>
        <v>344.06889544968124</v>
      </c>
      <c r="BE35" s="10">
        <f t="shared" si="9"/>
        <v>348.59966618034002</v>
      </c>
      <c r="BF35" s="10">
        <f t="shared" si="10"/>
        <v>341.25258318590653</v>
      </c>
      <c r="BG35" s="10">
        <f t="shared" si="11"/>
        <v>356.14294775632357</v>
      </c>
      <c r="BH35" s="10">
        <f t="shared" si="12"/>
        <v>351.71810752417821</v>
      </c>
    </row>
    <row r="36" spans="5:60" x14ac:dyDescent="0.3">
      <c r="E36" s="11">
        <f t="shared" si="20"/>
        <v>0.64583333333333337</v>
      </c>
      <c r="F36" s="13">
        <v>320</v>
      </c>
      <c r="G36" s="13">
        <v>311</v>
      </c>
      <c r="H36" s="13">
        <v>310</v>
      </c>
      <c r="I36" s="13">
        <v>319</v>
      </c>
      <c r="J36" s="13">
        <v>305</v>
      </c>
      <c r="K36" s="13">
        <v>323</v>
      </c>
      <c r="L36" s="13">
        <v>350</v>
      </c>
      <c r="M36" s="13">
        <v>340</v>
      </c>
      <c r="N36" s="13">
        <v>346</v>
      </c>
      <c r="O36" s="13">
        <v>331</v>
      </c>
      <c r="P36" s="13">
        <v>333</v>
      </c>
      <c r="Q36" s="13">
        <v>309</v>
      </c>
      <c r="R36" s="13">
        <v>318</v>
      </c>
      <c r="S36" s="13">
        <v>333</v>
      </c>
      <c r="T36" s="13">
        <v>336</v>
      </c>
      <c r="U36" s="13">
        <v>323</v>
      </c>
      <c r="V36" s="13">
        <v>318</v>
      </c>
      <c r="W36" s="13">
        <v>339</v>
      </c>
      <c r="X36" s="13">
        <v>306</v>
      </c>
      <c r="Y36" s="13">
        <v>337</v>
      </c>
      <c r="Z36" s="13">
        <v>312</v>
      </c>
      <c r="AA36" s="13">
        <v>308</v>
      </c>
      <c r="AB36" s="13">
        <v>321</v>
      </c>
      <c r="AC36" s="13">
        <v>322</v>
      </c>
      <c r="AD36" s="13">
        <v>306</v>
      </c>
      <c r="AE36" s="13">
        <v>345</v>
      </c>
      <c r="AF36" s="13">
        <v>346</v>
      </c>
      <c r="AG36" s="13">
        <v>312</v>
      </c>
      <c r="AI36" s="15">
        <f t="shared" si="25"/>
        <v>0.66666666666666674</v>
      </c>
      <c r="AJ36" s="7">
        <f>SUMPRODUCT('vol 1'!F37*AHT!F37+'vol 1'!M37*AHT!M37+'vol 1'!T37*AHT!T37+'vol 1'!AA37*AHT!AA37)/SUM('vol 1'!F37,'vol 1'!M37,'vol 1'!T37,'vol 1'!AA37)</f>
        <v>314.55432372505544</v>
      </c>
      <c r="AK36" s="7">
        <f>SUMPRODUCT('vol 1'!G37*AHT!G37+'vol 1'!N37*AHT!N37+'vol 1'!U37*AHT!U37+'vol 1'!AB37*AHT!AB37)/SUM('vol 1'!G37,'vol 1'!N37,'vol 1'!U37,'vol 1'!AB37)</f>
        <v>321.89903846153845</v>
      </c>
      <c r="AL36" s="7">
        <f>SUMPRODUCT('vol 1'!H37*AHT!H37+'vol 1'!O37*AHT!O37+'vol 1'!V37*AHT!V37+'vol 1'!AC37*AHT!AC37)/SUM('vol 1'!H37,'vol 1'!O37,'vol 1'!V37,'vol 1'!AC37)</f>
        <v>329.42892768079798</v>
      </c>
      <c r="AM36" s="7">
        <f>SUMPRODUCT('vol 1'!I37*AHT!I37+'vol 1'!P37*AHT!P37+'vol 1'!W37*AHT!W37+'vol 1'!AD37*AHT!AD37)/SUM('vol 1'!I37,'vol 1'!P37,'vol 1'!W37,'vol 1'!AD37)</f>
        <v>323.89295774647888</v>
      </c>
      <c r="AN36" s="7">
        <f>SUMPRODUCT('vol 1'!J37*AHT!J37+'vol 1'!Q37*AHT!Q37+'vol 1'!X37*AHT!X37+'vol 1'!AE37*AHT!AE37)/SUM('vol 1'!J37,'vol 1'!Q37,'vol 1'!X37,'vol 1'!AE37)</f>
        <v>333.70559610705595</v>
      </c>
      <c r="AO36" s="7">
        <f>SUMPRODUCT('vol 1'!K37*AHT!K37+'vol 1'!R37*AHT!R37+'vol 1'!Y37*AHT!Y37+'vol 1'!AF37*AHT!AF37)/SUM('vol 1'!K37,'vol 1'!R37,'vol 1'!Y37,'vol 1'!AF37)</f>
        <v>332.54421768707482</v>
      </c>
      <c r="AP36" s="7">
        <f>SUMPRODUCT('vol 1'!L37*AHT!L37+'vol 1'!S37*AHT!S37+'vol 1'!Z37*AHT!Z37+'vol 1'!AG37*AHT!AG37)/SUM('vol 1'!L37,'vol 1'!S37,'vol 1'!Z37,'vol 1'!AG37)</f>
        <v>325.87301587301585</v>
      </c>
      <c r="AR36" s="15">
        <f t="shared" si="26"/>
        <v>0.66666666666666674</v>
      </c>
      <c r="AS36" s="8">
        <f t="shared" si="15"/>
        <v>0.96918311129800017</v>
      </c>
      <c r="AT36" s="8">
        <f t="shared" si="1"/>
        <v>0.98939557735368344</v>
      </c>
      <c r="AU36" s="8">
        <f t="shared" si="2"/>
        <v>1.0126633208035909</v>
      </c>
      <c r="AV36" s="8">
        <f t="shared" si="3"/>
        <v>0.99372706711933456</v>
      </c>
      <c r="AW36" s="8">
        <f t="shared" si="4"/>
        <v>1.0261658517945824</v>
      </c>
      <c r="AX36" s="8">
        <f t="shared" si="5"/>
        <v>1.0231162181712652</v>
      </c>
      <c r="AY36" s="8">
        <f t="shared" si="6"/>
        <v>1.0019968204605674</v>
      </c>
      <c r="BA36" s="15">
        <f t="shared" si="27"/>
        <v>0.66666666666666674</v>
      </c>
      <c r="BB36" s="10">
        <f t="shared" si="16"/>
        <v>338.51586731948566</v>
      </c>
      <c r="BC36" s="10">
        <f t="shared" si="7"/>
        <v>346.42007429331181</v>
      </c>
      <c r="BD36" s="10">
        <f t="shared" si="8"/>
        <v>354.52356163276835</v>
      </c>
      <c r="BE36" s="10">
        <f t="shared" si="9"/>
        <v>348.56588271239002</v>
      </c>
      <c r="BF36" s="10">
        <f t="shared" si="10"/>
        <v>359.12601027950188</v>
      </c>
      <c r="BG36" s="10">
        <f t="shared" si="11"/>
        <v>357.87616249972797</v>
      </c>
      <c r="BH36" s="10">
        <f t="shared" si="12"/>
        <v>350.69677408310758</v>
      </c>
    </row>
    <row r="37" spans="5:60" x14ac:dyDescent="0.3">
      <c r="E37" s="11">
        <f t="shared" si="20"/>
        <v>0.66666666666666674</v>
      </c>
      <c r="F37" s="13">
        <v>331</v>
      </c>
      <c r="G37" s="13">
        <v>324</v>
      </c>
      <c r="H37" s="13">
        <v>309</v>
      </c>
      <c r="I37" s="13">
        <v>345</v>
      </c>
      <c r="J37" s="13">
        <v>345</v>
      </c>
      <c r="K37" s="13">
        <v>324</v>
      </c>
      <c r="L37" s="13">
        <v>326</v>
      </c>
      <c r="M37" s="13">
        <v>300</v>
      </c>
      <c r="N37" s="13">
        <v>305</v>
      </c>
      <c r="O37" s="13">
        <v>328</v>
      </c>
      <c r="P37" s="13">
        <v>300</v>
      </c>
      <c r="Q37" s="13">
        <v>316</v>
      </c>
      <c r="R37" s="13">
        <v>344</v>
      </c>
      <c r="S37" s="13">
        <v>300</v>
      </c>
      <c r="T37" s="13">
        <v>326</v>
      </c>
      <c r="U37" s="13">
        <v>306</v>
      </c>
      <c r="V37" s="13">
        <v>346</v>
      </c>
      <c r="W37" s="13">
        <v>309</v>
      </c>
      <c r="X37" s="13">
        <v>349</v>
      </c>
      <c r="Y37" s="13">
        <v>329</v>
      </c>
      <c r="Z37" s="13">
        <v>328</v>
      </c>
      <c r="AA37" s="13">
        <v>302</v>
      </c>
      <c r="AB37" s="13">
        <v>349</v>
      </c>
      <c r="AC37" s="13">
        <v>334</v>
      </c>
      <c r="AD37" s="13">
        <v>349</v>
      </c>
      <c r="AE37" s="13">
        <v>318</v>
      </c>
      <c r="AF37" s="13">
        <v>333</v>
      </c>
      <c r="AG37" s="13">
        <v>346</v>
      </c>
      <c r="AI37" s="15">
        <f t="shared" si="25"/>
        <v>0.68750000000000011</v>
      </c>
      <c r="AJ37" s="7">
        <f>SUMPRODUCT('vol 1'!F38*AHT!F38+'vol 1'!M38*AHT!M38+'vol 1'!T38*AHT!T38+'vol 1'!AA38*AHT!AA38)/SUM('vol 1'!F38,'vol 1'!M38,'vol 1'!T38,'vol 1'!AA38)</f>
        <v>314.96561604584525</v>
      </c>
      <c r="AK37" s="7">
        <f>SUMPRODUCT('vol 1'!G38*AHT!G38+'vol 1'!N38*AHT!N38+'vol 1'!U38*AHT!U38+'vol 1'!AB38*AHT!AB38)/SUM('vol 1'!G38,'vol 1'!N38,'vol 1'!U38,'vol 1'!AB38)</f>
        <v>318.28644501278774</v>
      </c>
      <c r="AL37" s="7">
        <f>SUMPRODUCT('vol 1'!H38*AHT!H38+'vol 1'!O38*AHT!O38+'vol 1'!V38*AHT!V38+'vol 1'!AC38*AHT!AC38)/SUM('vol 1'!H38,'vol 1'!O38,'vol 1'!V38,'vol 1'!AC38)</f>
        <v>326.35897435897436</v>
      </c>
      <c r="AM37" s="7">
        <f>SUMPRODUCT('vol 1'!I38*AHT!I38+'vol 1'!P38*AHT!P38+'vol 1'!W38*AHT!W38+'vol 1'!AD38*AHT!AD38)/SUM('vol 1'!I38,'vol 1'!P38,'vol 1'!W38,'vol 1'!AD38)</f>
        <v>334.71860465116276</v>
      </c>
      <c r="AN37" s="7">
        <f>SUMPRODUCT('vol 1'!J38*AHT!J38+'vol 1'!Q38*AHT!Q38+'vol 1'!X38*AHT!X38+'vol 1'!AE38*AHT!AE38)/SUM('vol 1'!J38,'vol 1'!Q38,'vol 1'!X38,'vol 1'!AE38)</f>
        <v>328.14004914004914</v>
      </c>
      <c r="AO37" s="7">
        <f>SUMPRODUCT('vol 1'!K38*AHT!K38+'vol 1'!R38*AHT!R38+'vol 1'!Y38*AHT!Y38+'vol 1'!AF38*AHT!AF38)/SUM('vol 1'!K38,'vol 1'!R38,'vol 1'!Y38,'vol 1'!AF38)</f>
        <v>330.58949880668257</v>
      </c>
      <c r="AP37" s="7">
        <f>SUMPRODUCT('vol 1'!L38*AHT!L38+'vol 1'!S38*AHT!S38+'vol 1'!Z38*AHT!Z38+'vol 1'!AG38*AHT!AG38)/SUM('vol 1'!L38,'vol 1'!S38,'vol 1'!Z38,'vol 1'!AG38)</f>
        <v>323.12224938875306</v>
      </c>
      <c r="AR37" s="15">
        <f t="shared" si="26"/>
        <v>0.68750000000000011</v>
      </c>
      <c r="AS37" s="8">
        <f t="shared" si="15"/>
        <v>0.97045035686116876</v>
      </c>
      <c r="AT37" s="8">
        <f t="shared" si="1"/>
        <v>0.97829183501865336</v>
      </c>
      <c r="AU37" s="8">
        <f t="shared" si="2"/>
        <v>1.0032262955020295</v>
      </c>
      <c r="AV37" s="8">
        <f t="shared" si="3"/>
        <v>1.0269409363652395</v>
      </c>
      <c r="AW37" s="8">
        <f t="shared" si="4"/>
        <v>1.0090514422349983</v>
      </c>
      <c r="AX37" s="8">
        <f t="shared" si="5"/>
        <v>1.0171022672975898</v>
      </c>
      <c r="AY37" s="8">
        <f t="shared" si="6"/>
        <v>0.99353874281435062</v>
      </c>
      <c r="BA37" s="15">
        <f t="shared" si="27"/>
        <v>0.68750000000000011</v>
      </c>
      <c r="BB37" s="10">
        <f t="shared" si="16"/>
        <v>338.95849031396625</v>
      </c>
      <c r="BC37" s="10">
        <f t="shared" si="7"/>
        <v>342.53228731237215</v>
      </c>
      <c r="BD37" s="10">
        <f t="shared" si="8"/>
        <v>351.21975102523771</v>
      </c>
      <c r="BE37" s="10">
        <f t="shared" si="9"/>
        <v>360.21618593453468</v>
      </c>
      <c r="BF37" s="10">
        <f t="shared" si="10"/>
        <v>353.1365012613698</v>
      </c>
      <c r="BG37" s="10">
        <f t="shared" si="11"/>
        <v>355.77254062187347</v>
      </c>
      <c r="BH37" s="10">
        <f t="shared" si="12"/>
        <v>347.73646474389312</v>
      </c>
    </row>
    <row r="38" spans="5:60" x14ac:dyDescent="0.3">
      <c r="E38" s="11">
        <f t="shared" si="20"/>
        <v>0.68750000000000011</v>
      </c>
      <c r="F38" s="13">
        <v>310</v>
      </c>
      <c r="G38" s="13">
        <v>309</v>
      </c>
      <c r="H38" s="13">
        <v>301</v>
      </c>
      <c r="I38" s="13">
        <v>345</v>
      </c>
      <c r="J38" s="13">
        <v>347</v>
      </c>
      <c r="K38" s="13">
        <v>332</v>
      </c>
      <c r="L38" s="13">
        <v>316</v>
      </c>
      <c r="M38" s="13">
        <v>309</v>
      </c>
      <c r="N38" s="13">
        <v>323</v>
      </c>
      <c r="O38" s="13">
        <v>335</v>
      </c>
      <c r="P38" s="13">
        <v>324</v>
      </c>
      <c r="Q38" s="13">
        <v>311</v>
      </c>
      <c r="R38" s="13">
        <v>329</v>
      </c>
      <c r="S38" s="13">
        <v>324</v>
      </c>
      <c r="T38" s="13">
        <v>318</v>
      </c>
      <c r="U38" s="13">
        <v>318</v>
      </c>
      <c r="V38" s="13">
        <v>335</v>
      </c>
      <c r="W38" s="13">
        <v>325</v>
      </c>
      <c r="X38" s="13">
        <v>331</v>
      </c>
      <c r="Y38" s="13">
        <v>349</v>
      </c>
      <c r="Z38" s="13">
        <v>335</v>
      </c>
      <c r="AA38" s="13">
        <v>323</v>
      </c>
      <c r="AB38" s="13">
        <v>326</v>
      </c>
      <c r="AC38" s="13">
        <v>341</v>
      </c>
      <c r="AD38" s="13">
        <v>343</v>
      </c>
      <c r="AE38" s="13">
        <v>323</v>
      </c>
      <c r="AF38" s="13">
        <v>311</v>
      </c>
      <c r="AG38" s="13">
        <v>316</v>
      </c>
      <c r="AI38" s="15">
        <f t="shared" si="25"/>
        <v>0.70833333333333348</v>
      </c>
      <c r="AJ38" s="7">
        <f>SUMPRODUCT('vol 1'!F39*AHT!F39+'vol 1'!M39*AHT!M39+'vol 1'!T39*AHT!T39+'vol 1'!AA39*AHT!AA39)/SUM('vol 1'!F39,'vol 1'!M39,'vol 1'!T39,'vol 1'!AA39)</f>
        <v>323.18947368421055</v>
      </c>
      <c r="AK38" s="7">
        <f>SUMPRODUCT('vol 1'!G39*AHT!G39+'vol 1'!N39*AHT!N39+'vol 1'!U39*AHT!U39+'vol 1'!AB39*AHT!AB39)/SUM('vol 1'!G39,'vol 1'!N39,'vol 1'!U39,'vol 1'!AB39)</f>
        <v>332.06617647058823</v>
      </c>
      <c r="AL38" s="7">
        <f>SUMPRODUCT('vol 1'!H39*AHT!H39+'vol 1'!O39*AHT!O39+'vol 1'!V39*AHT!V39+'vol 1'!AC39*AHT!AC39)/SUM('vol 1'!H39,'vol 1'!O39,'vol 1'!V39,'vol 1'!AC39)</f>
        <v>320.15844155844155</v>
      </c>
      <c r="AM38" s="7">
        <f>SUMPRODUCT('vol 1'!I39*AHT!I39+'vol 1'!P39*AHT!P39+'vol 1'!W39*AHT!W39+'vol 1'!AD39*AHT!AD39)/SUM('vol 1'!I39,'vol 1'!P39,'vol 1'!W39,'vol 1'!AD39)</f>
        <v>331.15294117647056</v>
      </c>
      <c r="AN38" s="7">
        <f>SUMPRODUCT('vol 1'!J39*AHT!J39+'vol 1'!Q39*AHT!Q39+'vol 1'!X39*AHT!X39+'vol 1'!AE39*AHT!AE39)/SUM('vol 1'!J39,'vol 1'!Q39,'vol 1'!X39,'vol 1'!AE39)</f>
        <v>327.48655256723714</v>
      </c>
      <c r="AO38" s="7">
        <f>SUMPRODUCT('vol 1'!K39*AHT!K39+'vol 1'!R39*AHT!R39+'vol 1'!Y39*AHT!Y39+'vol 1'!AF39*AHT!AF39)/SUM('vol 1'!K39,'vol 1'!R39,'vol 1'!Y39,'vol 1'!AF39)</f>
        <v>316.95384615384614</v>
      </c>
      <c r="AP38" s="7">
        <f>SUMPRODUCT('vol 1'!L39*AHT!L39+'vol 1'!S39*AHT!S39+'vol 1'!Z39*AHT!Z39+'vol 1'!AG39*AHT!AG39)/SUM('vol 1'!L39,'vol 1'!S39,'vol 1'!Z39,'vol 1'!AG39)</f>
        <v>316.58852867830421</v>
      </c>
      <c r="AR38" s="15">
        <f t="shared" si="26"/>
        <v>0.70833333333333348</v>
      </c>
      <c r="AS38" s="8">
        <f t="shared" si="15"/>
        <v>0.99578914044053379</v>
      </c>
      <c r="AT38" s="8">
        <f t="shared" si="1"/>
        <v>1.0206455041275415</v>
      </c>
      <c r="AU38" s="8">
        <f t="shared" si="2"/>
        <v>0.98416588031401286</v>
      </c>
      <c r="AV38" s="8">
        <f t="shared" si="3"/>
        <v>1.0160012224187145</v>
      </c>
      <c r="AW38" s="8">
        <f t="shared" si="4"/>
        <v>1.0070418988677083</v>
      </c>
      <c r="AX38" s="8">
        <f t="shared" si="5"/>
        <v>0.97515038050341074</v>
      </c>
      <c r="AY38" s="8">
        <f t="shared" si="6"/>
        <v>0.97344880882546769</v>
      </c>
      <c r="BA38" s="15">
        <f t="shared" si="27"/>
        <v>0.70833333333333348</v>
      </c>
      <c r="BB38" s="10">
        <f t="shared" si="16"/>
        <v>347.80880992870016</v>
      </c>
      <c r="BC38" s="10">
        <f t="shared" si="7"/>
        <v>357.361705934334</v>
      </c>
      <c r="BD38" s="10">
        <f t="shared" si="8"/>
        <v>344.54688538486602</v>
      </c>
      <c r="BE38" s="10">
        <f t="shared" si="9"/>
        <v>356.37890387332902</v>
      </c>
      <c r="BF38" s="10">
        <f t="shared" si="10"/>
        <v>352.43322382262403</v>
      </c>
      <c r="BG38" s="10">
        <f t="shared" si="11"/>
        <v>341.09817617639595</v>
      </c>
      <c r="BH38" s="10">
        <f t="shared" si="12"/>
        <v>340.70503021478413</v>
      </c>
    </row>
    <row r="39" spans="5:60" x14ac:dyDescent="0.3">
      <c r="E39" s="11">
        <f t="shared" si="20"/>
        <v>0.70833333333333348</v>
      </c>
      <c r="F39" s="13">
        <v>337</v>
      </c>
      <c r="G39" s="13">
        <v>300</v>
      </c>
      <c r="H39" s="13">
        <v>339</v>
      </c>
      <c r="I39" s="13">
        <v>329</v>
      </c>
      <c r="J39" s="13">
        <v>329</v>
      </c>
      <c r="K39" s="13">
        <v>308</v>
      </c>
      <c r="L39" s="13">
        <v>300</v>
      </c>
      <c r="M39" s="13">
        <v>333</v>
      </c>
      <c r="N39" s="13">
        <v>347</v>
      </c>
      <c r="O39" s="13">
        <v>312</v>
      </c>
      <c r="P39" s="13">
        <v>332</v>
      </c>
      <c r="Q39" s="13">
        <v>328</v>
      </c>
      <c r="R39" s="13">
        <v>323</v>
      </c>
      <c r="S39" s="13">
        <v>313</v>
      </c>
      <c r="T39" s="13">
        <v>309</v>
      </c>
      <c r="U39" s="13">
        <v>341</v>
      </c>
      <c r="V39" s="13">
        <v>326</v>
      </c>
      <c r="W39" s="13">
        <v>347</v>
      </c>
      <c r="X39" s="13">
        <v>332</v>
      </c>
      <c r="Y39" s="13">
        <v>321</v>
      </c>
      <c r="Z39" s="13">
        <v>308</v>
      </c>
      <c r="AA39" s="13">
        <v>314</v>
      </c>
      <c r="AB39" s="13">
        <v>338</v>
      </c>
      <c r="AC39" s="13">
        <v>310</v>
      </c>
      <c r="AD39" s="13">
        <v>318</v>
      </c>
      <c r="AE39" s="13">
        <v>321</v>
      </c>
      <c r="AF39" s="13">
        <v>314</v>
      </c>
      <c r="AG39" s="13">
        <v>345</v>
      </c>
      <c r="AI39" s="15">
        <f t="shared" si="25"/>
        <v>0.72916666666666685</v>
      </c>
      <c r="AJ39" s="7">
        <f>SUMPRODUCT('vol 1'!F40*AHT!F40+'vol 1'!M40*AHT!M40+'vol 1'!T40*AHT!T40+'vol 1'!AA40*AHT!AA40)/SUM('vol 1'!F40,'vol 1'!M40,'vol 1'!T40,'vol 1'!AA40)</f>
        <v>330.2879177377892</v>
      </c>
      <c r="AK39" s="7">
        <f>SUMPRODUCT('vol 1'!G40*AHT!G40+'vol 1'!N40*AHT!N40+'vol 1'!U40*AHT!U40+'vol 1'!AB40*AHT!AB40)/SUM('vol 1'!G40,'vol 1'!N40,'vol 1'!U40,'vol 1'!AB40)</f>
        <v>313.60421545667447</v>
      </c>
      <c r="AL39" s="7">
        <f>SUMPRODUCT('vol 1'!H40*AHT!H40+'vol 1'!O40*AHT!O40+'vol 1'!V40*AHT!V40+'vol 1'!AC40*AHT!AC40)/SUM('vol 1'!H40,'vol 1'!O40,'vol 1'!V40,'vol 1'!AC40)</f>
        <v>325.73184357541902</v>
      </c>
      <c r="AM39" s="7">
        <f>SUMPRODUCT('vol 1'!I40*AHT!I40+'vol 1'!P40*AHT!P40+'vol 1'!W40*AHT!W40+'vol 1'!AD40*AHT!AD40)/SUM('vol 1'!I40,'vol 1'!P40,'vol 1'!W40,'vol 1'!AD40)</f>
        <v>316.89999999999998</v>
      </c>
      <c r="AN39" s="7">
        <f>SUMPRODUCT('vol 1'!J40*AHT!J40+'vol 1'!Q40*AHT!Q40+'vol 1'!X40*AHT!X40+'vol 1'!AE40*AHT!AE40)/SUM('vol 1'!J40,'vol 1'!Q40,'vol 1'!X40,'vol 1'!AE40)</f>
        <v>317.86682808716705</v>
      </c>
      <c r="AO39" s="7">
        <f>SUMPRODUCT('vol 1'!K40*AHT!K40+'vol 1'!R40*AHT!R40+'vol 1'!Y40*AHT!Y40+'vol 1'!AF40*AHT!AF40)/SUM('vol 1'!K40,'vol 1'!R40,'vol 1'!Y40,'vol 1'!AF40)</f>
        <v>331.35828877005349</v>
      </c>
      <c r="AP39" s="7">
        <f>SUMPRODUCT('vol 1'!L40*AHT!L40+'vol 1'!S40*AHT!S40+'vol 1'!Z40*AHT!Z40+'vol 1'!AG40*AHT!AG40)/SUM('vol 1'!L40,'vol 1'!S40,'vol 1'!Z40,'vol 1'!AG40)</f>
        <v>329.95260663507111</v>
      </c>
      <c r="AR39" s="15">
        <f t="shared" si="26"/>
        <v>0.72916666666666685</v>
      </c>
      <c r="AS39" s="8">
        <f t="shared" si="15"/>
        <v>1.0176603772169053</v>
      </c>
      <c r="AT39" s="8">
        <f t="shared" si="1"/>
        <v>0.96390043690477956</v>
      </c>
      <c r="AU39" s="8">
        <f t="shared" si="2"/>
        <v>1.0012984977633055</v>
      </c>
      <c r="AV39" s="8">
        <f t="shared" si="3"/>
        <v>0.97227216596851307</v>
      </c>
      <c r="AW39" s="8">
        <f t="shared" si="4"/>
        <v>0.97746063658059501</v>
      </c>
      <c r="AX39" s="8">
        <f t="shared" si="5"/>
        <v>1.0194675511848359</v>
      </c>
      <c r="AY39" s="8">
        <f t="shared" si="6"/>
        <v>1.014540777073264</v>
      </c>
      <c r="BA39" s="15">
        <f t="shared" si="27"/>
        <v>0.72916666666666685</v>
      </c>
      <c r="BB39" s="10">
        <f t="shared" si="16"/>
        <v>355.44798626224929</v>
      </c>
      <c r="BC39" s="10">
        <f t="shared" si="7"/>
        <v>337.49338344226663</v>
      </c>
      <c r="BD39" s="10">
        <f t="shared" si="8"/>
        <v>350.5448478205895</v>
      </c>
      <c r="BE39" s="10">
        <f t="shared" si="9"/>
        <v>341.04022822878812</v>
      </c>
      <c r="BF39" s="10">
        <f t="shared" si="10"/>
        <v>342.08070557654906</v>
      </c>
      <c r="BG39" s="10">
        <f t="shared" si="11"/>
        <v>356.59989406008117</v>
      </c>
      <c r="BH39" s="10">
        <f t="shared" si="12"/>
        <v>355.08713244401446</v>
      </c>
    </row>
    <row r="40" spans="5:60" x14ac:dyDescent="0.3">
      <c r="E40" s="11">
        <f t="shared" si="20"/>
        <v>0.72916666666666685</v>
      </c>
      <c r="F40" s="13">
        <v>323</v>
      </c>
      <c r="G40" s="13">
        <v>305</v>
      </c>
      <c r="H40" s="13">
        <v>347</v>
      </c>
      <c r="I40" s="13">
        <v>307</v>
      </c>
      <c r="J40" s="13">
        <v>318</v>
      </c>
      <c r="K40" s="13">
        <v>317</v>
      </c>
      <c r="L40" s="13">
        <v>345</v>
      </c>
      <c r="M40" s="13">
        <v>340</v>
      </c>
      <c r="N40" s="13">
        <v>316</v>
      </c>
      <c r="O40" s="13">
        <v>345</v>
      </c>
      <c r="P40" s="13">
        <v>308</v>
      </c>
      <c r="Q40" s="13">
        <v>331</v>
      </c>
      <c r="R40" s="13">
        <v>339</v>
      </c>
      <c r="S40" s="13">
        <v>327</v>
      </c>
      <c r="T40" s="13">
        <v>308</v>
      </c>
      <c r="U40" s="13">
        <v>304</v>
      </c>
      <c r="V40" s="13">
        <v>303</v>
      </c>
      <c r="W40" s="13">
        <v>335</v>
      </c>
      <c r="X40" s="13">
        <v>317</v>
      </c>
      <c r="Y40" s="13">
        <v>346</v>
      </c>
      <c r="Z40" s="13">
        <v>313</v>
      </c>
      <c r="AA40" s="13">
        <v>344</v>
      </c>
      <c r="AB40" s="13">
        <v>331</v>
      </c>
      <c r="AC40" s="13">
        <v>309</v>
      </c>
      <c r="AD40" s="13">
        <v>320</v>
      </c>
      <c r="AE40" s="13">
        <v>301</v>
      </c>
      <c r="AF40" s="13">
        <v>319</v>
      </c>
      <c r="AG40" s="13">
        <v>335</v>
      </c>
      <c r="AI40" s="15">
        <f t="shared" si="25"/>
        <v>0.75000000000000022</v>
      </c>
      <c r="AJ40" s="7">
        <f>SUMPRODUCT('vol 1'!F41*AHT!F41+'vol 1'!M41*AHT!M41+'vol 1'!T41*AHT!T41+'vol 1'!AA41*AHT!AA41)/SUM('vol 1'!F41,'vol 1'!M41,'vol 1'!T41,'vol 1'!AA41)</f>
        <v>329.16385542168672</v>
      </c>
      <c r="AK40" s="7">
        <f>SUMPRODUCT('vol 1'!G41*AHT!G41+'vol 1'!N41*AHT!N41+'vol 1'!U41*AHT!U41+'vol 1'!AB41*AHT!AB41)/SUM('vol 1'!G41,'vol 1'!N41,'vol 1'!U41,'vol 1'!AB41)</f>
        <v>318.99457994579944</v>
      </c>
      <c r="AL40" s="7">
        <f>SUMPRODUCT('vol 1'!H41*AHT!H41+'vol 1'!O41*AHT!O41+'vol 1'!V41*AHT!V41+'vol 1'!AC41*AHT!AC41)/SUM('vol 1'!H41,'vol 1'!O41,'vol 1'!V41,'vol 1'!AC41)</f>
        <v>322.08466819221968</v>
      </c>
      <c r="AM40" s="7">
        <f>SUMPRODUCT('vol 1'!I41*AHT!I41+'vol 1'!P41*AHT!P41+'vol 1'!W41*AHT!W41+'vol 1'!AD41*AHT!AD41)/SUM('vol 1'!I41,'vol 1'!P41,'vol 1'!W41,'vol 1'!AD41)</f>
        <v>321.68144044321332</v>
      </c>
      <c r="AN40" s="7">
        <f>SUMPRODUCT('vol 1'!J41*AHT!J41+'vol 1'!Q41*AHT!Q41+'vol 1'!X41*AHT!X41+'vol 1'!AE41*AHT!AE41)/SUM('vol 1'!J41,'vol 1'!Q41,'vol 1'!X41,'vol 1'!AE41)</f>
        <v>312.7842105263158</v>
      </c>
      <c r="AO40" s="7">
        <f>SUMPRODUCT('vol 1'!K41*AHT!K41+'vol 1'!R41*AHT!R41+'vol 1'!Y41*AHT!Y41+'vol 1'!AF41*AHT!AF41)/SUM('vol 1'!K41,'vol 1'!R41,'vol 1'!Y41,'vol 1'!AF41)</f>
        <v>324.64356435643566</v>
      </c>
      <c r="AP40" s="7">
        <f>SUMPRODUCT('vol 1'!L41*AHT!L41+'vol 1'!S41*AHT!S41+'vol 1'!Z41*AHT!Z41+'vol 1'!AG41*AHT!AG41)/SUM('vol 1'!L41,'vol 1'!S41,'vol 1'!Z41,'vol 1'!AG41)</f>
        <v>333.53571428571428</v>
      </c>
      <c r="AR40" s="15">
        <f t="shared" si="26"/>
        <v>0.75000000000000022</v>
      </c>
      <c r="AS40" s="8">
        <f t="shared" si="15"/>
        <v>1.0141969938498872</v>
      </c>
      <c r="AT40" s="8">
        <f t="shared" si="1"/>
        <v>0.9804683732718894</v>
      </c>
      <c r="AU40" s="8">
        <f t="shared" si="2"/>
        <v>0.99008709395276207</v>
      </c>
      <c r="AV40" s="8">
        <f t="shared" si="3"/>
        <v>0.98694197176268306</v>
      </c>
      <c r="AW40" s="8">
        <f t="shared" si="4"/>
        <v>0.96183126554360532</v>
      </c>
      <c r="AX40" s="8">
        <f t="shared" si="5"/>
        <v>0.99880881444328284</v>
      </c>
      <c r="AY40" s="8">
        <f t="shared" si="6"/>
        <v>1.0255581436499166</v>
      </c>
      <c r="BA40" s="15">
        <f t="shared" si="27"/>
        <v>0.75000000000000022</v>
      </c>
      <c r="BB40" s="10">
        <f t="shared" si="16"/>
        <v>354.23829718422166</v>
      </c>
      <c r="BC40" s="10">
        <f t="shared" si="7"/>
        <v>343.29436525232512</v>
      </c>
      <c r="BD40" s="10">
        <f t="shared" si="8"/>
        <v>346.61984458588859</v>
      </c>
      <c r="BE40" s="10">
        <f t="shared" si="9"/>
        <v>346.18590049138146</v>
      </c>
      <c r="BF40" s="10">
        <f t="shared" si="10"/>
        <v>336.61091367704654</v>
      </c>
      <c r="BG40" s="10">
        <f t="shared" si="11"/>
        <v>349.37366765896519</v>
      </c>
      <c r="BH40" s="10">
        <f t="shared" si="12"/>
        <v>358.9431875116814</v>
      </c>
    </row>
    <row r="41" spans="5:60" x14ac:dyDescent="0.3">
      <c r="E41" s="11">
        <f t="shared" si="20"/>
        <v>0.75000000000000022</v>
      </c>
      <c r="F41" s="13">
        <v>325</v>
      </c>
      <c r="G41" s="13">
        <v>344</v>
      </c>
      <c r="H41" s="13">
        <v>320</v>
      </c>
      <c r="I41" s="13">
        <v>301</v>
      </c>
      <c r="J41" s="13">
        <v>308</v>
      </c>
      <c r="K41" s="13">
        <v>345</v>
      </c>
      <c r="L41" s="13">
        <v>334</v>
      </c>
      <c r="M41" s="13">
        <v>346</v>
      </c>
      <c r="N41" s="13">
        <v>323</v>
      </c>
      <c r="O41" s="13">
        <v>333</v>
      </c>
      <c r="P41" s="13">
        <v>348</v>
      </c>
      <c r="Q41" s="13">
        <v>305</v>
      </c>
      <c r="R41" s="13">
        <v>339</v>
      </c>
      <c r="S41" s="13">
        <v>327</v>
      </c>
      <c r="T41" s="13">
        <v>301</v>
      </c>
      <c r="U41" s="13">
        <v>301</v>
      </c>
      <c r="V41" s="13">
        <v>335</v>
      </c>
      <c r="W41" s="13">
        <v>321</v>
      </c>
      <c r="X41" s="13">
        <v>316</v>
      </c>
      <c r="Y41" s="13">
        <v>316</v>
      </c>
      <c r="Z41" s="13">
        <v>322</v>
      </c>
      <c r="AA41" s="13">
        <v>344</v>
      </c>
      <c r="AB41" s="13">
        <v>308</v>
      </c>
      <c r="AC41" s="13">
        <v>300</v>
      </c>
      <c r="AD41" s="13">
        <v>318</v>
      </c>
      <c r="AE41" s="13">
        <v>320</v>
      </c>
      <c r="AF41" s="13">
        <v>301</v>
      </c>
      <c r="AG41" s="13">
        <v>349</v>
      </c>
      <c r="AI41" s="15">
        <f t="shared" si="25"/>
        <v>0.77083333333333359</v>
      </c>
      <c r="AJ41" s="7">
        <f>SUMPRODUCT('vol 1'!F42*AHT!F42+'vol 1'!M42*AHT!M42+'vol 1'!T42*AHT!T42+'vol 1'!AA42*AHT!AA42)/SUM('vol 1'!F42,'vol 1'!M42,'vol 1'!T42,'vol 1'!AA42)</f>
        <v>336.31658291457285</v>
      </c>
      <c r="AK41" s="7">
        <f>SUMPRODUCT('vol 1'!G42*AHT!G42+'vol 1'!N42*AHT!N42+'vol 1'!U42*AHT!U42+'vol 1'!AB42*AHT!AB42)/SUM('vol 1'!G42,'vol 1'!N42,'vol 1'!U42,'vol 1'!AB42)</f>
        <v>323.0257731958763</v>
      </c>
      <c r="AL41" s="7">
        <f>SUMPRODUCT('vol 1'!H42*AHT!H42+'vol 1'!O42*AHT!O42+'vol 1'!V42*AHT!V42+'vol 1'!AC42*AHT!AC42)/SUM('vol 1'!H42,'vol 1'!O42,'vol 1'!V42,'vol 1'!AC42)</f>
        <v>323.45913461538464</v>
      </c>
      <c r="AM41" s="7">
        <f>SUMPRODUCT('vol 1'!I42*AHT!I42+'vol 1'!P42*AHT!P42+'vol 1'!W42*AHT!W42+'vol 1'!AD42*AHT!AD42)/SUM('vol 1'!I42,'vol 1'!P42,'vol 1'!W42,'vol 1'!AD42)</f>
        <v>325.57451923076923</v>
      </c>
      <c r="AN41" s="7">
        <f>SUMPRODUCT('vol 1'!J42*AHT!J42+'vol 1'!Q42*AHT!Q42+'vol 1'!X42*AHT!X42+'vol 1'!AE42*AHT!AE42)/SUM('vol 1'!J42,'vol 1'!Q42,'vol 1'!X42,'vol 1'!AE42)</f>
        <v>331.37179487179486</v>
      </c>
      <c r="AO41" s="7">
        <f>SUMPRODUCT('vol 1'!K42*AHT!K42+'vol 1'!R42*AHT!R42+'vol 1'!Y42*AHT!Y42+'vol 1'!AF42*AHT!AF42)/SUM('vol 1'!K42,'vol 1'!R42,'vol 1'!Y42,'vol 1'!AF42)</f>
        <v>328.55927835051546</v>
      </c>
      <c r="AP41" s="7">
        <f>SUMPRODUCT('vol 1'!L42*AHT!L42+'vol 1'!S42*AHT!S42+'vol 1'!Z42*AHT!Z42+'vol 1'!AG42*AHT!AG42)/SUM('vol 1'!L42,'vol 1'!S42,'vol 1'!Z42,'vol 1'!AG42)</f>
        <v>328.83959899749374</v>
      </c>
      <c r="AR41" s="15">
        <f t="shared" si="26"/>
        <v>0.77083333333333359</v>
      </c>
      <c r="AS41" s="8">
        <f t="shared" si="15"/>
        <v>1.0362354850196396</v>
      </c>
      <c r="AT41" s="8">
        <f t="shared" si="1"/>
        <v>0.99285873265955993</v>
      </c>
      <c r="AU41" s="8">
        <f t="shared" si="2"/>
        <v>0.99431219871880105</v>
      </c>
      <c r="AV41" s="8">
        <f t="shared" si="3"/>
        <v>0.99888621961709467</v>
      </c>
      <c r="AW41" s="8">
        <f t="shared" si="4"/>
        <v>1.0189892651252577</v>
      </c>
      <c r="AX41" s="8">
        <f t="shared" si="5"/>
        <v>1.0108560258515207</v>
      </c>
      <c r="AY41" s="8">
        <f t="shared" si="6"/>
        <v>1.0111184927487606</v>
      </c>
      <c r="BA41" s="15">
        <f t="shared" si="27"/>
        <v>0.77083333333333359</v>
      </c>
      <c r="BB41" s="10">
        <f t="shared" si="16"/>
        <v>361.93589206157162</v>
      </c>
      <c r="BC41" s="10">
        <f t="shared" si="7"/>
        <v>347.63263936416024</v>
      </c>
      <c r="BD41" s="10">
        <f t="shared" si="8"/>
        <v>348.09901259677213</v>
      </c>
      <c r="BE41" s="10">
        <f t="shared" si="9"/>
        <v>350.37553910993847</v>
      </c>
      <c r="BF41" s="10">
        <f t="shared" si="10"/>
        <v>356.6144290049229</v>
      </c>
      <c r="BG41" s="10">
        <f t="shared" si="11"/>
        <v>353.58766574738314</v>
      </c>
      <c r="BH41" s="10">
        <f t="shared" si="12"/>
        <v>353.88934014758104</v>
      </c>
    </row>
    <row r="42" spans="5:60" x14ac:dyDescent="0.3">
      <c r="E42" s="11">
        <f t="shared" si="20"/>
        <v>0.77083333333333359</v>
      </c>
      <c r="F42" s="13">
        <v>312</v>
      </c>
      <c r="G42" s="13">
        <v>340</v>
      </c>
      <c r="H42" s="13">
        <v>308</v>
      </c>
      <c r="I42" s="13">
        <v>329</v>
      </c>
      <c r="J42" s="13">
        <v>343</v>
      </c>
      <c r="K42" s="13">
        <v>335</v>
      </c>
      <c r="L42" s="13">
        <v>332</v>
      </c>
      <c r="M42" s="13">
        <v>347</v>
      </c>
      <c r="N42" s="13">
        <v>306</v>
      </c>
      <c r="O42" s="13">
        <v>323</v>
      </c>
      <c r="P42" s="13">
        <v>349</v>
      </c>
      <c r="Q42" s="13">
        <v>313</v>
      </c>
      <c r="R42" s="13">
        <v>303</v>
      </c>
      <c r="S42" s="13">
        <v>332</v>
      </c>
      <c r="T42" s="13">
        <v>348</v>
      </c>
      <c r="U42" s="13">
        <v>339</v>
      </c>
      <c r="V42" s="13">
        <v>319</v>
      </c>
      <c r="W42" s="13">
        <v>302</v>
      </c>
      <c r="X42" s="13">
        <v>337</v>
      </c>
      <c r="Y42" s="13">
        <v>342</v>
      </c>
      <c r="Z42" s="13">
        <v>349</v>
      </c>
      <c r="AA42" s="13">
        <v>340</v>
      </c>
      <c r="AB42" s="13">
        <v>302</v>
      </c>
      <c r="AC42" s="13">
        <v>344</v>
      </c>
      <c r="AD42" s="13">
        <v>321</v>
      </c>
      <c r="AE42" s="13">
        <v>332</v>
      </c>
      <c r="AF42" s="13">
        <v>342</v>
      </c>
      <c r="AG42" s="13">
        <v>302</v>
      </c>
      <c r="AI42" s="15">
        <f t="shared" si="25"/>
        <v>0.79166666666666696</v>
      </c>
      <c r="AJ42" s="7">
        <f>SUMPRODUCT('vol 1'!F43*AHT!F43+'vol 1'!M43*AHT!M43+'vol 1'!T43*AHT!T43+'vol 1'!AA43*AHT!AA43)/SUM('vol 1'!F43,'vol 1'!M43,'vol 1'!T43,'vol 1'!AA43)</f>
        <v>331.60824742268039</v>
      </c>
      <c r="AK42" s="7">
        <f>SUMPRODUCT('vol 1'!G43*AHT!G43+'vol 1'!N43*AHT!N43+'vol 1'!U43*AHT!U43+'vol 1'!AB43*AHT!AB43)/SUM('vol 1'!G43,'vol 1'!N43,'vol 1'!U43,'vol 1'!AB43)</f>
        <v>324.9025641025641</v>
      </c>
      <c r="AL42" s="7">
        <f>SUMPRODUCT('vol 1'!H43*AHT!H43+'vol 1'!O43*AHT!O43+'vol 1'!V43*AHT!V43+'vol 1'!AC43*AHT!AC43)/SUM('vol 1'!H43,'vol 1'!O43,'vol 1'!V43,'vol 1'!AC43)</f>
        <v>325.9591836734694</v>
      </c>
      <c r="AM42" s="7">
        <f>SUMPRODUCT('vol 1'!I43*AHT!I43+'vol 1'!P43*AHT!P43+'vol 1'!W43*AHT!W43+'vol 1'!AD43*AHT!AD43)/SUM('vol 1'!I43,'vol 1'!P43,'vol 1'!W43,'vol 1'!AD43)</f>
        <v>324.55324675324675</v>
      </c>
      <c r="AN42" s="7">
        <f>SUMPRODUCT('vol 1'!J43*AHT!J43+'vol 1'!Q43*AHT!Q43+'vol 1'!X43*AHT!X43+'vol 1'!AE43*AHT!AE43)/SUM('vol 1'!J43,'vol 1'!Q43,'vol 1'!X43,'vol 1'!AE43)</f>
        <v>314.20050761421322</v>
      </c>
      <c r="AO42" s="7">
        <f>SUMPRODUCT('vol 1'!K43*AHT!K43+'vol 1'!R43*AHT!R43+'vol 1'!Y43*AHT!Y43+'vol 1'!AF43*AHT!AF43)/SUM('vol 1'!K43,'vol 1'!R43,'vol 1'!Y43,'vol 1'!AF43)</f>
        <v>326.29931972789115</v>
      </c>
      <c r="AP42" s="7">
        <f>SUMPRODUCT('vol 1'!L43*AHT!L43+'vol 1'!S43*AHT!S43+'vol 1'!Z43*AHT!Z43+'vol 1'!AG43*AHT!AG43)/SUM('vol 1'!L43,'vol 1'!S43,'vol 1'!Z43,'vol 1'!AG43)</f>
        <v>330.44309927360774</v>
      </c>
      <c r="AR42" s="15">
        <f t="shared" si="26"/>
        <v>0.79166666666666696</v>
      </c>
      <c r="AS42" s="8">
        <f t="shared" si="15"/>
        <v>1.0217284860789551</v>
      </c>
      <c r="AT42" s="8">
        <f t="shared" si="1"/>
        <v>0.99862727621150471</v>
      </c>
      <c r="AU42" s="8">
        <f t="shared" si="2"/>
        <v>1.0019973403945956</v>
      </c>
      <c r="AV42" s="8">
        <f t="shared" si="3"/>
        <v>0.99575288164371256</v>
      </c>
      <c r="AW42" s="8">
        <f t="shared" si="4"/>
        <v>0.96618646882623227</v>
      </c>
      <c r="AX42" s="8">
        <f t="shared" si="5"/>
        <v>1.0039029645856088</v>
      </c>
      <c r="AY42" s="8">
        <f t="shared" si="6"/>
        <v>1.0160489475578816</v>
      </c>
      <c r="BA42" s="15">
        <f t="shared" si="27"/>
        <v>0.79166666666666696</v>
      </c>
      <c r="BB42" s="10">
        <f t="shared" si="16"/>
        <v>356.86889360548867</v>
      </c>
      <c r="BC42" s="10">
        <f t="shared" si="7"/>
        <v>349.65239701374855</v>
      </c>
      <c r="BD42" s="10">
        <f t="shared" si="8"/>
        <v>350.78950581656511</v>
      </c>
      <c r="BE42" s="10">
        <f t="shared" si="9"/>
        <v>349.27647000669441</v>
      </c>
      <c r="BF42" s="10">
        <f t="shared" si="10"/>
        <v>338.13509885248453</v>
      </c>
      <c r="BG42" s="10">
        <f t="shared" si="11"/>
        <v>351.15555213284404</v>
      </c>
      <c r="BH42" s="10">
        <f t="shared" si="12"/>
        <v>355.6149889330996</v>
      </c>
    </row>
    <row r="43" spans="5:60" x14ac:dyDescent="0.3">
      <c r="E43" s="11">
        <f t="shared" si="20"/>
        <v>0.79166666666666696</v>
      </c>
      <c r="F43" s="13">
        <v>349</v>
      </c>
      <c r="G43" s="13">
        <v>307</v>
      </c>
      <c r="H43" s="13">
        <v>336</v>
      </c>
      <c r="I43" s="13">
        <v>307</v>
      </c>
      <c r="J43" s="13">
        <v>312</v>
      </c>
      <c r="K43" s="13">
        <v>331</v>
      </c>
      <c r="L43" s="13">
        <v>319</v>
      </c>
      <c r="M43" s="13">
        <v>300</v>
      </c>
      <c r="N43" s="13">
        <v>303</v>
      </c>
      <c r="O43" s="13">
        <v>313</v>
      </c>
      <c r="P43" s="13">
        <v>339</v>
      </c>
      <c r="Q43" s="13">
        <v>313</v>
      </c>
      <c r="R43" s="13">
        <v>340</v>
      </c>
      <c r="S43" s="13">
        <v>324</v>
      </c>
      <c r="T43" s="13">
        <v>336</v>
      </c>
      <c r="U43" s="13">
        <v>343</v>
      </c>
      <c r="V43" s="13">
        <v>312</v>
      </c>
      <c r="W43" s="13">
        <v>333</v>
      </c>
      <c r="X43" s="13">
        <v>310</v>
      </c>
      <c r="Y43" s="13">
        <v>312</v>
      </c>
      <c r="Z43" s="13">
        <v>347</v>
      </c>
      <c r="AA43" s="13">
        <v>338</v>
      </c>
      <c r="AB43" s="13">
        <v>342</v>
      </c>
      <c r="AC43" s="13">
        <v>342</v>
      </c>
      <c r="AD43" s="13">
        <v>323</v>
      </c>
      <c r="AE43" s="13">
        <v>321</v>
      </c>
      <c r="AF43" s="13">
        <v>322</v>
      </c>
      <c r="AG43" s="13">
        <v>330</v>
      </c>
      <c r="AI43" s="15">
        <f t="shared" si="25"/>
        <v>0.81250000000000033</v>
      </c>
      <c r="AJ43" s="7">
        <f>SUMPRODUCT('vol 1'!F44*AHT!F44+'vol 1'!M44*AHT!M44+'vol 1'!T44*AHT!T44+'vol 1'!AA44*AHT!AA44)/SUM('vol 1'!F44,'vol 1'!M44,'vol 1'!T44,'vol 1'!AA44)</f>
        <v>319.84023668639054</v>
      </c>
      <c r="AK43" s="7">
        <f>SUMPRODUCT('vol 1'!G44*AHT!G44+'vol 1'!N44*AHT!N44+'vol 1'!U44*AHT!U44+'vol 1'!AB44*AHT!AB44)/SUM('vol 1'!G44,'vol 1'!N44,'vol 1'!U44,'vol 1'!AB44)</f>
        <v>334.51106194690266</v>
      </c>
      <c r="AL43" s="7">
        <f>SUMPRODUCT('vol 1'!H44*AHT!H44+'vol 1'!O44*AHT!O44+'vol 1'!V44*AHT!V44+'vol 1'!AC44*AHT!AC44)/SUM('vol 1'!H44,'vol 1'!O44,'vol 1'!V44,'vol 1'!AC44)</f>
        <v>313.91489361702128</v>
      </c>
      <c r="AM43" s="7">
        <f>SUMPRODUCT('vol 1'!I44*AHT!I44+'vol 1'!P44*AHT!P44+'vol 1'!W44*AHT!W44+'vol 1'!AD44*AHT!AD44)/SUM('vol 1'!I44,'vol 1'!P44,'vol 1'!W44,'vol 1'!AD44)</f>
        <v>319.35195530726259</v>
      </c>
      <c r="AN43" s="7">
        <f>SUMPRODUCT('vol 1'!J44*AHT!J44+'vol 1'!Q44*AHT!Q44+'vol 1'!X44*AHT!X44+'vol 1'!AE44*AHT!AE44)/SUM('vol 1'!J44,'vol 1'!Q44,'vol 1'!X44,'vol 1'!AE44)</f>
        <v>325.30666666666667</v>
      </c>
      <c r="AO43" s="7">
        <f>SUMPRODUCT('vol 1'!K44*AHT!K44+'vol 1'!R44*AHT!R44+'vol 1'!Y44*AHT!Y44+'vol 1'!AF44*AHT!AF44)/SUM('vol 1'!K44,'vol 1'!R44,'vol 1'!Y44,'vol 1'!AF44)</f>
        <v>333.41558441558442</v>
      </c>
      <c r="AP43" s="7">
        <f>SUMPRODUCT('vol 1'!L44*AHT!L44+'vol 1'!S44*AHT!S44+'vol 1'!Z44*AHT!Z44+'vol 1'!AG44*AHT!AG44)/SUM('vol 1'!L44,'vol 1'!S44,'vol 1'!Z44,'vol 1'!AG44)</f>
        <v>325.06233062330625</v>
      </c>
      <c r="AR43" s="15">
        <f t="shared" si="26"/>
        <v>0.81250000000000033</v>
      </c>
      <c r="AS43" s="8">
        <f t="shared" si="15"/>
        <v>0.98546970214580265</v>
      </c>
      <c r="AT43" s="8">
        <f t="shared" si="1"/>
        <v>1.0281601549601838</v>
      </c>
      <c r="AU43" s="8">
        <f t="shared" si="2"/>
        <v>0.96497323673997493</v>
      </c>
      <c r="AV43" s="8">
        <f t="shared" si="3"/>
        <v>0.97979494254614063</v>
      </c>
      <c r="AW43" s="8">
        <f t="shared" si="4"/>
        <v>1.0003386116047155</v>
      </c>
      <c r="AX43" s="8">
        <f t="shared" si="5"/>
        <v>1.0257970930278892</v>
      </c>
      <c r="AY43" s="8">
        <f t="shared" si="6"/>
        <v>0.99950411930693817</v>
      </c>
      <c r="BA43" s="15">
        <f t="shared" si="27"/>
        <v>0.81250000000000033</v>
      </c>
      <c r="BB43" s="10">
        <f t="shared" si="16"/>
        <v>344.20444088443116</v>
      </c>
      <c r="BC43" s="10">
        <f t="shared" si="7"/>
        <v>359.99283342198157</v>
      </c>
      <c r="BD43" s="10">
        <f t="shared" si="8"/>
        <v>337.82772787492803</v>
      </c>
      <c r="BE43" s="10">
        <f t="shared" si="9"/>
        <v>343.67896410002709</v>
      </c>
      <c r="BF43" s="10">
        <f t="shared" si="10"/>
        <v>350.08728256341527</v>
      </c>
      <c r="BG43" s="10">
        <f t="shared" si="11"/>
        <v>358.81390660815924</v>
      </c>
      <c r="BH43" s="10">
        <f t="shared" si="12"/>
        <v>349.82433393611274</v>
      </c>
    </row>
    <row r="44" spans="5:60" x14ac:dyDescent="0.3">
      <c r="E44" s="11">
        <f t="shared" si="20"/>
        <v>0.81250000000000033</v>
      </c>
      <c r="F44" s="13">
        <v>308</v>
      </c>
      <c r="G44" s="13">
        <v>343</v>
      </c>
      <c r="H44" s="13">
        <v>306</v>
      </c>
      <c r="I44" s="13">
        <v>331</v>
      </c>
      <c r="J44" s="13">
        <v>300</v>
      </c>
      <c r="K44" s="13">
        <v>325</v>
      </c>
      <c r="L44" s="13">
        <v>328</v>
      </c>
      <c r="M44" s="13">
        <v>318</v>
      </c>
      <c r="N44" s="13">
        <v>331</v>
      </c>
      <c r="O44" s="13">
        <v>304</v>
      </c>
      <c r="P44" s="13">
        <v>301</v>
      </c>
      <c r="Q44" s="13">
        <v>318</v>
      </c>
      <c r="R44" s="13">
        <v>327</v>
      </c>
      <c r="S44" s="13">
        <v>320</v>
      </c>
      <c r="T44" s="13">
        <v>304</v>
      </c>
      <c r="U44" s="13">
        <v>320</v>
      </c>
      <c r="V44" s="13">
        <v>320</v>
      </c>
      <c r="W44" s="13">
        <v>306</v>
      </c>
      <c r="X44" s="13">
        <v>338</v>
      </c>
      <c r="Y44" s="13">
        <v>335</v>
      </c>
      <c r="Z44" s="13">
        <v>316</v>
      </c>
      <c r="AA44" s="13">
        <v>347</v>
      </c>
      <c r="AB44" s="13">
        <v>344</v>
      </c>
      <c r="AC44" s="13">
        <v>326</v>
      </c>
      <c r="AD44" s="13">
        <v>344</v>
      </c>
      <c r="AE44" s="13">
        <v>350</v>
      </c>
      <c r="AF44" s="13">
        <v>346</v>
      </c>
      <c r="AG44" s="13">
        <v>334</v>
      </c>
      <c r="AI44" s="15">
        <f t="shared" si="25"/>
        <v>0.8333333333333337</v>
      </c>
      <c r="AJ44" s="7">
        <f>SUMPRODUCT('vol 1'!F45*AHT!F45+'vol 1'!M45*AHT!M45+'vol 1'!T45*AHT!T45+'vol 1'!AA45*AHT!AA45)/SUM('vol 1'!F45,'vol 1'!M45,'vol 1'!T45,'vol 1'!AA45)</f>
        <v>325.59090909090907</v>
      </c>
      <c r="AK44" s="7">
        <f>SUMPRODUCT('vol 1'!G45*AHT!G45+'vol 1'!N45*AHT!N45+'vol 1'!U45*AHT!U45+'vol 1'!AB45*AHT!AB45)/SUM('vol 1'!G45,'vol 1'!N45,'vol 1'!U45,'vol 1'!AB45)</f>
        <v>331.16331658291455</v>
      </c>
      <c r="AL44" s="7">
        <f>SUMPRODUCT('vol 1'!H45*AHT!H45+'vol 1'!O45*AHT!O45+'vol 1'!V45*AHT!V45+'vol 1'!AC45*AHT!AC45)/SUM('vol 1'!H45,'vol 1'!O45,'vol 1'!V45,'vol 1'!AC45)</f>
        <v>325.2344139650873</v>
      </c>
      <c r="AM44" s="7">
        <f>SUMPRODUCT('vol 1'!I45*AHT!I45+'vol 1'!P45*AHT!P45+'vol 1'!W45*AHT!W45+'vol 1'!AD45*AHT!AD45)/SUM('vol 1'!I45,'vol 1'!P45,'vol 1'!W45,'vol 1'!AD45)</f>
        <v>341.88695652173914</v>
      </c>
      <c r="AN44" s="7">
        <f>SUMPRODUCT('vol 1'!J45*AHT!J45+'vol 1'!Q45*AHT!Q45+'vol 1'!X45*AHT!X45+'vol 1'!AE45*AHT!AE45)/SUM('vol 1'!J45,'vol 1'!Q45,'vol 1'!X45,'vol 1'!AE45)</f>
        <v>314.06153846153848</v>
      </c>
      <c r="AO44" s="7">
        <f>SUMPRODUCT('vol 1'!K45*AHT!K45+'vol 1'!R45*AHT!R45+'vol 1'!Y45*AHT!Y45+'vol 1'!AF45*AHT!AF45)/SUM('vol 1'!K45,'vol 1'!R45,'vol 1'!Y45,'vol 1'!AF45)</f>
        <v>329.71428571428572</v>
      </c>
      <c r="AP44" s="7">
        <f>SUMPRODUCT('vol 1'!L45*AHT!L45+'vol 1'!S45*AHT!S45+'vol 1'!Z45*AHT!Z45+'vol 1'!AG45*AHT!AG45)/SUM('vol 1'!L45,'vol 1'!S45,'vol 1'!Z45,'vol 1'!AG45)</f>
        <v>318.2357512953368</v>
      </c>
      <c r="AR44" s="15">
        <f t="shared" si="26"/>
        <v>0.8333333333333337</v>
      </c>
      <c r="AS44" s="8">
        <f t="shared" si="15"/>
        <v>1.0031882777707191</v>
      </c>
      <c r="AT44" s="8">
        <f t="shared" si="1"/>
        <v>1.0178704552050479</v>
      </c>
      <c r="AU44" s="8">
        <f t="shared" si="2"/>
        <v>0.99976940095747602</v>
      </c>
      <c r="AV44" s="8">
        <f t="shared" si="3"/>
        <v>1.0489339593997291</v>
      </c>
      <c r="AW44" s="8">
        <f t="shared" si="4"/>
        <v>0.9657591298765974</v>
      </c>
      <c r="AX44" s="8">
        <f t="shared" si="5"/>
        <v>1.0144095585943229</v>
      </c>
      <c r="AY44" s="8">
        <f t="shared" si="6"/>
        <v>0.97851370142001293</v>
      </c>
      <c r="BA44" s="15">
        <f t="shared" si="27"/>
        <v>0.8333333333333337</v>
      </c>
      <c r="BB44" s="10">
        <f t="shared" si="16"/>
        <v>350.39317748684829</v>
      </c>
      <c r="BC44" s="10">
        <f t="shared" si="7"/>
        <v>356.39006963849664</v>
      </c>
      <c r="BD44" s="10">
        <f t="shared" si="8"/>
        <v>350.00952592776753</v>
      </c>
      <c r="BE44" s="10">
        <f t="shared" si="9"/>
        <v>367.93059539482385</v>
      </c>
      <c r="BF44" s="10">
        <f t="shared" si="10"/>
        <v>337.98554356203022</v>
      </c>
      <c r="BG44" s="10">
        <f t="shared" si="11"/>
        <v>354.83065714828604</v>
      </c>
      <c r="BH44" s="10">
        <f t="shared" si="12"/>
        <v>342.4777319416898</v>
      </c>
    </row>
    <row r="45" spans="5:60" x14ac:dyDescent="0.3">
      <c r="E45" s="11">
        <f t="shared" si="20"/>
        <v>0.8333333333333337</v>
      </c>
      <c r="F45" s="13">
        <v>316</v>
      </c>
      <c r="G45" s="13">
        <v>330</v>
      </c>
      <c r="H45" s="13">
        <v>323</v>
      </c>
      <c r="I45" s="13">
        <v>333</v>
      </c>
      <c r="J45" s="13">
        <v>321</v>
      </c>
      <c r="K45" s="13">
        <v>348</v>
      </c>
      <c r="L45" s="13">
        <v>320</v>
      </c>
      <c r="M45" s="13">
        <v>343</v>
      </c>
      <c r="N45" s="13">
        <v>340</v>
      </c>
      <c r="O45" s="13">
        <v>312</v>
      </c>
      <c r="P45" s="13">
        <v>340</v>
      </c>
      <c r="Q45" s="13">
        <v>319</v>
      </c>
      <c r="R45" s="13">
        <v>312</v>
      </c>
      <c r="S45" s="13">
        <v>317</v>
      </c>
      <c r="T45" s="13">
        <v>308</v>
      </c>
      <c r="U45" s="13">
        <v>317</v>
      </c>
      <c r="V45" s="13">
        <v>313</v>
      </c>
      <c r="W45" s="13">
        <v>347</v>
      </c>
      <c r="X45" s="13">
        <v>314</v>
      </c>
      <c r="Y45" s="13">
        <v>312</v>
      </c>
      <c r="Z45" s="13">
        <v>313</v>
      </c>
      <c r="AA45" s="13">
        <v>337</v>
      </c>
      <c r="AB45" s="13">
        <v>342</v>
      </c>
      <c r="AC45" s="13">
        <v>350</v>
      </c>
      <c r="AD45" s="13">
        <v>347</v>
      </c>
      <c r="AE45" s="13">
        <v>302</v>
      </c>
      <c r="AF45" s="13">
        <v>344</v>
      </c>
      <c r="AG45" s="13">
        <v>324</v>
      </c>
      <c r="AI45" s="15">
        <f t="shared" si="25"/>
        <v>0.85416666666666707</v>
      </c>
      <c r="AJ45" s="7">
        <f>SUMPRODUCT('vol 1'!F46*AHT!F46+'vol 1'!M46*AHT!M46+'vol 1'!T46*AHT!T46+'vol 1'!AA46*AHT!AA46)/SUM('vol 1'!F46,'vol 1'!M46,'vol 1'!T46,'vol 1'!AA46)</f>
        <v>314.10309278350513</v>
      </c>
      <c r="AK45" s="7">
        <f>SUMPRODUCT('vol 1'!G46*AHT!G46+'vol 1'!N46*AHT!N46+'vol 1'!U46*AHT!U46+'vol 1'!AB46*AHT!AB46)/SUM('vol 1'!G46,'vol 1'!N46,'vol 1'!U46,'vol 1'!AB46)</f>
        <v>319.23529411764707</v>
      </c>
      <c r="AL45" s="7">
        <f>SUMPRODUCT('vol 1'!H46*AHT!H46+'vol 1'!O46*AHT!O46+'vol 1'!V46*AHT!V46+'vol 1'!AC46*AHT!AC46)/SUM('vol 1'!H46,'vol 1'!O46,'vol 1'!V46,'vol 1'!AC46)</f>
        <v>329.40625</v>
      </c>
      <c r="AM45" s="7">
        <f>SUMPRODUCT('vol 1'!I46*AHT!I46+'vol 1'!P46*AHT!P46+'vol 1'!W46*AHT!W46+'vol 1'!AD46*AHT!AD46)/SUM('vol 1'!I46,'vol 1'!P46,'vol 1'!W46,'vol 1'!AD46)</f>
        <v>332.61</v>
      </c>
      <c r="AN45" s="7">
        <f>SUMPRODUCT('vol 1'!J46*AHT!J46+'vol 1'!Q46*AHT!Q46+'vol 1'!X46*AHT!X46+'vol 1'!AE46*AHT!AE46)/SUM('vol 1'!J46,'vol 1'!Q46,'vol 1'!X46,'vol 1'!AE46)</f>
        <v>337.40366972477062</v>
      </c>
      <c r="AO45" s="7">
        <f>SUMPRODUCT('vol 1'!K46*AHT!K46+'vol 1'!R46*AHT!R46+'vol 1'!Y46*AHT!Y46+'vol 1'!AF46*AHT!AF46)/SUM('vol 1'!K46,'vol 1'!R46,'vol 1'!Y46,'vol 1'!AF46)</f>
        <v>324.32608695652175</v>
      </c>
      <c r="AP45" s="7">
        <f>SUMPRODUCT('vol 1'!L46*AHT!L46+'vol 1'!S46*AHT!S46+'vol 1'!Z46*AHT!Z46+'vol 1'!AG46*AHT!AG46)/SUM('vol 1'!L46,'vol 1'!S46,'vol 1'!Z46,'vol 1'!AG46)</f>
        <v>314.10091743119267</v>
      </c>
      <c r="AR45" s="15">
        <f t="shared" si="26"/>
        <v>0.85416666666666707</v>
      </c>
      <c r="AS45" s="8">
        <f t="shared" si="15"/>
        <v>0.96779280960808323</v>
      </c>
      <c r="AT45" s="8">
        <f t="shared" si="1"/>
        <v>0.98120823735526985</v>
      </c>
      <c r="AU45" s="8">
        <f t="shared" si="2"/>
        <v>1.0125936096956238</v>
      </c>
      <c r="AV45" s="8">
        <f t="shared" si="3"/>
        <v>1.0204715844833927</v>
      </c>
      <c r="AW45" s="8">
        <f t="shared" si="4"/>
        <v>1.0375376624809809</v>
      </c>
      <c r="AX45" s="8">
        <f t="shared" si="5"/>
        <v>0.99783205328046987</v>
      </c>
      <c r="AY45" s="8">
        <f t="shared" si="6"/>
        <v>0.96579988289807817</v>
      </c>
      <c r="BA45" s="15">
        <f t="shared" si="27"/>
        <v>0.85416666666666707</v>
      </c>
      <c r="BB45" s="10">
        <f t="shared" si="16"/>
        <v>338.03026333308554</v>
      </c>
      <c r="BC45" s="10">
        <f t="shared" si="7"/>
        <v>343.55341610781522</v>
      </c>
      <c r="BD45" s="10">
        <f t="shared" si="8"/>
        <v>354.4991564531058</v>
      </c>
      <c r="BE45" s="10">
        <f t="shared" si="9"/>
        <v>357.94695585729636</v>
      </c>
      <c r="BF45" s="10">
        <f t="shared" si="10"/>
        <v>363.10578898127608</v>
      </c>
      <c r="BG45" s="10">
        <f t="shared" si="11"/>
        <v>349.0320060467086</v>
      </c>
      <c r="BH45" s="10">
        <f t="shared" si="12"/>
        <v>338.02792227076577</v>
      </c>
    </row>
    <row r="46" spans="5:60" x14ac:dyDescent="0.3">
      <c r="E46" s="11">
        <f t="shared" si="20"/>
        <v>0.85416666666666707</v>
      </c>
      <c r="F46" s="13">
        <v>327</v>
      </c>
      <c r="G46" s="13">
        <v>325</v>
      </c>
      <c r="H46" s="13">
        <v>347</v>
      </c>
      <c r="I46" s="13">
        <v>337</v>
      </c>
      <c r="J46" s="13">
        <v>304</v>
      </c>
      <c r="K46" s="13">
        <v>335</v>
      </c>
      <c r="L46" s="13">
        <v>305</v>
      </c>
      <c r="M46" s="13">
        <v>314</v>
      </c>
      <c r="N46" s="13">
        <v>341</v>
      </c>
      <c r="O46" s="13">
        <v>320</v>
      </c>
      <c r="P46" s="13">
        <v>332</v>
      </c>
      <c r="Q46" s="13">
        <v>349</v>
      </c>
      <c r="R46" s="13">
        <v>313</v>
      </c>
      <c r="S46" s="13">
        <v>303</v>
      </c>
      <c r="T46" s="13">
        <v>301</v>
      </c>
      <c r="U46" s="13">
        <v>302</v>
      </c>
      <c r="V46" s="13">
        <v>343</v>
      </c>
      <c r="W46" s="13">
        <v>320</v>
      </c>
      <c r="X46" s="13">
        <v>350</v>
      </c>
      <c r="Y46" s="13">
        <v>333</v>
      </c>
      <c r="Z46" s="13">
        <v>315</v>
      </c>
      <c r="AA46" s="13">
        <v>315</v>
      </c>
      <c r="AB46" s="13">
        <v>312</v>
      </c>
      <c r="AC46" s="13">
        <v>308</v>
      </c>
      <c r="AD46" s="13">
        <v>342</v>
      </c>
      <c r="AE46" s="13">
        <v>348</v>
      </c>
      <c r="AF46" s="13">
        <v>316</v>
      </c>
      <c r="AG46" s="13">
        <v>339</v>
      </c>
      <c r="AI46" s="15">
        <f t="shared" si="25"/>
        <v>0.87500000000000044</v>
      </c>
      <c r="AJ46" s="7">
        <f>SUMPRODUCT('vol 1'!F47*AHT!F47+'vol 1'!M47*AHT!M47+'vol 1'!T47*AHT!T47+'vol 1'!AA47*AHT!AA47)/SUM('vol 1'!F47,'vol 1'!M47,'vol 1'!T47,'vol 1'!AA47)</f>
        <v>325.42574257425741</v>
      </c>
      <c r="AK46" s="7">
        <f>SUMPRODUCT('vol 1'!G47*AHT!G47+'vol 1'!N47*AHT!N47+'vol 1'!U47*AHT!U47+'vol 1'!AB47*AHT!AB47)/SUM('vol 1'!G47,'vol 1'!N47,'vol 1'!U47,'vol 1'!AB47)</f>
        <v>341.19354838709677</v>
      </c>
      <c r="AL46" s="7">
        <f>SUMPRODUCT('vol 1'!H47*AHT!H47+'vol 1'!O47*AHT!O47+'vol 1'!V47*AHT!V47+'vol 1'!AC47*AHT!AC47)/SUM('vol 1'!H47,'vol 1'!O47,'vol 1'!V47,'vol 1'!AC47)</f>
        <v>319.55555555555554</v>
      </c>
      <c r="AM46" s="7">
        <f>SUMPRODUCT('vol 1'!I47*AHT!I47+'vol 1'!P47*AHT!P47+'vol 1'!W47*AHT!W47+'vol 1'!AD47*AHT!AD47)/SUM('vol 1'!I47,'vol 1'!P47,'vol 1'!W47,'vol 1'!AD47)</f>
        <v>324.85046728971963</v>
      </c>
      <c r="AN46" s="7">
        <f>SUMPRODUCT('vol 1'!J47*AHT!J47+'vol 1'!Q47*AHT!Q47+'vol 1'!X47*AHT!X47+'vol 1'!AE47*AHT!AE47)/SUM('vol 1'!J47,'vol 1'!Q47,'vol 1'!X47,'vol 1'!AE47)</f>
        <v>323.28712871287127</v>
      </c>
      <c r="AO46" s="7">
        <f>SUMPRODUCT('vol 1'!K47*AHT!K47+'vol 1'!R47*AHT!R47+'vol 1'!Y47*AHT!Y47+'vol 1'!AF47*AHT!AF47)/SUM('vol 1'!K47,'vol 1'!R47,'vol 1'!Y47,'vol 1'!AF47)</f>
        <v>327.45263157894738</v>
      </c>
      <c r="AP46" s="7">
        <f>SUMPRODUCT('vol 1'!L47*AHT!L47+'vol 1'!S47*AHT!S47+'vol 1'!Z47*AHT!Z47+'vol 1'!AG47*AHT!AG47)/SUM('vol 1'!L47,'vol 1'!S47,'vol 1'!Z47,'vol 1'!AG47)</f>
        <v>329.02857142857141</v>
      </c>
      <c r="AR46" s="15">
        <f t="shared" si="26"/>
        <v>0.87500000000000044</v>
      </c>
      <c r="AS46" s="8">
        <f t="shared" si="15"/>
        <v>1.0026793780786245</v>
      </c>
      <c r="AT46" s="8">
        <f t="shared" si="1"/>
        <v>1.0486995842211506</v>
      </c>
      <c r="AU46" s="8">
        <f t="shared" si="2"/>
        <v>0.98231261094253819</v>
      </c>
      <c r="AV46" s="8">
        <f t="shared" si="3"/>
        <v>0.99666477578939516</v>
      </c>
      <c r="AW46" s="8">
        <f t="shared" si="4"/>
        <v>0.99412840443778761</v>
      </c>
      <c r="AX46" s="8">
        <f t="shared" si="5"/>
        <v>1.0074512808595522</v>
      </c>
      <c r="AY46" s="8">
        <f t="shared" si="6"/>
        <v>1.0116995466129084</v>
      </c>
      <c r="BA46" s="15">
        <f t="shared" si="27"/>
        <v>0.87500000000000044</v>
      </c>
      <c r="BB46" s="10">
        <f t="shared" si="16"/>
        <v>350.21542921756895</v>
      </c>
      <c r="BC46" s="10">
        <f t="shared" si="7"/>
        <v>367.18436608433433</v>
      </c>
      <c r="BD46" s="10">
        <f t="shared" si="8"/>
        <v>343.89807383541762</v>
      </c>
      <c r="BE46" s="10">
        <f t="shared" si="9"/>
        <v>349.59633166523969</v>
      </c>
      <c r="BF46" s="10">
        <f t="shared" si="10"/>
        <v>347.91390394341181</v>
      </c>
      <c r="BG46" s="10">
        <f t="shared" si="11"/>
        <v>352.39671886336851</v>
      </c>
      <c r="BH46" s="10">
        <f t="shared" si="12"/>
        <v>354.09270777466736</v>
      </c>
    </row>
    <row r="47" spans="5:60" x14ac:dyDescent="0.3">
      <c r="E47" s="11">
        <f t="shared" si="20"/>
        <v>0.87500000000000044</v>
      </c>
      <c r="F47" s="13">
        <v>309</v>
      </c>
      <c r="G47" s="13">
        <v>347</v>
      </c>
      <c r="H47" s="13">
        <v>319</v>
      </c>
      <c r="I47" s="13">
        <v>321</v>
      </c>
      <c r="J47" s="13">
        <v>334</v>
      </c>
      <c r="K47" s="13">
        <v>338</v>
      </c>
      <c r="L47" s="13">
        <v>327</v>
      </c>
      <c r="M47" s="13">
        <v>328</v>
      </c>
      <c r="N47" s="13">
        <v>318</v>
      </c>
      <c r="O47" s="13">
        <v>322</v>
      </c>
      <c r="P47" s="13">
        <v>323</v>
      </c>
      <c r="Q47" s="13">
        <v>316</v>
      </c>
      <c r="R47" s="13">
        <v>315</v>
      </c>
      <c r="S47" s="13">
        <v>341</v>
      </c>
      <c r="T47" s="13">
        <v>345</v>
      </c>
      <c r="U47" s="13">
        <v>349</v>
      </c>
      <c r="V47" s="13">
        <v>328</v>
      </c>
      <c r="W47" s="13">
        <v>332</v>
      </c>
      <c r="X47" s="13">
        <v>304</v>
      </c>
      <c r="Y47" s="13">
        <v>346</v>
      </c>
      <c r="Z47" s="13">
        <v>308</v>
      </c>
      <c r="AA47" s="13">
        <v>321</v>
      </c>
      <c r="AB47" s="13">
        <v>347</v>
      </c>
      <c r="AC47" s="13">
        <v>308</v>
      </c>
      <c r="AD47" s="13">
        <v>324</v>
      </c>
      <c r="AE47" s="13">
        <v>336</v>
      </c>
      <c r="AF47" s="13">
        <v>307</v>
      </c>
      <c r="AG47" s="13">
        <v>343</v>
      </c>
      <c r="AI47" s="15">
        <f t="shared" si="25"/>
        <v>0.89583333333333381</v>
      </c>
      <c r="AJ47" s="7">
        <f>SUMPRODUCT('vol 1'!F48*AHT!F48+'vol 1'!M48*AHT!M48+'vol 1'!T48*AHT!T48+'vol 1'!AA48*AHT!AA48)/SUM('vol 1'!F48,'vol 1'!M48,'vol 1'!T48,'vol 1'!AA48)</f>
        <v>316.94059405940595</v>
      </c>
      <c r="AK47" s="7">
        <f>SUMPRODUCT('vol 1'!G48*AHT!G48+'vol 1'!N48*AHT!N48+'vol 1'!U48*AHT!U48+'vol 1'!AB48*AHT!AB48)/SUM('vol 1'!G48,'vol 1'!N48,'vol 1'!U48,'vol 1'!AB48)</f>
        <v>336.15463917525773</v>
      </c>
      <c r="AL47" s="7">
        <f>SUMPRODUCT('vol 1'!H48*AHT!H48+'vol 1'!O48*AHT!O48+'vol 1'!V48*AHT!V48+'vol 1'!AC48*AHT!AC48)/SUM('vol 1'!H48,'vol 1'!O48,'vol 1'!V48,'vol 1'!AC48)</f>
        <v>327.20652173913044</v>
      </c>
      <c r="AM47" s="7">
        <f>SUMPRODUCT('vol 1'!I48*AHT!I48+'vol 1'!P48*AHT!P48+'vol 1'!W48*AHT!W48+'vol 1'!AD48*AHT!AD48)/SUM('vol 1'!I48,'vol 1'!P48,'vol 1'!W48,'vol 1'!AD48)</f>
        <v>325.23232323232321</v>
      </c>
      <c r="AN47" s="7">
        <f>SUMPRODUCT('vol 1'!J48*AHT!J48+'vol 1'!Q48*AHT!Q48+'vol 1'!X48*AHT!X48+'vol 1'!AE48*AHT!AE48)/SUM('vol 1'!J48,'vol 1'!Q48,'vol 1'!X48,'vol 1'!AE48)</f>
        <v>317.35185185185185</v>
      </c>
      <c r="AO47" s="7">
        <f>SUMPRODUCT('vol 1'!K48*AHT!K48+'vol 1'!R48*AHT!R48+'vol 1'!Y48*AHT!Y48+'vol 1'!AF48*AHT!AF48)/SUM('vol 1'!K48,'vol 1'!R48,'vol 1'!Y48,'vol 1'!AF48)</f>
        <v>311.46296296296299</v>
      </c>
      <c r="AP47" s="7">
        <f>SUMPRODUCT('vol 1'!L48*AHT!L48+'vol 1'!S48*AHT!S48+'vol 1'!Z48*AHT!Z48+'vol 1'!AG48*AHT!AG48)/SUM('vol 1'!L48,'vol 1'!S48,'vol 1'!Z48,'vol 1'!AG48)</f>
        <v>327.44660194174759</v>
      </c>
      <c r="AR47" s="15">
        <f t="shared" si="26"/>
        <v>0.89583333333333381</v>
      </c>
      <c r="AS47" s="8">
        <f t="shared" si="15"/>
        <v>0.97653552305205216</v>
      </c>
      <c r="AT47" s="8">
        <f t="shared" si="1"/>
        <v>1.0332118881015613</v>
      </c>
      <c r="AU47" s="8">
        <f t="shared" si="2"/>
        <v>1.005831653053868</v>
      </c>
      <c r="AV47" s="8">
        <f t="shared" si="3"/>
        <v>0.99783633749467482</v>
      </c>
      <c r="AW47" s="8">
        <f t="shared" si="4"/>
        <v>0.97587705202783059</v>
      </c>
      <c r="AX47" s="8">
        <f t="shared" si="5"/>
        <v>0.95825695296541358</v>
      </c>
      <c r="AY47" s="8">
        <f t="shared" si="6"/>
        <v>1.0068352948379753</v>
      </c>
      <c r="BA47" s="15">
        <f t="shared" si="27"/>
        <v>0.89583333333333381</v>
      </c>
      <c r="BB47" s="10">
        <f t="shared" si="16"/>
        <v>341.08391458815868</v>
      </c>
      <c r="BC47" s="10">
        <f t="shared" si="7"/>
        <v>361.76161206846263</v>
      </c>
      <c r="BD47" s="10">
        <f t="shared" si="8"/>
        <v>352.13186131858936</v>
      </c>
      <c r="BE47" s="10">
        <f t="shared" si="9"/>
        <v>350.00727593098929</v>
      </c>
      <c r="BF47" s="10">
        <f t="shared" si="10"/>
        <v>341.52650042405838</v>
      </c>
      <c r="BG47" s="10">
        <f t="shared" si="11"/>
        <v>335.18901853488001</v>
      </c>
      <c r="BH47" s="10">
        <f t="shared" si="12"/>
        <v>352.39022991150114</v>
      </c>
    </row>
    <row r="48" spans="5:60" x14ac:dyDescent="0.3">
      <c r="E48" s="11">
        <f t="shared" si="20"/>
        <v>0.89583333333333381</v>
      </c>
      <c r="F48" s="13">
        <v>344</v>
      </c>
      <c r="G48" s="13">
        <v>343</v>
      </c>
      <c r="H48" s="13">
        <v>338</v>
      </c>
      <c r="I48" s="13">
        <v>329</v>
      </c>
      <c r="J48" s="13">
        <v>307</v>
      </c>
      <c r="K48" s="13">
        <v>306</v>
      </c>
      <c r="L48" s="13">
        <v>337</v>
      </c>
      <c r="M48" s="13">
        <v>304</v>
      </c>
      <c r="N48" s="13">
        <v>329</v>
      </c>
      <c r="O48" s="13">
        <v>347</v>
      </c>
      <c r="P48" s="13">
        <v>307</v>
      </c>
      <c r="Q48" s="13">
        <v>330</v>
      </c>
      <c r="R48" s="13">
        <v>328</v>
      </c>
      <c r="S48" s="13">
        <v>331</v>
      </c>
      <c r="T48" s="13">
        <v>309</v>
      </c>
      <c r="U48" s="13">
        <v>330</v>
      </c>
      <c r="V48" s="13">
        <v>307</v>
      </c>
      <c r="W48" s="13">
        <v>328</v>
      </c>
      <c r="X48" s="13">
        <v>330</v>
      </c>
      <c r="Y48" s="13">
        <v>301</v>
      </c>
      <c r="Z48" s="13">
        <v>333</v>
      </c>
      <c r="AA48" s="13">
        <v>306</v>
      </c>
      <c r="AB48" s="13">
        <v>343</v>
      </c>
      <c r="AC48" s="13">
        <v>323</v>
      </c>
      <c r="AD48" s="13">
        <v>333</v>
      </c>
      <c r="AE48" s="13">
        <v>304</v>
      </c>
      <c r="AF48" s="13">
        <v>312</v>
      </c>
      <c r="AG48" s="13">
        <v>310</v>
      </c>
      <c r="AI48" s="15">
        <f t="shared" si="25"/>
        <v>0.91666666666666718</v>
      </c>
      <c r="AJ48" s="7">
        <f>SUMPRODUCT('vol 1'!F49*AHT!F49+'vol 1'!M49*AHT!M49+'vol 1'!T49*AHT!T49+'vol 1'!AA49*AHT!AA49)/SUM('vol 1'!F49,'vol 1'!M49,'vol 1'!T49,'vol 1'!AA49)</f>
        <v>325.13541666666669</v>
      </c>
      <c r="AK48" s="7">
        <f>SUMPRODUCT('vol 1'!G49*AHT!G49+'vol 1'!N49*AHT!N49+'vol 1'!U49*AHT!U49+'vol 1'!AB49*AHT!AB49)/SUM('vol 1'!G49,'vol 1'!N49,'vol 1'!U49,'vol 1'!AB49)</f>
        <v>326.41666666666669</v>
      </c>
      <c r="AL48" s="7">
        <f>SUMPRODUCT('vol 1'!H49*AHT!H49+'vol 1'!O49*AHT!O49+'vol 1'!V49*AHT!V49+'vol 1'!AC49*AHT!AC49)/SUM('vol 1'!H49,'vol 1'!O49,'vol 1'!V49,'vol 1'!AC49)</f>
        <v>336.59595959595958</v>
      </c>
      <c r="AM48" s="7">
        <f>SUMPRODUCT('vol 1'!I49*AHT!I49+'vol 1'!P49*AHT!P49+'vol 1'!W49*AHT!W49+'vol 1'!AD49*AHT!AD49)/SUM('vol 1'!I49,'vol 1'!P49,'vol 1'!W49,'vol 1'!AD49)</f>
        <v>334.69696969696969</v>
      </c>
      <c r="AN48" s="7">
        <f>SUMPRODUCT('vol 1'!J49*AHT!J49+'vol 1'!Q49*AHT!Q49+'vol 1'!X49*AHT!X49+'vol 1'!AE49*AHT!AE49)/SUM('vol 1'!J49,'vol 1'!Q49,'vol 1'!X49,'vol 1'!AE49)</f>
        <v>311.0980392156863</v>
      </c>
      <c r="AO48" s="7">
        <f>SUMPRODUCT('vol 1'!K49*AHT!K49+'vol 1'!R49*AHT!R49+'vol 1'!Y49*AHT!Y49+'vol 1'!AF49*AHT!AF49)/SUM('vol 1'!K49,'vol 1'!R49,'vol 1'!Y49,'vol 1'!AF49)</f>
        <v>316.89320388349512</v>
      </c>
      <c r="AP48" s="7">
        <f>SUMPRODUCT('vol 1'!L49*AHT!L49+'vol 1'!S49*AHT!S49+'vol 1'!Z49*AHT!Z49+'vol 1'!AG49*AHT!AG49)/SUM('vol 1'!L49,'vol 1'!S49,'vol 1'!Z49,'vol 1'!AG49)</f>
        <v>308.54716981132077</v>
      </c>
      <c r="AR48" s="15">
        <f t="shared" si="26"/>
        <v>0.91666666666666718</v>
      </c>
      <c r="AS48" s="8">
        <f t="shared" si="15"/>
        <v>1.0017848458939225</v>
      </c>
      <c r="AT48" s="8">
        <f t="shared" si="1"/>
        <v>1.0032810533328735</v>
      </c>
      <c r="AU48" s="8">
        <f t="shared" si="2"/>
        <v>1.0346947507408712</v>
      </c>
      <c r="AV48" s="8">
        <f t="shared" si="3"/>
        <v>1.0268745587578747</v>
      </c>
      <c r="AW48" s="8">
        <f t="shared" si="4"/>
        <v>0.95664618192670181</v>
      </c>
      <c r="AX48" s="8">
        <f t="shared" si="5"/>
        <v>0.97496380654721815</v>
      </c>
      <c r="AY48" s="8">
        <f t="shared" si="6"/>
        <v>0.94872317759971569</v>
      </c>
      <c r="BA48" s="15">
        <f t="shared" si="27"/>
        <v>0.91666666666666718</v>
      </c>
      <c r="BB48" s="10">
        <f t="shared" si="16"/>
        <v>349.90298739432666</v>
      </c>
      <c r="BC48" s="10">
        <f t="shared" si="7"/>
        <v>351.28183811196038</v>
      </c>
      <c r="BD48" s="10">
        <f t="shared" si="8"/>
        <v>362.23655058849482</v>
      </c>
      <c r="BE48" s="10">
        <f t="shared" si="9"/>
        <v>360.19290291239611</v>
      </c>
      <c r="BF48" s="10">
        <f t="shared" si="10"/>
        <v>334.79629629424466</v>
      </c>
      <c r="BG48" s="10">
        <f t="shared" si="11"/>
        <v>341.03291441015796</v>
      </c>
      <c r="BH48" s="10">
        <f t="shared" si="12"/>
        <v>332.05111142884022</v>
      </c>
    </row>
    <row r="49" spans="5:60" x14ac:dyDescent="0.3">
      <c r="E49" s="11">
        <f t="shared" si="20"/>
        <v>0.91666666666666718</v>
      </c>
      <c r="F49" s="13">
        <v>303</v>
      </c>
      <c r="G49" s="13">
        <v>338</v>
      </c>
      <c r="H49" s="13">
        <v>348</v>
      </c>
      <c r="I49" s="13">
        <v>330</v>
      </c>
      <c r="J49" s="13">
        <v>310</v>
      </c>
      <c r="K49" s="13">
        <v>325</v>
      </c>
      <c r="L49" s="13">
        <v>300</v>
      </c>
      <c r="M49" s="13">
        <v>300</v>
      </c>
      <c r="N49" s="13">
        <v>329</v>
      </c>
      <c r="O49" s="13">
        <v>340</v>
      </c>
      <c r="P49" s="13">
        <v>334</v>
      </c>
      <c r="Q49" s="13">
        <v>305</v>
      </c>
      <c r="R49" s="13">
        <v>335</v>
      </c>
      <c r="S49" s="13">
        <v>318</v>
      </c>
      <c r="T49" s="13">
        <v>349</v>
      </c>
      <c r="U49" s="13">
        <v>316</v>
      </c>
      <c r="V49" s="13">
        <v>325</v>
      </c>
      <c r="W49" s="13">
        <v>331</v>
      </c>
      <c r="X49" s="13">
        <v>308</v>
      </c>
      <c r="Y49" s="13">
        <v>300</v>
      </c>
      <c r="Z49" s="13">
        <v>314</v>
      </c>
      <c r="AA49" s="13">
        <v>350</v>
      </c>
      <c r="AB49" s="13">
        <v>323</v>
      </c>
      <c r="AC49" s="13">
        <v>334</v>
      </c>
      <c r="AD49" s="13">
        <v>343</v>
      </c>
      <c r="AE49" s="13">
        <v>321</v>
      </c>
      <c r="AF49" s="13">
        <v>305</v>
      </c>
      <c r="AG49" s="13">
        <v>302</v>
      </c>
      <c r="AI49" s="15">
        <f t="shared" si="25"/>
        <v>0.93750000000000056</v>
      </c>
      <c r="AJ49" s="7">
        <f>SUMPRODUCT('vol 1'!F50*AHT!F50+'vol 1'!M50*AHT!M50+'vol 1'!T50*AHT!T50+'vol 1'!AA50*AHT!AA50)/SUM('vol 1'!F50,'vol 1'!M50,'vol 1'!T50,'vol 1'!AA50)</f>
        <v>335.531914893617</v>
      </c>
      <c r="AK49" s="7">
        <f>SUMPRODUCT('vol 1'!G50*AHT!G50+'vol 1'!N50*AHT!N50+'vol 1'!U50*AHT!U50+'vol 1'!AB50*AHT!AB50)/SUM('vol 1'!G50,'vol 1'!N50,'vol 1'!U50,'vol 1'!AB50)</f>
        <v>307.87272727272727</v>
      </c>
      <c r="AL49" s="7">
        <f>SUMPRODUCT('vol 1'!H50*AHT!H50+'vol 1'!O50*AHT!O50+'vol 1'!V50*AHT!V50+'vol 1'!AC50*AHT!AC50)/SUM('vol 1'!H50,'vol 1'!O50,'vol 1'!V50,'vol 1'!AC50)</f>
        <v>326.84615384615387</v>
      </c>
      <c r="AM49" s="7">
        <f>SUMPRODUCT('vol 1'!I50*AHT!I50+'vol 1'!P50*AHT!P50+'vol 1'!W50*AHT!W50+'vol 1'!AD50*AHT!AD50)/SUM('vol 1'!I50,'vol 1'!P50,'vol 1'!W50,'vol 1'!AD50)</f>
        <v>320.79000000000002</v>
      </c>
      <c r="AN49" s="7">
        <f>SUMPRODUCT('vol 1'!J50*AHT!J50+'vol 1'!Q50*AHT!Q50+'vol 1'!X50*AHT!X50+'vol 1'!AE50*AHT!AE50)/SUM('vol 1'!J50,'vol 1'!Q50,'vol 1'!X50,'vol 1'!AE50)</f>
        <v>341.48076923076923</v>
      </c>
      <c r="AO49" s="7">
        <f>SUMPRODUCT('vol 1'!K50*AHT!K50+'vol 1'!R50*AHT!R50+'vol 1'!Y50*AHT!Y50+'vol 1'!AF50*AHT!AF50)/SUM('vol 1'!K50,'vol 1'!R50,'vol 1'!Y50,'vol 1'!AF50)</f>
        <v>327.0625</v>
      </c>
      <c r="AP49" s="7">
        <f>SUMPRODUCT('vol 1'!L50*AHT!L50+'vol 1'!S50*AHT!S50+'vol 1'!Z50*AHT!Z50+'vol 1'!AG50*AHT!AG50)/SUM('vol 1'!L50,'vol 1'!S50,'vol 1'!Z50,'vol 1'!AG50)</f>
        <v>329</v>
      </c>
      <c r="AR49" s="15">
        <f t="shared" si="26"/>
        <v>0.93750000000000056</v>
      </c>
      <c r="AS49" s="8">
        <f t="shared" si="15"/>
        <v>1.0338178199725341</v>
      </c>
      <c r="AT49" s="8">
        <f t="shared" si="1"/>
        <v>0.94628401565681797</v>
      </c>
      <c r="AU49" s="8">
        <f t="shared" si="2"/>
        <v>1.0047238834667167</v>
      </c>
      <c r="AV49" s="8">
        <f t="shared" si="3"/>
        <v>0.9842069678795814</v>
      </c>
      <c r="AW49" s="8">
        <f t="shared" si="4"/>
        <v>1.050075001789136</v>
      </c>
      <c r="AX49" s="8">
        <f t="shared" si="5"/>
        <v>1.0062509895165901</v>
      </c>
      <c r="AY49" s="8">
        <f t="shared" si="6"/>
        <v>1.0116116949676659</v>
      </c>
      <c r="BA49" s="15">
        <f t="shared" si="27"/>
        <v>0.93750000000000056</v>
      </c>
      <c r="BB49" s="10">
        <f t="shared" si="16"/>
        <v>361.09145103616743</v>
      </c>
      <c r="BC49" s="10">
        <f t="shared" si="7"/>
        <v>331.32529244086567</v>
      </c>
      <c r="BD49" s="10">
        <f t="shared" si="8"/>
        <v>351.7440419797851</v>
      </c>
      <c r="BE49" s="10">
        <f t="shared" si="9"/>
        <v>345.22655352954547</v>
      </c>
      <c r="BF49" s="10">
        <f t="shared" si="10"/>
        <v>367.49346631178179</v>
      </c>
      <c r="BG49" s="10">
        <f t="shared" si="11"/>
        <v>351.97686855499524</v>
      </c>
      <c r="BH49" s="10">
        <f t="shared" si="12"/>
        <v>354.06195988409996</v>
      </c>
    </row>
    <row r="50" spans="5:60" x14ac:dyDescent="0.3">
      <c r="E50" s="11">
        <f t="shared" si="20"/>
        <v>0.93750000000000056</v>
      </c>
      <c r="F50" s="13">
        <v>346</v>
      </c>
      <c r="G50" s="13">
        <v>307</v>
      </c>
      <c r="H50" s="13">
        <v>349</v>
      </c>
      <c r="I50" s="13">
        <v>307</v>
      </c>
      <c r="J50" s="13">
        <v>347</v>
      </c>
      <c r="K50" s="13">
        <v>303</v>
      </c>
      <c r="L50" s="13">
        <v>335</v>
      </c>
      <c r="M50" s="13">
        <v>322</v>
      </c>
      <c r="N50" s="13">
        <v>301</v>
      </c>
      <c r="O50" s="13">
        <v>329</v>
      </c>
      <c r="P50" s="13">
        <v>306</v>
      </c>
      <c r="Q50" s="13">
        <v>343</v>
      </c>
      <c r="R50" s="13">
        <v>332</v>
      </c>
      <c r="S50" s="13">
        <v>309</v>
      </c>
      <c r="T50" s="13">
        <v>345</v>
      </c>
      <c r="U50" s="13">
        <v>304</v>
      </c>
      <c r="V50" s="13">
        <v>300</v>
      </c>
      <c r="W50" s="13">
        <v>321</v>
      </c>
      <c r="X50" s="13">
        <v>330</v>
      </c>
      <c r="Y50" s="13">
        <v>341</v>
      </c>
      <c r="Z50" s="13">
        <v>337</v>
      </c>
      <c r="AA50" s="13">
        <v>332</v>
      </c>
      <c r="AB50" s="13">
        <v>319</v>
      </c>
      <c r="AC50" s="13">
        <v>325</v>
      </c>
      <c r="AD50" s="13">
        <v>349</v>
      </c>
      <c r="AE50" s="13">
        <v>344</v>
      </c>
      <c r="AF50" s="13">
        <v>329</v>
      </c>
      <c r="AG50" s="13">
        <v>338</v>
      </c>
      <c r="AI50" s="15">
        <f t="shared" si="25"/>
        <v>0.95833333333333393</v>
      </c>
      <c r="AJ50" s="7">
        <f>SUMPRODUCT('vol 1'!F51*AHT!F51+'vol 1'!M51*AHT!M51+'vol 1'!T51*AHT!T51+'vol 1'!AA51*AHT!AA51)/SUM('vol 1'!F51,'vol 1'!M51,'vol 1'!T51,'vol 1'!AA51)</f>
        <v>323.93577981651379</v>
      </c>
      <c r="AK50" s="7">
        <f>SUMPRODUCT('vol 1'!G51*AHT!G51+'vol 1'!N51*AHT!N51+'vol 1'!U51*AHT!U51+'vol 1'!AB51*AHT!AB51)/SUM('vol 1'!G51,'vol 1'!N51,'vol 1'!U51,'vol 1'!AB51)</f>
        <v>320.031914893617</v>
      </c>
      <c r="AL50" s="7">
        <f>SUMPRODUCT('vol 1'!H51*AHT!H51+'vol 1'!O51*AHT!O51+'vol 1'!V51*AHT!V51+'vol 1'!AC51*AHT!AC51)/SUM('vol 1'!H51,'vol 1'!O51,'vol 1'!V51,'vol 1'!AC51)</f>
        <v>321.63</v>
      </c>
      <c r="AM50" s="7">
        <f>SUMPRODUCT('vol 1'!I51*AHT!I51+'vol 1'!P51*AHT!P51+'vol 1'!W51*AHT!W51+'vol 1'!AD51*AHT!AD51)/SUM('vol 1'!I51,'vol 1'!P51,'vol 1'!W51,'vol 1'!AD51)</f>
        <v>327.05319148936172</v>
      </c>
      <c r="AN50" s="7">
        <f>SUMPRODUCT('vol 1'!J51*AHT!J51+'vol 1'!Q51*AHT!Q51+'vol 1'!X51*AHT!X51+'vol 1'!AE51*AHT!AE51)/SUM('vol 1'!J51,'vol 1'!Q51,'vol 1'!X51,'vol 1'!AE51)</f>
        <v>325.43589743589746</v>
      </c>
      <c r="AO50" s="7">
        <f>SUMPRODUCT('vol 1'!K51*AHT!K51+'vol 1'!R51*AHT!R51+'vol 1'!Y51*AHT!Y51+'vol 1'!AF51*AHT!AF51)/SUM('vol 1'!K51,'vol 1'!R51,'vol 1'!Y51,'vol 1'!AF51)</f>
        <v>314.08695652173913</v>
      </c>
      <c r="AP50" s="7">
        <f>SUMPRODUCT('vol 1'!L51*AHT!L51+'vol 1'!S51*AHT!S51+'vol 1'!Z51*AHT!Z51+'vol 1'!AG51*AHT!AG51)/SUM('vol 1'!L51,'vol 1'!S51,'vol 1'!Z51,'vol 1'!AG51)</f>
        <v>316.96226415094338</v>
      </c>
      <c r="AR50" s="15">
        <f t="shared" si="26"/>
        <v>0.95833333333333393</v>
      </c>
      <c r="AS50" s="8">
        <f t="shared" si="15"/>
        <v>0.998088607479234</v>
      </c>
      <c r="AT50" s="8">
        <f t="shared" si="1"/>
        <v>0.98365674753516863</v>
      </c>
      <c r="AU50" s="8">
        <f t="shared" si="2"/>
        <v>0.98868944559006855</v>
      </c>
      <c r="AV50" s="8">
        <f t="shared" si="3"/>
        <v>1.0034228932668874</v>
      </c>
      <c r="AW50" s="8">
        <f t="shared" si="4"/>
        <v>1.000736004408231</v>
      </c>
      <c r="AX50" s="8">
        <f t="shared" si="5"/>
        <v>0.96633001580509603</v>
      </c>
      <c r="AY50" s="8">
        <f t="shared" si="6"/>
        <v>0.97459797349095723</v>
      </c>
      <c r="BA50" s="15">
        <f t="shared" si="27"/>
        <v>0.95833333333333393</v>
      </c>
      <c r="BB50" s="10">
        <f t="shared" si="16"/>
        <v>348.61196680370563</v>
      </c>
      <c r="BC50" s="10">
        <f t="shared" si="7"/>
        <v>344.41072040332983</v>
      </c>
      <c r="BD50" s="10">
        <f t="shared" si="8"/>
        <v>346.13054151222821</v>
      </c>
      <c r="BE50" s="10">
        <f t="shared" si="9"/>
        <v>351.96685095766952</v>
      </c>
      <c r="BF50" s="10">
        <f t="shared" si="10"/>
        <v>350.2263576376742</v>
      </c>
      <c r="BG50" s="10">
        <f t="shared" si="11"/>
        <v>338.0128978727023</v>
      </c>
      <c r="BH50" s="10">
        <f t="shared" si="12"/>
        <v>341.10723542426996</v>
      </c>
    </row>
    <row r="51" spans="5:60" x14ac:dyDescent="0.3">
      <c r="E51" s="11">
        <f t="shared" si="20"/>
        <v>0.95833333333333393</v>
      </c>
      <c r="F51" s="13">
        <v>343</v>
      </c>
      <c r="G51" s="13">
        <v>328</v>
      </c>
      <c r="H51" s="13">
        <v>300</v>
      </c>
      <c r="I51" s="13">
        <v>339</v>
      </c>
      <c r="J51" s="13">
        <v>338</v>
      </c>
      <c r="K51" s="13">
        <v>303</v>
      </c>
      <c r="L51" s="13">
        <v>313</v>
      </c>
      <c r="M51" s="13">
        <v>321</v>
      </c>
      <c r="N51" s="13">
        <v>307</v>
      </c>
      <c r="O51" s="13">
        <v>333</v>
      </c>
      <c r="P51" s="13">
        <v>337</v>
      </c>
      <c r="Q51" s="13">
        <v>301</v>
      </c>
      <c r="R51" s="13">
        <v>319</v>
      </c>
      <c r="S51" s="13">
        <v>305</v>
      </c>
      <c r="T51" s="13">
        <v>306</v>
      </c>
      <c r="U51" s="13">
        <v>310</v>
      </c>
      <c r="V51" s="13">
        <v>322</v>
      </c>
      <c r="W51" s="13">
        <v>310</v>
      </c>
      <c r="X51" s="13">
        <v>347</v>
      </c>
      <c r="Y51" s="13">
        <v>319</v>
      </c>
      <c r="Z51" s="13">
        <v>307</v>
      </c>
      <c r="AA51" s="13">
        <v>324</v>
      </c>
      <c r="AB51" s="13">
        <v>335</v>
      </c>
      <c r="AC51" s="13">
        <v>330</v>
      </c>
      <c r="AD51" s="13">
        <v>317</v>
      </c>
      <c r="AE51" s="13">
        <v>315</v>
      </c>
      <c r="AF51" s="13">
        <v>313</v>
      </c>
      <c r="AG51" s="13">
        <v>345</v>
      </c>
      <c r="AI51" s="17">
        <f t="shared" si="25"/>
        <v>0.9791666666666673</v>
      </c>
      <c r="AJ51" s="7">
        <f>SUMPRODUCT('vol 1'!F52*AHT!F52+'vol 1'!M52*AHT!M52+'vol 1'!T52*AHT!T52+'vol 1'!AA52*AHT!AA52)/SUM('vol 1'!F52,'vol 1'!M52,'vol 1'!T52,'vol 1'!AA52)</f>
        <v>318.43434343434342</v>
      </c>
      <c r="AK51" s="7">
        <f>SUMPRODUCT('vol 1'!G52*AHT!G52+'vol 1'!N52*AHT!N52+'vol 1'!U52*AHT!U52+'vol 1'!AB52*AHT!AB52)/SUM('vol 1'!G52,'vol 1'!N52,'vol 1'!U52,'vol 1'!AB52)</f>
        <v>315.53932584269666</v>
      </c>
      <c r="AL51" s="7">
        <f>SUMPRODUCT('vol 1'!H52*AHT!H52+'vol 1'!O52*AHT!O52+'vol 1'!V52*AHT!V52+'vol 1'!AC52*AHT!AC52)/SUM('vol 1'!H52,'vol 1'!O52,'vol 1'!V52,'vol 1'!AC52)</f>
        <v>333.85263157894735</v>
      </c>
      <c r="AM51" s="7">
        <f>SUMPRODUCT('vol 1'!I52*AHT!I52+'vol 1'!P52*AHT!P52+'vol 1'!W52*AHT!W52+'vol 1'!AD52*AHT!AD52)/SUM('vol 1'!I52,'vol 1'!P52,'vol 1'!W52,'vol 1'!AD52)</f>
        <v>319.20833333333331</v>
      </c>
      <c r="AN51" s="7">
        <f>SUMPRODUCT('vol 1'!J52*AHT!J52+'vol 1'!Q52*AHT!Q52+'vol 1'!X52*AHT!X52+'vol 1'!AE52*AHT!AE52)/SUM('vol 1'!J52,'vol 1'!Q52,'vol 1'!X52,'vol 1'!AE52)</f>
        <v>322.31111111111113</v>
      </c>
      <c r="AO51" s="7">
        <f>SUMPRODUCT('vol 1'!K52*AHT!K52+'vol 1'!R52*AHT!R52+'vol 1'!Y52*AHT!Y52+'vol 1'!AF52*AHT!AF52)/SUM('vol 1'!K52,'vol 1'!R52,'vol 1'!Y52,'vol 1'!AF52)</f>
        <v>323.33333333333331</v>
      </c>
      <c r="AP51" s="7">
        <f>SUMPRODUCT('vol 1'!L52*AHT!L52+'vol 1'!S52*AHT!S52+'vol 1'!Z52*AHT!Z52+'vol 1'!AG52*AHT!AG52)/SUM('vol 1'!L52,'vol 1'!S52,'vol 1'!Z52,'vol 1'!AG52)</f>
        <v>322.30841121495325</v>
      </c>
      <c r="AR51" s="17">
        <f t="shared" si="26"/>
        <v>0.9791666666666673</v>
      </c>
      <c r="AS51" s="8">
        <f t="shared" si="15"/>
        <v>0.98113796071546433</v>
      </c>
      <c r="AT51" s="8">
        <f t="shared" si="1"/>
        <v>0.96984823242095131</v>
      </c>
      <c r="AU51" s="8">
        <f t="shared" si="2"/>
        <v>1.0262617704336501</v>
      </c>
      <c r="AV51" s="8">
        <f t="shared" si="3"/>
        <v>0.97935429992173906</v>
      </c>
      <c r="AW51" s="8">
        <f t="shared" si="4"/>
        <v>0.99112708847137698</v>
      </c>
      <c r="AX51" s="8">
        <f t="shared" si="5"/>
        <v>0.99477771560592898</v>
      </c>
      <c r="AY51" s="8">
        <f t="shared" si="6"/>
        <v>0.99103634702581866</v>
      </c>
      <c r="BA51" s="17">
        <f t="shared" si="27"/>
        <v>0.9791666666666673</v>
      </c>
      <c r="BB51" s="10">
        <f t="shared" si="16"/>
        <v>342.69145206921041</v>
      </c>
      <c r="BC51" s="10">
        <f t="shared" si="7"/>
        <v>339.5759031257532</v>
      </c>
      <c r="BD51" s="10">
        <f t="shared" si="8"/>
        <v>359.28424635047566</v>
      </c>
      <c r="BE51" s="10">
        <f t="shared" si="9"/>
        <v>343.52440155421607</v>
      </c>
      <c r="BF51" s="10">
        <f t="shared" si="10"/>
        <v>346.86353705903321</v>
      </c>
      <c r="BG51" s="10">
        <f t="shared" si="11"/>
        <v>347.96362825489052</v>
      </c>
      <c r="BH51" s="10">
        <f t="shared" si="12"/>
        <v>346.860631495127</v>
      </c>
    </row>
    <row r="52" spans="5:60" x14ac:dyDescent="0.3">
      <c r="E52" s="11">
        <f>E51+"00:30"</f>
        <v>0.9791666666666673</v>
      </c>
      <c r="F52" s="13">
        <v>319</v>
      </c>
      <c r="G52" s="13">
        <v>319</v>
      </c>
      <c r="H52" s="13">
        <v>346</v>
      </c>
      <c r="I52" s="13">
        <v>309</v>
      </c>
      <c r="J52" s="13">
        <v>313</v>
      </c>
      <c r="K52" s="13">
        <v>329</v>
      </c>
      <c r="L52" s="13">
        <v>327</v>
      </c>
      <c r="M52" s="13">
        <v>332</v>
      </c>
      <c r="N52" s="13">
        <v>319</v>
      </c>
      <c r="O52" s="13">
        <v>347</v>
      </c>
      <c r="P52" s="13">
        <v>309</v>
      </c>
      <c r="Q52" s="13">
        <v>343</v>
      </c>
      <c r="R52" s="13">
        <v>316</v>
      </c>
      <c r="S52" s="13">
        <v>322</v>
      </c>
      <c r="T52" s="13">
        <v>301</v>
      </c>
      <c r="U52" s="13">
        <v>306</v>
      </c>
      <c r="V52" s="13">
        <v>323</v>
      </c>
      <c r="W52" s="13">
        <v>309</v>
      </c>
      <c r="X52" s="13">
        <v>320</v>
      </c>
      <c r="Y52" s="13">
        <v>319</v>
      </c>
      <c r="Z52" s="13">
        <v>329</v>
      </c>
      <c r="AA52" s="13">
        <v>325</v>
      </c>
      <c r="AB52" s="13">
        <v>318</v>
      </c>
      <c r="AC52" s="13">
        <v>316</v>
      </c>
      <c r="AD52" s="13">
        <v>344</v>
      </c>
      <c r="AE52" s="13">
        <v>315</v>
      </c>
      <c r="AF52" s="13">
        <v>328</v>
      </c>
      <c r="AG52" s="13">
        <v>313</v>
      </c>
      <c r="AI52" s="2" t="s">
        <v>11</v>
      </c>
      <c r="AJ52" s="28">
        <f>SUMPRODUCT('vol 1'!F53*AHT!F53+'vol 1'!M53*AHT!M53+'vol 1'!T53*AHT!T53+'vol 1'!AA53*AHT!AA53)/SUM('vol 1'!F53,'vol 1'!M53,'vol 1'!T53,'vol 1'!AA53)</f>
        <v>324.55613398357872</v>
      </c>
      <c r="AK52" s="28">
        <f>SUMPRODUCT('vol 1'!G53*AHT!G53+'vol 1'!N53*AHT!N53+'vol 1'!U53*AHT!U53+'vol 1'!AB53*AHT!AB53)/SUM('vol 1'!G53,'vol 1'!N53,'vol 1'!U53,'vol 1'!AB53)</f>
        <v>325.34917865967765</v>
      </c>
      <c r="AL52" s="28">
        <f>SUMPRODUCT('vol 1'!H53*AHT!H53+'vol 1'!O53*AHT!O53+'vol 1'!V53*AHT!V53+'vol 1'!AC53*AHT!AC53)/SUM('vol 1'!H53,'vol 1'!O53,'vol 1'!V53,'vol 1'!AC53)</f>
        <v>325.3094300081712</v>
      </c>
      <c r="AM52" s="28">
        <f>SUMPRODUCT('vol 1'!I53*AHT!I53+'vol 1'!P53*AHT!P53+'vol 1'!W53*AHT!W53+'vol 1'!AD53*AHT!AD53)/SUM('vol 1'!I53,'vol 1'!P53,'vol 1'!W53,'vol 1'!AD53)</f>
        <v>325.93754207118047</v>
      </c>
      <c r="AN52" s="28">
        <f>SUMPRODUCT('vol 1'!J53*AHT!J53+'vol 1'!Q53*AHT!Q53+'vol 1'!X53*AHT!X53+'vol 1'!AE53*AHT!AE53)/SUM('vol 1'!J53,'vol 1'!Q53,'vol 1'!X53,'vol 1'!AE53)</f>
        <v>325.19655134056933</v>
      </c>
      <c r="AO52" s="28">
        <f>SUMPRODUCT('vol 1'!K53*AHT!K53+'vol 1'!R53*AHT!R53+'vol 1'!Y53*AHT!Y53+'vol 1'!AF53*AHT!AF53)/SUM('vol 1'!K53,'vol 1'!R53,'vol 1'!Y53,'vol 1'!AF53)</f>
        <v>325.03073627497554</v>
      </c>
      <c r="AP52" s="28">
        <f>SUMPRODUCT('vol 1'!L53*AHT!L53+'vol 1'!S53*AHT!S53+'vol 1'!Z53*AHT!Z53+'vol 1'!AG53*AHT!AG53)/SUM('vol 1'!L53,'vol 1'!S53,'vol 1'!Z53,'vol 1'!AG53)</f>
        <v>325.22360272882747</v>
      </c>
      <c r="AQ52" s="29" cm="1">
        <f t="array" aca="1" ref="AQ52" ca="1">SUMPRODUCT(AJ52:AP52,'vol 2'!AJ52:AP52/SUM('vol 2'!AJ52:AP52))</f>
        <v>325.22312561246838</v>
      </c>
      <c r="AR52" s="2" t="s">
        <v>11</v>
      </c>
      <c r="AS52" s="31">
        <v>0.99794164907192728</v>
      </c>
      <c r="AT52" s="31">
        <v>1.0003800941635055</v>
      </c>
      <c r="AU52" s="31">
        <v>1.0002578754448332</v>
      </c>
      <c r="AV52" s="31">
        <v>1.0021891875425832</v>
      </c>
      <c r="AW52" s="31">
        <v>0.99991079735295108</v>
      </c>
      <c r="AX52" s="31">
        <v>0.99940095100381998</v>
      </c>
      <c r="AY52" s="31">
        <v>0.99999397466553697</v>
      </c>
      <c r="BA52" s="2" t="s">
        <v>11</v>
      </c>
      <c r="BB52" s="20">
        <f>350*AS52</f>
        <v>349.27957717517455</v>
      </c>
      <c r="BC52" s="20">
        <f t="shared" ref="BC52:BH52" si="28">350*AT52</f>
        <v>350.13303295722693</v>
      </c>
      <c r="BD52" s="20">
        <f t="shared" si="28"/>
        <v>350.09025640569166</v>
      </c>
      <c r="BE52" s="20">
        <f t="shared" si="28"/>
        <v>350.76621563990415</v>
      </c>
      <c r="BF52" s="20">
        <f t="shared" si="28"/>
        <v>349.96877907353286</v>
      </c>
      <c r="BG52" s="20">
        <f t="shared" si="28"/>
        <v>349.79033285133698</v>
      </c>
      <c r="BH52" s="20">
        <f t="shared" si="28"/>
        <v>349.99789113293792</v>
      </c>
    </row>
    <row r="53" spans="5:60" x14ac:dyDescent="0.3">
      <c r="E53" s="21" t="s">
        <v>11</v>
      </c>
      <c r="F53" s="27" cm="1">
        <f t="array" ref="F53">SUMPRODUCT(F5:F52,AHT!F5:F52/SUM(AHT!F5:F52))</f>
        <v>326.1037131882203</v>
      </c>
      <c r="G53" s="27" cm="1">
        <f t="array" ref="G53">SUMPRODUCT(G5:G52,AHT!G5:G52/SUM(AHT!G5:G52))</f>
        <v>325.645508751683</v>
      </c>
      <c r="H53" s="27" cm="1">
        <f t="array" ref="H53">SUMPRODUCT(H5:H52,AHT!H5:H52/SUM(AHT!H5:H52))</f>
        <v>325.73676112322107</v>
      </c>
      <c r="I53" s="27" cm="1">
        <f t="array" ref="I53">SUMPRODUCT(I5:I52,AHT!I5:I52/SUM(AHT!I5:I52))</f>
        <v>325.44172172685859</v>
      </c>
      <c r="J53" s="27" cm="1">
        <f t="array" ref="J53">SUMPRODUCT(J5:J52,AHT!J5:J52/SUM(AHT!J5:J52))</f>
        <v>325.27353828380717</v>
      </c>
      <c r="K53" s="27" cm="1">
        <f t="array" ref="K53">SUMPRODUCT(K5:K52,AHT!K5:K52/SUM(AHT!K5:K52))</f>
        <v>325.13365859921674</v>
      </c>
      <c r="L53" s="27" cm="1">
        <f t="array" ref="L53">SUMPRODUCT(L5:L52,AHT!L5:L52/SUM(AHT!L5:L52))</f>
        <v>324.87623698753356</v>
      </c>
      <c r="M53" s="27" cm="1">
        <f t="array" ref="M53">SUMPRODUCT(M5:M52,AHT!M5:M52/SUM(AHT!M5:M52))</f>
        <v>323.13037860188655</v>
      </c>
      <c r="N53" s="27" cm="1">
        <f t="array" ref="N53">SUMPRODUCT(N5:N52,AHT!N5:N52/SUM(AHT!N5:N52))</f>
        <v>324.9789297873707</v>
      </c>
      <c r="O53" s="27" cm="1">
        <f t="array" ref="O53">SUMPRODUCT(O5:O52,AHT!O5:O52/SUM(AHT!O5:O52))</f>
        <v>325.46706433198648</v>
      </c>
      <c r="P53" s="27" cm="1">
        <f t="array" ref="P53">SUMPRODUCT(P5:P52,AHT!P5:P52/SUM(AHT!P5:P52))</f>
        <v>327.25657055371278</v>
      </c>
      <c r="Q53" s="27" cm="1">
        <f t="array" ref="Q53">SUMPRODUCT(Q5:Q52,AHT!Q5:Q52/SUM(AHT!Q5:Q52))</f>
        <v>323.10686825612197</v>
      </c>
      <c r="R53" s="27" cm="1">
        <f t="array" ref="R53">SUMPRODUCT(R5:R52,AHT!R5:R52/SUM(AHT!R5:R52))</f>
        <v>323.38490322580645</v>
      </c>
      <c r="S53" s="27" cm="1">
        <f t="array" ref="S53">SUMPRODUCT(S5:S52,AHT!S5:S52/SUM(AHT!S5:S52))</f>
        <v>321.95922732870935</v>
      </c>
      <c r="T53" s="27" cm="1">
        <f t="array" ref="T53">SUMPRODUCT(T5:T52,AHT!T5:T52/SUM(AHT!T5:T52))</f>
        <v>325.15488345212867</v>
      </c>
      <c r="U53" s="27" cm="1">
        <f t="array" ref="U53">SUMPRODUCT(U5:U52,AHT!U5:U52/SUM(AHT!U5:U52))</f>
        <v>323.86207785511726</v>
      </c>
      <c r="V53" s="27" cm="1">
        <f t="array" ref="V53">SUMPRODUCT(V5:V52,AHT!V5:V52/SUM(AHT!V5:V52))</f>
        <v>322.61971922106494</v>
      </c>
      <c r="W53" s="27" cm="1">
        <f t="array" ref="W53">SUMPRODUCT(W5:W52,AHT!W5:W52/SUM(AHT!W5:W52))</f>
        <v>324.07227518680742</v>
      </c>
      <c r="X53" s="27" cm="1">
        <f t="array" ref="X53">SUMPRODUCT(X5:X52,AHT!X5:X52/SUM(AHT!X5:X52))</f>
        <v>327.99166401527208</v>
      </c>
      <c r="Y53" s="27" cm="1">
        <f t="array" ref="Y53">SUMPRODUCT(Y5:Y52,AHT!Y5:Y52/SUM(AHT!Y5:Y52))</f>
        <v>326.0365720873632</v>
      </c>
      <c r="Z53" s="27" cm="1">
        <f t="array" ref="Z53">SUMPRODUCT(Z5:Z52,AHT!Z5:Z52/SUM(AHT!Z5:Z52))</f>
        <v>326.18914768364476</v>
      </c>
      <c r="AA53" s="27" cm="1">
        <f t="array" ref="AA53">SUMPRODUCT(AA5:AA52,AHT!AA5:AA52/SUM(AHT!AA5:AA52))</f>
        <v>323.8891038039975</v>
      </c>
      <c r="AB53" s="27" cm="1">
        <f t="array" ref="AB53">SUMPRODUCT(AB5:AB52,AHT!AB5:AB52/SUM(AHT!AB5:AB52))</f>
        <v>326.95811785737089</v>
      </c>
      <c r="AC53" s="27" cm="1">
        <f t="array" ref="AC53">SUMPRODUCT(AC5:AC52,AHT!AC5:AC52/SUM(AHT!AC5:AC52))</f>
        <v>327.29809226057552</v>
      </c>
      <c r="AD53" s="27" cm="1">
        <f t="array" ref="AD53">SUMPRODUCT(AD5:AD52,AHT!AD5:AD52/SUM(AHT!AD5:AD52))</f>
        <v>326.94547311965255</v>
      </c>
      <c r="AE53" s="27" cm="1">
        <f t="array" ref="AE53">SUMPRODUCT(AE5:AE52,AHT!AE5:AE52/SUM(AHT!AE5:AE52))</f>
        <v>324.41795944641132</v>
      </c>
      <c r="AF53" s="27" cm="1">
        <f t="array" ref="AF53">SUMPRODUCT(AF5:AF52,AHT!AF5:AF52/SUM(AHT!AF5:AF52))</f>
        <v>325.55579784504869</v>
      </c>
      <c r="AG53" s="27" cm="1">
        <f t="array" ref="AG53">SUMPRODUCT(AG5:AG52,AHT!AG5:AG52/SUM(AHT!AG5:AG52))</f>
        <v>327.8261810772953</v>
      </c>
      <c r="AJ53" s="4">
        <f ca="1">AJ52/$AQ$52</f>
        <v>0.99794912607265074</v>
      </c>
      <c r="AK53" s="4">
        <f ca="1">AK52/$AQ$52</f>
        <v>1.0003875894340906</v>
      </c>
      <c r="AL53" s="4">
        <f t="shared" ref="AL53:AP53" ca="1" si="29">AL52/$AQ$52</f>
        <v>1.0002653697997037</v>
      </c>
      <c r="AM53" s="4">
        <f t="shared" ca="1" si="29"/>
        <v>1.0021966963676605</v>
      </c>
      <c r="AN53" s="4">
        <f t="shared" ca="1" si="29"/>
        <v>0.99991828910736591</v>
      </c>
      <c r="AO53" s="4">
        <f t="shared" ca="1" si="29"/>
        <v>0.99940843893825038</v>
      </c>
      <c r="AP53" s="4">
        <f t="shared" ca="1" si="29"/>
        <v>1.0000014670431514</v>
      </c>
      <c r="AS53" s="23"/>
      <c r="AT53" s="23"/>
      <c r="AU53" s="23"/>
      <c r="AV53" s="23"/>
      <c r="AW53" s="23"/>
      <c r="AX53" s="23"/>
      <c r="AY53" s="23"/>
      <c r="BA53" s="2" t="s">
        <v>13</v>
      </c>
      <c r="BB53" s="19"/>
      <c r="BC53" s="19"/>
      <c r="BD53" s="19"/>
      <c r="BE53" s="19"/>
      <c r="BF53" s="19"/>
      <c r="BG53" s="19"/>
      <c r="BH53" s="19"/>
    </row>
    <row r="54" spans="5:60" x14ac:dyDescent="0.3">
      <c r="E54" s="24"/>
    </row>
    <row r="55" spans="5:60" x14ac:dyDescent="0.3">
      <c r="E55" s="24"/>
    </row>
    <row r="56" spans="5:60" x14ac:dyDescent="0.3">
      <c r="E56" s="24"/>
    </row>
    <row r="57" spans="5:60" x14ac:dyDescent="0.3">
      <c r="E57" s="24"/>
      <c r="AI57" s="2" t="s">
        <v>3</v>
      </c>
      <c r="AJ57" s="3" t="s">
        <v>4</v>
      </c>
      <c r="AK57" s="3" t="s">
        <v>5</v>
      </c>
      <c r="AL57" s="3" t="s">
        <v>6</v>
      </c>
      <c r="AM57" s="3" t="s">
        <v>7</v>
      </c>
      <c r="AN57" s="3" t="s">
        <v>8</v>
      </c>
      <c r="AO57" s="3" t="s">
        <v>9</v>
      </c>
      <c r="AP57" s="3" t="s">
        <v>10</v>
      </c>
      <c r="AR57" t="e">
        <f>AI56/AI$52</f>
        <v>#VALUE!</v>
      </c>
    </row>
    <row r="58" spans="5:60" x14ac:dyDescent="0.3">
      <c r="E58" s="24"/>
      <c r="AI58" s="6">
        <v>0</v>
      </c>
      <c r="AJ58" s="8" t="e">
        <f>#REF!/AJ$52</f>
        <v>#REF!</v>
      </c>
      <c r="AK58" s="8">
        <f t="shared" ref="AK58:AP67" si="30">AK4/AK$52</f>
        <v>0.96798564124472708</v>
      </c>
      <c r="AL58" s="8">
        <f t="shared" si="30"/>
        <v>0.99446681872744414</v>
      </c>
      <c r="AM58" s="8">
        <f t="shared" si="30"/>
        <v>1.0066376767035849</v>
      </c>
      <c r="AN58" s="8">
        <f t="shared" si="30"/>
        <v>1.0079135176828353</v>
      </c>
      <c r="AO58" s="8">
        <f t="shared" si="30"/>
        <v>0.9666470426790521</v>
      </c>
      <c r="AP58" s="8">
        <f t="shared" si="30"/>
        <v>0.98862828474765208</v>
      </c>
    </row>
    <row r="59" spans="5:60" x14ac:dyDescent="0.3">
      <c r="E59" s="24"/>
      <c r="AI59" s="6">
        <f>AI58+"00:30"</f>
        <v>2.0833333333333332E-2</v>
      </c>
      <c r="AJ59" s="8">
        <f>AJ4/AJ$52</f>
        <v>0.99135393329610988</v>
      </c>
      <c r="AK59" s="8">
        <f t="shared" si="30"/>
        <v>1.005282885644438</v>
      </c>
      <c r="AL59" s="8">
        <f t="shared" si="30"/>
        <v>1.0157229146906155</v>
      </c>
      <c r="AM59" s="8">
        <f t="shared" si="30"/>
        <v>0.9983254782790818</v>
      </c>
      <c r="AN59" s="8">
        <f t="shared" si="30"/>
        <v>0.97873986354024867</v>
      </c>
      <c r="AO59" s="8">
        <f t="shared" si="30"/>
        <v>1.0101331587501388</v>
      </c>
      <c r="AP59" s="8">
        <f t="shared" si="30"/>
        <v>1.0059931829287465</v>
      </c>
    </row>
    <row r="60" spans="5:60" x14ac:dyDescent="0.3">
      <c r="E60" s="24"/>
      <c r="AI60" s="6">
        <f t="shared" ref="AI60:AI82" si="31">AI59+"00:30"</f>
        <v>4.1666666666666664E-2</v>
      </c>
      <c r="AJ60" s="8">
        <f t="shared" ref="AJ60:AJ82" si="32">AJ6/AJ$52</f>
        <v>1.0087741745482202</v>
      </c>
      <c r="AK60" s="8">
        <f t="shared" si="30"/>
        <v>1.0174287490345595</v>
      </c>
      <c r="AL60" s="8">
        <f t="shared" si="30"/>
        <v>0.96615705235506188</v>
      </c>
      <c r="AM60" s="8">
        <f t="shared" si="30"/>
        <v>1.0081686138758392</v>
      </c>
      <c r="AN60" s="8">
        <f t="shared" si="30"/>
        <v>0.94816503658762374</v>
      </c>
      <c r="AO60" s="8">
        <f t="shared" si="30"/>
        <v>1.0192850462975491</v>
      </c>
      <c r="AP60" s="8">
        <f t="shared" si="30"/>
        <v>1.0146210811132079</v>
      </c>
    </row>
    <row r="61" spans="5:60" x14ac:dyDescent="0.3">
      <c r="E61" s="24"/>
      <c r="AI61" s="6">
        <f t="shared" si="31"/>
        <v>6.25E-2</v>
      </c>
      <c r="AJ61" s="8">
        <f t="shared" si="32"/>
        <v>1.0061346424216491</v>
      </c>
      <c r="AK61" s="8">
        <f t="shared" si="30"/>
        <v>0.98067515333686694</v>
      </c>
      <c r="AL61" s="8">
        <f t="shared" si="30"/>
        <v>0.99339930648196983</v>
      </c>
      <c r="AM61" s="8">
        <f t="shared" si="30"/>
        <v>0.99101690873668768</v>
      </c>
      <c r="AN61" s="8">
        <f t="shared" si="30"/>
        <v>0.98987908030049276</v>
      </c>
      <c r="AO61" s="8">
        <f t="shared" si="30"/>
        <v>1.0298513216613134</v>
      </c>
      <c r="AP61" s="8">
        <f t="shared" si="30"/>
        <v>1.023422404470598</v>
      </c>
    </row>
    <row r="62" spans="5:60" x14ac:dyDescent="0.3">
      <c r="E62" s="24"/>
      <c r="AI62" s="6">
        <f t="shared" si="31"/>
        <v>8.3333333333333329E-2</v>
      </c>
      <c r="AJ62" s="8">
        <f t="shared" si="32"/>
        <v>1.0067206856546589</v>
      </c>
      <c r="AK62" s="8">
        <f t="shared" si="30"/>
        <v>0.98765681430981878</v>
      </c>
      <c r="AL62" s="8">
        <f t="shared" si="30"/>
        <v>0.98865426893082198</v>
      </c>
      <c r="AM62" s="8">
        <f t="shared" si="30"/>
        <v>1.0066440665244132</v>
      </c>
      <c r="AN62" s="8">
        <f t="shared" si="30"/>
        <v>1.0188518341842705</v>
      </c>
      <c r="AO62" s="8">
        <f t="shared" si="30"/>
        <v>1.0313071483047258</v>
      </c>
      <c r="AP62" s="8">
        <f t="shared" si="30"/>
        <v>0.99961994539206145</v>
      </c>
    </row>
    <row r="63" spans="5:60" x14ac:dyDescent="0.3">
      <c r="E63" s="24"/>
      <c r="AH63" s="25"/>
      <c r="AI63" s="6">
        <f t="shared" si="31"/>
        <v>0.10416666666666666</v>
      </c>
      <c r="AJ63" s="8">
        <f t="shared" si="32"/>
        <v>1.0004124587472072</v>
      </c>
      <c r="AK63" s="8">
        <f t="shared" si="30"/>
        <v>0.99746602653854399</v>
      </c>
      <c r="AL63" s="8">
        <f t="shared" si="30"/>
        <v>1.0050415536410444</v>
      </c>
      <c r="AM63" s="8">
        <f t="shared" si="30"/>
        <v>0.9893726330552689</v>
      </c>
      <c r="AN63" s="8">
        <f t="shared" si="30"/>
        <v>1.0116958456162946</v>
      </c>
      <c r="AO63" s="8">
        <f t="shared" si="30"/>
        <v>0.99040407191997215</v>
      </c>
      <c r="AP63" s="8">
        <f t="shared" si="30"/>
        <v>0.98647062119679063</v>
      </c>
    </row>
    <row r="64" spans="5:60" x14ac:dyDescent="0.3">
      <c r="AI64" s="6">
        <f t="shared" si="31"/>
        <v>0.12499999999999999</v>
      </c>
      <c r="AJ64" s="8">
        <f t="shared" si="32"/>
        <v>1.0278359927942529</v>
      </c>
      <c r="AK64" s="8">
        <f t="shared" si="30"/>
        <v>0.99372524510313653</v>
      </c>
      <c r="AL64" s="8">
        <f t="shared" si="30"/>
        <v>0.96693195560126344</v>
      </c>
      <c r="AM64" s="8">
        <f t="shared" si="30"/>
        <v>1.0352459853833109</v>
      </c>
      <c r="AN64" s="8">
        <f t="shared" si="30"/>
        <v>0.98831428276681454</v>
      </c>
      <c r="AO64" s="8">
        <f t="shared" si="30"/>
        <v>0.99086390469033236</v>
      </c>
      <c r="AP64" s="8">
        <f t="shared" si="30"/>
        <v>0.99299753723106443</v>
      </c>
    </row>
    <row r="65" spans="35:42" x14ac:dyDescent="0.3">
      <c r="AI65" s="6">
        <f t="shared" si="31"/>
        <v>0.14583333333333331</v>
      </c>
      <c r="AJ65" s="8">
        <f t="shared" si="32"/>
        <v>0.9760305409761687</v>
      </c>
      <c r="AK65" s="8">
        <f t="shared" si="30"/>
        <v>1.0109169214871372</v>
      </c>
      <c r="AL65" s="8">
        <f t="shared" si="30"/>
        <v>0.97816045255471284</v>
      </c>
      <c r="AM65" s="8">
        <f t="shared" si="30"/>
        <v>0.98459320092799707</v>
      </c>
      <c r="AN65" s="8">
        <f t="shared" si="30"/>
        <v>0.97028905185066316</v>
      </c>
      <c r="AO65" s="8">
        <f t="shared" si="30"/>
        <v>0.94311713282227017</v>
      </c>
      <c r="AP65" s="8">
        <f t="shared" si="30"/>
        <v>1.0173000889971195</v>
      </c>
    </row>
    <row r="66" spans="35:42" x14ac:dyDescent="0.3">
      <c r="AI66" s="6">
        <f t="shared" si="31"/>
        <v>0.16666666666666666</v>
      </c>
      <c r="AJ66" s="8">
        <f t="shared" si="32"/>
        <v>1.001001534407141</v>
      </c>
      <c r="AK66" s="8">
        <f t="shared" si="30"/>
        <v>1.0224290899299306</v>
      </c>
      <c r="AL66" s="8">
        <f t="shared" si="30"/>
        <v>0.97582969523439234</v>
      </c>
      <c r="AM66" s="8">
        <f t="shared" si="30"/>
        <v>1.0341618299215176</v>
      </c>
      <c r="AN66" s="8">
        <f t="shared" si="30"/>
        <v>1.0284518031114591</v>
      </c>
      <c r="AO66" s="8">
        <f t="shared" si="30"/>
        <v>0.9925331286576643</v>
      </c>
      <c r="AP66" s="8">
        <f t="shared" si="30"/>
        <v>0.97876585321133713</v>
      </c>
    </row>
    <row r="67" spans="35:42" x14ac:dyDescent="0.3">
      <c r="AI67" s="6">
        <f t="shared" si="31"/>
        <v>0.1875</v>
      </c>
      <c r="AJ67" s="8">
        <f t="shared" si="32"/>
        <v>1.0415993902659446</v>
      </c>
      <c r="AK67" s="8">
        <f t="shared" si="30"/>
        <v>0.98926680615294382</v>
      </c>
      <c r="AL67" s="8">
        <f t="shared" si="30"/>
        <v>0.9886265018553122</v>
      </c>
      <c r="AM67" s="8">
        <f t="shared" si="30"/>
        <v>0.98171501123948102</v>
      </c>
      <c r="AN67" s="8">
        <f t="shared" si="30"/>
        <v>1.0398887162395249</v>
      </c>
      <c r="AO67" s="8">
        <f t="shared" si="30"/>
        <v>0.97536392849244957</v>
      </c>
      <c r="AP67" s="8">
        <f t="shared" si="30"/>
        <v>1.0096258817366632</v>
      </c>
    </row>
    <row r="68" spans="35:42" x14ac:dyDescent="0.3">
      <c r="AI68" s="6">
        <f t="shared" si="31"/>
        <v>0.20833333333333334</v>
      </c>
      <c r="AJ68" s="8">
        <f t="shared" si="32"/>
        <v>1.033868572990063</v>
      </c>
      <c r="AK68" s="8">
        <f t="shared" ref="AK68:AP77" si="33">AK14/AK$52</f>
        <v>1.0078098590594264</v>
      </c>
      <c r="AL68" s="8">
        <f t="shared" si="33"/>
        <v>1.0211146286581316</v>
      </c>
      <c r="AM68" s="8">
        <f t="shared" si="33"/>
        <v>1.0418610587021639</v>
      </c>
      <c r="AN68" s="8">
        <f t="shared" si="33"/>
        <v>1.0143166382531148</v>
      </c>
      <c r="AO68" s="8">
        <f t="shared" si="33"/>
        <v>0.98410564797394529</v>
      </c>
      <c r="AP68" s="8">
        <f t="shared" si="33"/>
        <v>0.97442574075485378</v>
      </c>
    </row>
    <row r="69" spans="35:42" x14ac:dyDescent="0.3">
      <c r="AI69" s="6">
        <f t="shared" si="31"/>
        <v>0.22916666666666669</v>
      </c>
      <c r="AJ69" s="8">
        <f t="shared" si="32"/>
        <v>1.0099023425531186</v>
      </c>
      <c r="AK69" s="8">
        <f t="shared" si="33"/>
        <v>1.0010569894433721</v>
      </c>
      <c r="AL69" s="8">
        <f t="shared" si="33"/>
        <v>1.0183917903082833</v>
      </c>
      <c r="AM69" s="8">
        <f t="shared" si="33"/>
        <v>0.96632132045353869</v>
      </c>
      <c r="AN69" s="8">
        <f t="shared" si="33"/>
        <v>1.0010235668944347</v>
      </c>
      <c r="AO69" s="8">
        <f t="shared" si="33"/>
        <v>1.0052731769177616</v>
      </c>
      <c r="AP69" s="8">
        <f t="shared" si="33"/>
        <v>0.98737692121823639</v>
      </c>
    </row>
    <row r="70" spans="35:42" x14ac:dyDescent="0.3">
      <c r="AI70" s="6">
        <f t="shared" si="31"/>
        <v>0.25</v>
      </c>
      <c r="AJ70" s="8">
        <f t="shared" si="32"/>
        <v>1.0348069440384184</v>
      </c>
      <c r="AK70" s="8">
        <f t="shared" si="33"/>
        <v>0.95844873424671473</v>
      </c>
      <c r="AL70" s="8">
        <f t="shared" si="33"/>
        <v>0.99968681252689995</v>
      </c>
      <c r="AM70" s="8">
        <f t="shared" si="33"/>
        <v>0.97709740721790506</v>
      </c>
      <c r="AN70" s="8">
        <f t="shared" si="33"/>
        <v>0.9950150773869727</v>
      </c>
      <c r="AO70" s="8">
        <f t="shared" si="33"/>
        <v>1.0630404905492481</v>
      </c>
      <c r="AP70" s="8">
        <f t="shared" si="33"/>
        <v>0.97819491821126425</v>
      </c>
    </row>
    <row r="71" spans="35:42" x14ac:dyDescent="0.3">
      <c r="AI71" s="6">
        <f t="shared" si="31"/>
        <v>0.27083333333333331</v>
      </c>
      <c r="AJ71" s="8">
        <f t="shared" si="32"/>
        <v>0.98158350439477415</v>
      </c>
      <c r="AK71" s="8">
        <f t="shared" si="33"/>
        <v>1.0356533893214241</v>
      </c>
      <c r="AL71" s="8">
        <f t="shared" si="33"/>
        <v>0.99367740913882463</v>
      </c>
      <c r="AM71" s="8">
        <f t="shared" si="33"/>
        <v>0.99461599375040721</v>
      </c>
      <c r="AN71" s="8">
        <f t="shared" si="33"/>
        <v>0.98101756644294846</v>
      </c>
      <c r="AO71" s="8">
        <f t="shared" si="33"/>
        <v>0.95819997829670767</v>
      </c>
      <c r="AP71" s="8">
        <f t="shared" si="33"/>
        <v>0.98133033099813349</v>
      </c>
    </row>
    <row r="72" spans="35:42" x14ac:dyDescent="0.3">
      <c r="AI72" s="6">
        <f t="shared" si="31"/>
        <v>0.29166666666666663</v>
      </c>
      <c r="AJ72" s="8">
        <f t="shared" si="32"/>
        <v>0.98115803977122074</v>
      </c>
      <c r="AK72" s="8">
        <f t="shared" si="33"/>
        <v>1.0231059074375364</v>
      </c>
      <c r="AL72" s="8">
        <f t="shared" si="33"/>
        <v>0.98478547022738672</v>
      </c>
      <c r="AM72" s="8">
        <f t="shared" si="33"/>
        <v>1.0101791805162204</v>
      </c>
      <c r="AN72" s="8">
        <f t="shared" si="33"/>
        <v>0.99198898795092483</v>
      </c>
      <c r="AO72" s="8">
        <f t="shared" si="33"/>
        <v>1.0328393840591736</v>
      </c>
      <c r="AP72" s="8">
        <f t="shared" si="33"/>
        <v>0.99222703846306559</v>
      </c>
    </row>
    <row r="73" spans="35:42" x14ac:dyDescent="0.3">
      <c r="AI73" s="6">
        <f t="shared" si="31"/>
        <v>0.31249999999999994</v>
      </c>
      <c r="AJ73" s="8">
        <f t="shared" si="32"/>
        <v>0.95532840036657585</v>
      </c>
      <c r="AK73" s="8">
        <f t="shared" si="33"/>
        <v>1.0210090813442307</v>
      </c>
      <c r="AL73" s="8">
        <f t="shared" si="33"/>
        <v>1.022697280243533</v>
      </c>
      <c r="AM73" s="8">
        <f t="shared" si="33"/>
        <v>0.97135174422729964</v>
      </c>
      <c r="AN73" s="8">
        <f t="shared" si="33"/>
        <v>0.97362656121286062</v>
      </c>
      <c r="AO73" s="8">
        <f t="shared" si="33"/>
        <v>0.9900895142952677</v>
      </c>
      <c r="AP73" s="8">
        <f t="shared" si="33"/>
        <v>0.98195261348526808</v>
      </c>
    </row>
    <row r="74" spans="35:42" x14ac:dyDescent="0.3">
      <c r="AI74" s="6">
        <f t="shared" si="31"/>
        <v>0.33333333333333326</v>
      </c>
      <c r="AJ74" s="8">
        <f t="shared" si="32"/>
        <v>0.9925130966975696</v>
      </c>
      <c r="AK74" s="8">
        <f t="shared" si="33"/>
        <v>1.0229624718006034</v>
      </c>
      <c r="AL74" s="8">
        <f t="shared" si="33"/>
        <v>0.98374156616126052</v>
      </c>
      <c r="AM74" s="8">
        <f t="shared" si="33"/>
        <v>1.0269502781346902</v>
      </c>
      <c r="AN74" s="8">
        <f t="shared" si="33"/>
        <v>1.0347867759417728</v>
      </c>
      <c r="AO74" s="8">
        <f t="shared" si="33"/>
        <v>0.97727443997943697</v>
      </c>
      <c r="AP74" s="8">
        <f t="shared" si="33"/>
        <v>0.99589942821604049</v>
      </c>
    </row>
    <row r="75" spans="35:42" x14ac:dyDescent="0.3">
      <c r="AI75" s="6">
        <f t="shared" si="31"/>
        <v>0.35416666666666657</v>
      </c>
      <c r="AJ75" s="8">
        <f t="shared" si="32"/>
        <v>0.98183493421461132</v>
      </c>
      <c r="AK75" s="8">
        <f t="shared" si="33"/>
        <v>0.98737112519779591</v>
      </c>
      <c r="AL75" s="8">
        <f t="shared" si="33"/>
        <v>0.98378244939634807</v>
      </c>
      <c r="AM75" s="8">
        <f t="shared" si="33"/>
        <v>1.0166590348356042</v>
      </c>
      <c r="AN75" s="8">
        <f t="shared" si="33"/>
        <v>1.0117804803876853</v>
      </c>
      <c r="AO75" s="8">
        <f t="shared" si="33"/>
        <v>0.99509819811739997</v>
      </c>
      <c r="AP75" s="8">
        <f t="shared" si="33"/>
        <v>1.0008660516232646</v>
      </c>
    </row>
    <row r="76" spans="35:42" x14ac:dyDescent="0.3">
      <c r="AI76" s="6">
        <f t="shared" si="31"/>
        <v>0.37499999999999989</v>
      </c>
      <c r="AJ76" s="8">
        <f t="shared" si="32"/>
        <v>1.0056875457857926</v>
      </c>
      <c r="AK76" s="8">
        <f t="shared" si="33"/>
        <v>1.0273324174928453</v>
      </c>
      <c r="AL76" s="8">
        <f t="shared" si="33"/>
        <v>0.9985891502793508</v>
      </c>
      <c r="AM76" s="8">
        <f t="shared" si="33"/>
        <v>0.97741351165428136</v>
      </c>
      <c r="AN76" s="8">
        <f t="shared" si="33"/>
        <v>1.0165103387565273</v>
      </c>
      <c r="AO76" s="8">
        <f t="shared" si="33"/>
        <v>0.9655446336090987</v>
      </c>
      <c r="AP76" s="8">
        <f t="shared" si="33"/>
        <v>1.0372568986427178</v>
      </c>
    </row>
    <row r="77" spans="35:42" x14ac:dyDescent="0.3">
      <c r="AI77" s="6">
        <f t="shared" si="31"/>
        <v>0.3958333333333332</v>
      </c>
      <c r="AJ77" s="8">
        <f t="shared" si="32"/>
        <v>0.97680502085512955</v>
      </c>
      <c r="AK77" s="8">
        <f t="shared" si="33"/>
        <v>0.98237649141173744</v>
      </c>
      <c r="AL77" s="8">
        <f t="shared" si="33"/>
        <v>0.9918879600395768</v>
      </c>
      <c r="AM77" s="8">
        <f t="shared" si="33"/>
        <v>0.94051676836281606</v>
      </c>
      <c r="AN77" s="8">
        <f t="shared" si="33"/>
        <v>1.0224362843103398</v>
      </c>
      <c r="AO77" s="8">
        <f t="shared" si="33"/>
        <v>0.98072664758126205</v>
      </c>
      <c r="AP77" s="8">
        <f t="shared" si="33"/>
        <v>0.9981132896761522</v>
      </c>
    </row>
    <row r="78" spans="35:42" x14ac:dyDescent="0.3">
      <c r="AI78" s="6">
        <f t="shared" si="31"/>
        <v>0.41666666666666652</v>
      </c>
      <c r="AJ78" s="8">
        <f t="shared" si="32"/>
        <v>0.94950477127927346</v>
      </c>
      <c r="AK78" s="8">
        <f t="shared" ref="AK78:AP82" si="34">AK24/AK$52</f>
        <v>0.97000103825681838</v>
      </c>
      <c r="AL78" s="8">
        <f t="shared" si="34"/>
        <v>0.98956796138863301</v>
      </c>
      <c r="AM78" s="8">
        <f t="shared" si="34"/>
        <v>0.97395353043637334</v>
      </c>
      <c r="AN78" s="8">
        <f t="shared" si="34"/>
        <v>1.0133533797691687</v>
      </c>
      <c r="AO78" s="8">
        <f t="shared" si="34"/>
        <v>0.99792649654275345</v>
      </c>
      <c r="AP78" s="8">
        <f t="shared" si="34"/>
        <v>1.0123370341924889</v>
      </c>
    </row>
    <row r="79" spans="35:42" x14ac:dyDescent="0.3">
      <c r="AI79" s="6">
        <f t="shared" si="31"/>
        <v>0.43749999999999983</v>
      </c>
      <c r="AJ79" s="8">
        <f t="shared" si="32"/>
        <v>0.98433893550378515</v>
      </c>
      <c r="AK79" s="8">
        <f t="shared" si="34"/>
        <v>0.96271148614756474</v>
      </c>
      <c r="AL79" s="8">
        <f t="shared" si="34"/>
        <v>1.002559552283929</v>
      </c>
      <c r="AM79" s="8">
        <f t="shared" si="34"/>
        <v>0.97657408916665478</v>
      </c>
      <c r="AN79" s="8">
        <f t="shared" si="34"/>
        <v>0.98316568531640613</v>
      </c>
      <c r="AO79" s="8">
        <f t="shared" si="34"/>
        <v>0.99778794558417738</v>
      </c>
      <c r="AP79" s="8">
        <f t="shared" si="34"/>
        <v>1.0243433201180474</v>
      </c>
    </row>
    <row r="80" spans="35:42" x14ac:dyDescent="0.3">
      <c r="AI80" s="6">
        <f t="shared" si="31"/>
        <v>0.45833333333333315</v>
      </c>
      <c r="AJ80" s="8">
        <f t="shared" si="32"/>
        <v>1.0291881691881193</v>
      </c>
      <c r="AK80" s="8">
        <f t="shared" si="34"/>
        <v>1.0116984604476238</v>
      </c>
      <c r="AL80" s="8">
        <f t="shared" si="34"/>
        <v>1.0037565961057258</v>
      </c>
      <c r="AM80" s="8">
        <f t="shared" si="34"/>
        <v>0.97669119156210915</v>
      </c>
      <c r="AN80" s="8">
        <f t="shared" si="34"/>
        <v>0.99867336179649502</v>
      </c>
      <c r="AO80" s="8">
        <f t="shared" si="34"/>
        <v>1.0506738612325854</v>
      </c>
      <c r="AP80" s="8">
        <f t="shared" si="34"/>
        <v>1.0015118061691244</v>
      </c>
    </row>
    <row r="81" spans="35:42" x14ac:dyDescent="0.3">
      <c r="AI81" s="6">
        <f t="shared" si="31"/>
        <v>0.47916666666666646</v>
      </c>
      <c r="AJ81" s="8">
        <f t="shared" si="32"/>
        <v>0.98908268819432943</v>
      </c>
      <c r="AK81" s="8">
        <f t="shared" si="34"/>
        <v>0.99734150866597593</v>
      </c>
      <c r="AL81" s="8">
        <f t="shared" si="34"/>
        <v>1.0178844303340255</v>
      </c>
      <c r="AM81" s="8">
        <f t="shared" si="34"/>
        <v>0.99345849103966366</v>
      </c>
      <c r="AN81" s="8">
        <f t="shared" si="34"/>
        <v>0.99305465006555216</v>
      </c>
      <c r="AO81" s="8">
        <f t="shared" si="34"/>
        <v>1.0225946797519354</v>
      </c>
      <c r="AP81" s="8">
        <f t="shared" si="34"/>
        <v>1.0308111977190251</v>
      </c>
    </row>
    <row r="82" spans="35:42" x14ac:dyDescent="0.3">
      <c r="AI82" s="6">
        <f t="shared" si="31"/>
        <v>0.49999999999999978</v>
      </c>
      <c r="AJ82" s="8">
        <f t="shared" si="32"/>
        <v>0.9826754140147298</v>
      </c>
      <c r="AK82" s="8">
        <f t="shared" si="34"/>
        <v>0.98791362519388648</v>
      </c>
      <c r="AL82" s="8">
        <f t="shared" si="34"/>
        <v>1.0269518930878654</v>
      </c>
      <c r="AM82" s="8">
        <f t="shared" si="34"/>
        <v>1.0094036496643037</v>
      </c>
      <c r="AN82" s="8">
        <f t="shared" si="34"/>
        <v>1.0016045524176367</v>
      </c>
      <c r="AO82" s="8">
        <f t="shared" si="34"/>
        <v>1.0027807929017278</v>
      </c>
      <c r="AP82" s="8">
        <f t="shared" si="34"/>
        <v>0.97462906452979792</v>
      </c>
    </row>
    <row r="83" spans="35:42" x14ac:dyDescent="0.3">
      <c r="AI83" s="2" t="s">
        <v>11</v>
      </c>
      <c r="AJ83" s="19" t="e">
        <f>SUM(AJ58:AJ82)</f>
        <v>#REF!</v>
      </c>
      <c r="AK83" s="19">
        <f t="shared" ref="AK83:AP83" si="35">SUM(AK58:AK82)</f>
        <v>24.969625918249662</v>
      </c>
      <c r="AL83" s="19">
        <f t="shared" si="35"/>
        <v>24.912065470252415</v>
      </c>
      <c r="AM83" s="19">
        <f t="shared" si="35"/>
        <v>24.888928654371213</v>
      </c>
      <c r="AN83" s="19">
        <f t="shared" si="35"/>
        <v>25.014542938783073</v>
      </c>
      <c r="AO83" s="19">
        <f t="shared" si="35"/>
        <v>24.973461771667949</v>
      </c>
      <c r="AP83" s="19">
        <f t="shared" si="35"/>
        <v>24.988720535042717</v>
      </c>
    </row>
    <row r="84" spans="35:42" x14ac:dyDescent="0.3">
      <c r="AI84" t="s">
        <v>12</v>
      </c>
      <c r="AJ84" s="23" t="e">
        <f>AJ83/SUM($AJ$52:$AP$52)</f>
        <v>#REF!</v>
      </c>
      <c r="AK84" s="23">
        <f t="shared" ref="AK84:AP84" si="36">AK83/SUM($AJ$52:$AP$52)</f>
        <v>1.0967930727547646E-2</v>
      </c>
      <c r="AL84" s="23">
        <f t="shared" si="36"/>
        <v>1.094264724879841E-2</v>
      </c>
      <c r="AM84" s="23">
        <f t="shared" si="36"/>
        <v>1.0932484381534326E-2</v>
      </c>
      <c r="AN84" s="23">
        <f t="shared" si="36"/>
        <v>1.0987660569368713E-2</v>
      </c>
      <c r="AO84" s="23">
        <f t="shared" si="36"/>
        <v>1.0969615629624695E-2</v>
      </c>
      <c r="AP84" s="23">
        <f t="shared" si="36"/>
        <v>1.0976318055212904E-2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A6D0-EC6E-47C0-82C8-99729DFEA279}">
  <sheetPr codeName="Sheet4"/>
  <dimension ref="A2:BH84"/>
  <sheetViews>
    <sheetView showGridLines="0" topLeftCell="AA54" workbookViewId="0">
      <selection activeCell="AX63" sqref="AX63"/>
    </sheetView>
  </sheetViews>
  <sheetFormatPr defaultRowHeight="14.4" x14ac:dyDescent="0.3"/>
  <cols>
    <col min="5" max="5" width="9.33203125" bestFit="1" customWidth="1"/>
    <col min="6" max="21" width="9.44140625" bestFit="1" customWidth="1"/>
    <col min="22" max="29" width="9.109375" bestFit="1" customWidth="1"/>
    <col min="30" max="33" width="9.44140625" bestFit="1" customWidth="1"/>
    <col min="36" max="36" width="9" bestFit="1" customWidth="1"/>
    <col min="37" max="39" width="9.109375" bestFit="1" customWidth="1"/>
    <col min="40" max="41" width="9" bestFit="1" customWidth="1"/>
    <col min="42" max="42" width="9.109375" bestFit="1" customWidth="1"/>
    <col min="47" max="47" width="10.109375" bestFit="1" customWidth="1"/>
  </cols>
  <sheetData>
    <row r="2" spans="1:60" x14ac:dyDescent="0.3">
      <c r="AI2" t="s">
        <v>0</v>
      </c>
      <c r="AR2" t="s">
        <v>1</v>
      </c>
      <c r="BA2" t="s">
        <v>14</v>
      </c>
    </row>
    <row r="3" spans="1:60" x14ac:dyDescent="0.3">
      <c r="F3" s="1">
        <v>46038</v>
      </c>
      <c r="G3" s="1">
        <v>46039</v>
      </c>
      <c r="H3" s="1">
        <v>46040</v>
      </c>
      <c r="I3" s="1">
        <v>46041</v>
      </c>
      <c r="J3" s="1">
        <v>46042</v>
      </c>
      <c r="K3" s="1">
        <v>46043</v>
      </c>
      <c r="L3" s="1">
        <v>46044</v>
      </c>
      <c r="M3" s="1">
        <v>46045</v>
      </c>
      <c r="N3" s="1">
        <v>46046</v>
      </c>
      <c r="O3" s="1">
        <v>46047</v>
      </c>
      <c r="P3" s="1">
        <v>46048</v>
      </c>
      <c r="Q3" s="1">
        <v>46049</v>
      </c>
      <c r="R3" s="1">
        <v>46050</v>
      </c>
      <c r="S3" s="1">
        <v>46051</v>
      </c>
      <c r="T3" s="1">
        <v>46052</v>
      </c>
      <c r="U3" s="1">
        <v>46053</v>
      </c>
      <c r="V3" s="1">
        <v>46054</v>
      </c>
      <c r="W3" s="1">
        <v>46055</v>
      </c>
      <c r="X3" s="1">
        <v>46056</v>
      </c>
      <c r="Y3" s="1">
        <v>46057</v>
      </c>
      <c r="Z3" s="1">
        <v>46058</v>
      </c>
      <c r="AA3" s="1">
        <v>46059</v>
      </c>
      <c r="AB3" s="1">
        <v>46060</v>
      </c>
      <c r="AC3" s="1">
        <v>46061</v>
      </c>
      <c r="AD3" s="1">
        <v>46062</v>
      </c>
      <c r="AE3" s="1">
        <v>46063</v>
      </c>
      <c r="AF3" s="1">
        <v>46064</v>
      </c>
      <c r="AG3" s="1">
        <v>46065</v>
      </c>
      <c r="AI3" s="2" t="s">
        <v>3</v>
      </c>
      <c r="AJ3" s="3" t="s">
        <v>4</v>
      </c>
      <c r="AK3" s="3" t="s">
        <v>5</v>
      </c>
      <c r="AL3" s="3" t="s">
        <v>6</v>
      </c>
      <c r="AM3" s="3" t="s">
        <v>7</v>
      </c>
      <c r="AN3" s="3" t="s">
        <v>8</v>
      </c>
      <c r="AO3" s="3" t="s">
        <v>9</v>
      </c>
      <c r="AP3" s="3" t="s">
        <v>10</v>
      </c>
      <c r="AR3" s="2" t="s">
        <v>3</v>
      </c>
      <c r="AS3" s="3" t="s">
        <v>4</v>
      </c>
      <c r="AT3" s="3" t="s">
        <v>5</v>
      </c>
      <c r="AU3" s="3" t="s">
        <v>6</v>
      </c>
      <c r="AV3" s="3" t="s">
        <v>7</v>
      </c>
      <c r="AW3" s="3" t="s">
        <v>8</v>
      </c>
      <c r="AX3" s="3" t="s">
        <v>9</v>
      </c>
      <c r="AY3" s="3" t="s">
        <v>10</v>
      </c>
      <c r="BA3" s="2" t="s">
        <v>3</v>
      </c>
      <c r="BB3" s="3" t="s">
        <v>4</v>
      </c>
      <c r="BC3" s="3" t="s">
        <v>5</v>
      </c>
      <c r="BD3" s="3" t="s">
        <v>6</v>
      </c>
      <c r="BE3" s="3" t="s">
        <v>7</v>
      </c>
      <c r="BF3" s="3" t="s">
        <v>8</v>
      </c>
      <c r="BG3" s="3" t="s">
        <v>9</v>
      </c>
      <c r="BH3" s="3" t="s">
        <v>10</v>
      </c>
    </row>
    <row r="4" spans="1:60" x14ac:dyDescent="0.3">
      <c r="A4">
        <f ca="1">RANDBETWEEN(10,20)</f>
        <v>14</v>
      </c>
      <c r="B4" s="4">
        <f t="shared" ref="B4:B24" ca="1" si="0">A4/SUM($A$4:$A$19)</f>
        <v>6.1674008810572688E-2</v>
      </c>
      <c r="C4">
        <f ca="1">1000*B4</f>
        <v>61.674008810572687</v>
      </c>
      <c r="E4" s="5" t="s">
        <v>3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 t="s">
        <v>9</v>
      </c>
      <c r="L4" s="3" t="s">
        <v>10</v>
      </c>
      <c r="M4" s="3" t="s">
        <v>4</v>
      </c>
      <c r="N4" s="3" t="s">
        <v>5</v>
      </c>
      <c r="O4" s="3" t="s">
        <v>6</v>
      </c>
      <c r="P4" s="3" t="s">
        <v>7</v>
      </c>
      <c r="Q4" s="3" t="s">
        <v>8</v>
      </c>
      <c r="R4" s="3" t="s">
        <v>9</v>
      </c>
      <c r="S4" s="3" t="s">
        <v>10</v>
      </c>
      <c r="T4" s="3" t="s">
        <v>4</v>
      </c>
      <c r="U4" s="3" t="s">
        <v>5</v>
      </c>
      <c r="V4" s="3" t="s">
        <v>6</v>
      </c>
      <c r="W4" s="3" t="s">
        <v>7</v>
      </c>
      <c r="X4" s="3" t="s">
        <v>8</v>
      </c>
      <c r="Y4" s="3" t="s">
        <v>9</v>
      </c>
      <c r="Z4" s="3" t="s">
        <v>10</v>
      </c>
      <c r="AA4" s="3" t="s">
        <v>4</v>
      </c>
      <c r="AB4" s="3" t="s">
        <v>5</v>
      </c>
      <c r="AC4" s="3" t="s">
        <v>6</v>
      </c>
      <c r="AD4" s="3" t="s">
        <v>7</v>
      </c>
      <c r="AE4" s="3" t="s">
        <v>8</v>
      </c>
      <c r="AF4" s="3" t="s">
        <v>9</v>
      </c>
      <c r="AG4" s="3" t="s">
        <v>10</v>
      </c>
      <c r="AI4" s="6">
        <v>0</v>
      </c>
      <c r="AJ4" s="8">
        <f>30/100</f>
        <v>0.3</v>
      </c>
      <c r="AK4" s="8">
        <f>30/100</f>
        <v>0.3</v>
      </c>
      <c r="AL4" s="8">
        <f t="shared" ref="AK4:AP19" si="1">30/100</f>
        <v>0.3</v>
      </c>
      <c r="AM4" s="8">
        <f t="shared" si="1"/>
        <v>0.3</v>
      </c>
      <c r="AN4" s="8">
        <f t="shared" si="1"/>
        <v>0.3</v>
      </c>
      <c r="AO4" s="8">
        <f t="shared" si="1"/>
        <v>0.3</v>
      </c>
      <c r="AP4" s="8">
        <f t="shared" si="1"/>
        <v>0.3</v>
      </c>
      <c r="AR4" s="6">
        <v>0</v>
      </c>
      <c r="AS4" s="8">
        <f>AJ4/AJ$52</f>
        <v>1</v>
      </c>
      <c r="AT4" s="8">
        <f t="shared" ref="AT4:AY46" si="2">AK4/AK$52</f>
        <v>1</v>
      </c>
      <c r="AU4" s="8">
        <f t="shared" si="2"/>
        <v>1</v>
      </c>
      <c r="AV4" s="8">
        <f t="shared" si="2"/>
        <v>1</v>
      </c>
      <c r="AW4" s="8">
        <f t="shared" si="2"/>
        <v>1</v>
      </c>
      <c r="AX4" s="8">
        <f t="shared" si="2"/>
        <v>1</v>
      </c>
      <c r="AY4" s="8">
        <f t="shared" si="2"/>
        <v>1</v>
      </c>
      <c r="BA4" s="6">
        <v>0</v>
      </c>
      <c r="BB4" s="8">
        <f>3000%/100</f>
        <v>0.3</v>
      </c>
      <c r="BC4" s="8">
        <f t="shared" ref="BC4:BH19" si="3">3000%/100</f>
        <v>0.3</v>
      </c>
      <c r="BD4" s="8">
        <f t="shared" si="3"/>
        <v>0.3</v>
      </c>
      <c r="BE4" s="8">
        <f t="shared" si="3"/>
        <v>0.3</v>
      </c>
      <c r="BF4" s="8">
        <f t="shared" si="3"/>
        <v>0.3</v>
      </c>
      <c r="BG4" s="8">
        <f t="shared" si="3"/>
        <v>0.3</v>
      </c>
      <c r="BH4" s="8">
        <f t="shared" si="3"/>
        <v>0.3</v>
      </c>
    </row>
    <row r="5" spans="1:60" x14ac:dyDescent="0.3">
      <c r="A5">
        <f t="shared" ref="A5:A24" ca="1" si="4">RANDBETWEEN(10,20)</f>
        <v>20</v>
      </c>
      <c r="B5" s="4">
        <f t="shared" ca="1" si="0"/>
        <v>8.8105726872246701E-2</v>
      </c>
      <c r="C5">
        <f t="shared" ref="C5:C24" ca="1" si="5">1000*B5</f>
        <v>88.105726872246706</v>
      </c>
      <c r="E5" s="11">
        <v>0</v>
      </c>
      <c r="F5" s="32">
        <v>0.28999999999999998</v>
      </c>
      <c r="G5" s="32">
        <v>0.34</v>
      </c>
      <c r="H5" s="32">
        <v>0.25</v>
      </c>
      <c r="I5" s="32">
        <v>0.3</v>
      </c>
      <c r="J5" s="32">
        <v>0.3</v>
      </c>
      <c r="K5" s="32">
        <v>0.25</v>
      </c>
      <c r="L5" s="32">
        <v>0.31</v>
      </c>
      <c r="M5" s="32">
        <v>0.34</v>
      </c>
      <c r="N5" s="32">
        <v>0.26</v>
      </c>
      <c r="O5" s="32">
        <v>0.3</v>
      </c>
      <c r="P5" s="32">
        <v>0.26</v>
      </c>
      <c r="Q5" s="32">
        <v>0.35</v>
      </c>
      <c r="R5" s="32">
        <v>0.28999999999999998</v>
      </c>
      <c r="S5" s="32">
        <v>0.28999999999999998</v>
      </c>
      <c r="T5" s="32">
        <v>0.35</v>
      </c>
      <c r="U5" s="32">
        <v>0.33</v>
      </c>
      <c r="V5" s="32">
        <v>0.25</v>
      </c>
      <c r="W5" s="32">
        <v>0.35</v>
      </c>
      <c r="X5" s="32">
        <v>0.33</v>
      </c>
      <c r="Y5" s="32">
        <v>0.28000000000000003</v>
      </c>
      <c r="Z5" s="32">
        <v>0.32</v>
      </c>
      <c r="AA5" s="32">
        <v>0.33</v>
      </c>
      <c r="AB5" s="32">
        <v>0.28999999999999998</v>
      </c>
      <c r="AC5" s="32">
        <v>0.35</v>
      </c>
      <c r="AD5" s="32">
        <v>0.25</v>
      </c>
      <c r="AE5" s="32">
        <v>0.32</v>
      </c>
      <c r="AF5" s="32">
        <v>0.32</v>
      </c>
      <c r="AG5" s="32">
        <v>0.32</v>
      </c>
      <c r="AI5" s="6">
        <f>AI4+"00:30"</f>
        <v>2.0833333333333332E-2</v>
      </c>
      <c r="AJ5" s="23">
        <f t="shared" ref="AJ5:AP20" si="6">30/100</f>
        <v>0.3</v>
      </c>
      <c r="AK5" s="8">
        <f t="shared" si="1"/>
        <v>0.3</v>
      </c>
      <c r="AL5" s="8">
        <f t="shared" si="1"/>
        <v>0.3</v>
      </c>
      <c r="AM5" s="8">
        <f t="shared" si="1"/>
        <v>0.3</v>
      </c>
      <c r="AN5" s="8">
        <f t="shared" si="1"/>
        <v>0.3</v>
      </c>
      <c r="AO5" s="8">
        <f t="shared" si="1"/>
        <v>0.3</v>
      </c>
      <c r="AP5" s="8">
        <f t="shared" si="1"/>
        <v>0.3</v>
      </c>
      <c r="AR5" s="6">
        <f>AR4+"00:30"</f>
        <v>2.0833333333333332E-2</v>
      </c>
      <c r="AS5" s="8">
        <f>AJ5/AJ$52</f>
        <v>1</v>
      </c>
      <c r="AT5" s="8">
        <f t="shared" si="2"/>
        <v>1</v>
      </c>
      <c r="AU5" s="8">
        <f t="shared" si="2"/>
        <v>1</v>
      </c>
      <c r="AV5" s="8">
        <f t="shared" si="2"/>
        <v>1</v>
      </c>
      <c r="AW5" s="8">
        <f t="shared" si="2"/>
        <v>1</v>
      </c>
      <c r="AX5" s="8">
        <f t="shared" si="2"/>
        <v>1</v>
      </c>
      <c r="AY5" s="8">
        <f t="shared" si="2"/>
        <v>1</v>
      </c>
      <c r="BA5" s="6">
        <f>BA4+"00:30"</f>
        <v>2.0833333333333332E-2</v>
      </c>
      <c r="BB5" s="8">
        <f t="shared" ref="BB5:BH20" si="7">3000%/100</f>
        <v>0.3</v>
      </c>
      <c r="BC5" s="8">
        <f t="shared" si="3"/>
        <v>0.3</v>
      </c>
      <c r="BD5" s="8">
        <f t="shared" si="3"/>
        <v>0.3</v>
      </c>
      <c r="BE5" s="8">
        <f t="shared" si="3"/>
        <v>0.3</v>
      </c>
      <c r="BF5" s="8">
        <f t="shared" si="3"/>
        <v>0.3</v>
      </c>
      <c r="BG5" s="8">
        <f t="shared" si="3"/>
        <v>0.3</v>
      </c>
      <c r="BH5" s="8">
        <f t="shared" si="3"/>
        <v>0.3</v>
      </c>
    </row>
    <row r="6" spans="1:60" x14ac:dyDescent="0.3">
      <c r="A6">
        <f t="shared" ca="1" si="4"/>
        <v>12</v>
      </c>
      <c r="B6" s="4">
        <f t="shared" ca="1" si="0"/>
        <v>5.2863436123348019E-2</v>
      </c>
      <c r="C6">
        <f t="shared" ca="1" si="5"/>
        <v>52.863436123348016</v>
      </c>
      <c r="E6" s="11">
        <f>E5+"00:30"</f>
        <v>2.0833333333333332E-2</v>
      </c>
      <c r="F6" s="8">
        <v>0.27</v>
      </c>
      <c r="G6" s="8">
        <v>0.35</v>
      </c>
      <c r="H6" s="8">
        <v>0.35</v>
      </c>
      <c r="I6" s="8">
        <v>0.28000000000000003</v>
      </c>
      <c r="J6" s="8">
        <v>0.28000000000000003</v>
      </c>
      <c r="K6" s="8">
        <v>0.26</v>
      </c>
      <c r="L6" s="8">
        <v>0.34</v>
      </c>
      <c r="M6" s="8">
        <v>0.34</v>
      </c>
      <c r="N6" s="8">
        <v>0.34</v>
      </c>
      <c r="O6" s="8">
        <v>0.34</v>
      </c>
      <c r="P6" s="8">
        <v>0.28999999999999998</v>
      </c>
      <c r="Q6" s="8">
        <v>0.28000000000000003</v>
      </c>
      <c r="R6" s="8">
        <v>0.28999999999999998</v>
      </c>
      <c r="S6" s="8">
        <v>0.35</v>
      </c>
      <c r="T6" s="8">
        <v>0.26</v>
      </c>
      <c r="U6" s="8">
        <v>0.35</v>
      </c>
      <c r="V6" s="8">
        <v>0.25</v>
      </c>
      <c r="W6" s="8">
        <v>0.25</v>
      </c>
      <c r="X6" s="8">
        <v>0.34</v>
      </c>
      <c r="Y6" s="8">
        <v>0.32</v>
      </c>
      <c r="Z6" s="8">
        <v>0.3</v>
      </c>
      <c r="AA6" s="8">
        <v>0.27</v>
      </c>
      <c r="AB6" s="8">
        <v>0.26</v>
      </c>
      <c r="AC6" s="8">
        <v>0.26</v>
      </c>
      <c r="AD6" s="8">
        <v>0.31</v>
      </c>
      <c r="AE6" s="8">
        <v>0.33</v>
      </c>
      <c r="AF6" s="8">
        <v>0.34</v>
      </c>
      <c r="AG6" s="8">
        <v>0.28999999999999998</v>
      </c>
      <c r="AI6" s="6">
        <f t="shared" ref="AI6:AI51" si="8">AI5+"00:30"</f>
        <v>4.1666666666666664E-2</v>
      </c>
      <c r="AJ6" s="8">
        <f t="shared" si="6"/>
        <v>0.3</v>
      </c>
      <c r="AK6" s="8">
        <f t="shared" si="1"/>
        <v>0.3</v>
      </c>
      <c r="AL6" s="8">
        <f t="shared" si="1"/>
        <v>0.3</v>
      </c>
      <c r="AM6" s="8">
        <f t="shared" si="1"/>
        <v>0.3</v>
      </c>
      <c r="AN6" s="8">
        <f t="shared" si="1"/>
        <v>0.3</v>
      </c>
      <c r="AO6" s="8">
        <f t="shared" si="1"/>
        <v>0.3</v>
      </c>
      <c r="AP6" s="8">
        <f t="shared" si="1"/>
        <v>0.3</v>
      </c>
      <c r="AR6" s="6">
        <f t="shared" ref="AR6:AR19" si="9">AR5+"00:30"</f>
        <v>4.1666666666666664E-2</v>
      </c>
      <c r="AS6" s="8">
        <f t="shared" ref="AS6:AV51" si="10">AJ6/AJ$52</f>
        <v>1</v>
      </c>
      <c r="AT6" s="8">
        <f t="shared" si="2"/>
        <v>1</v>
      </c>
      <c r="AU6" s="8">
        <f t="shared" si="2"/>
        <v>1</v>
      </c>
      <c r="AV6" s="8">
        <f t="shared" si="2"/>
        <v>1</v>
      </c>
      <c r="AW6" s="8">
        <f t="shared" si="2"/>
        <v>1</v>
      </c>
      <c r="AX6" s="8">
        <f t="shared" si="2"/>
        <v>1</v>
      </c>
      <c r="AY6" s="8">
        <f t="shared" si="2"/>
        <v>1</v>
      </c>
      <c r="BA6" s="6">
        <f t="shared" ref="BA6:BA19" si="11">BA5+"00:30"</f>
        <v>4.1666666666666664E-2</v>
      </c>
      <c r="BB6" s="8">
        <f t="shared" si="7"/>
        <v>0.3</v>
      </c>
      <c r="BC6" s="8">
        <f t="shared" si="3"/>
        <v>0.3</v>
      </c>
      <c r="BD6" s="8">
        <f t="shared" si="3"/>
        <v>0.3</v>
      </c>
      <c r="BE6" s="8">
        <f t="shared" si="3"/>
        <v>0.3</v>
      </c>
      <c r="BF6" s="8">
        <f t="shared" si="3"/>
        <v>0.3</v>
      </c>
      <c r="BG6" s="8">
        <f t="shared" si="3"/>
        <v>0.3</v>
      </c>
      <c r="BH6" s="8">
        <f t="shared" si="3"/>
        <v>0.3</v>
      </c>
    </row>
    <row r="7" spans="1:60" x14ac:dyDescent="0.3">
      <c r="A7">
        <f t="shared" ca="1" si="4"/>
        <v>15</v>
      </c>
      <c r="B7" s="4">
        <f t="shared" ca="1" si="0"/>
        <v>6.6079295154185022E-2</v>
      </c>
      <c r="C7">
        <f t="shared" ca="1" si="5"/>
        <v>66.079295154185019</v>
      </c>
      <c r="E7" s="11">
        <f t="shared" ref="E7:E51" si="12">E6+"00:30"</f>
        <v>4.1666666666666664E-2</v>
      </c>
      <c r="F7" s="8">
        <v>0.28999999999999998</v>
      </c>
      <c r="G7" s="8">
        <v>0.26</v>
      </c>
      <c r="H7" s="8">
        <v>0.35</v>
      </c>
      <c r="I7" s="8">
        <v>0.26</v>
      </c>
      <c r="J7" s="8">
        <v>0.28999999999999998</v>
      </c>
      <c r="K7" s="8">
        <v>0.3</v>
      </c>
      <c r="L7" s="8">
        <v>0.27</v>
      </c>
      <c r="M7" s="8">
        <v>0.32</v>
      </c>
      <c r="N7" s="8">
        <v>0.34</v>
      </c>
      <c r="O7" s="8">
        <v>0.28000000000000003</v>
      </c>
      <c r="P7" s="8">
        <v>0.31</v>
      </c>
      <c r="Q7" s="8">
        <v>0.33</v>
      </c>
      <c r="R7" s="8">
        <v>0.31</v>
      </c>
      <c r="S7" s="8">
        <v>0.28000000000000003</v>
      </c>
      <c r="T7" s="8">
        <v>0.27</v>
      </c>
      <c r="U7" s="8">
        <v>0.25</v>
      </c>
      <c r="V7" s="8">
        <v>0.33</v>
      </c>
      <c r="W7" s="8">
        <v>0.28999999999999998</v>
      </c>
      <c r="X7" s="8">
        <v>0.26</v>
      </c>
      <c r="Y7" s="8">
        <v>0.26</v>
      </c>
      <c r="Z7" s="8">
        <v>0.28999999999999998</v>
      </c>
      <c r="AA7" s="8">
        <v>0.35</v>
      </c>
      <c r="AB7" s="8">
        <v>0.34</v>
      </c>
      <c r="AC7" s="8">
        <v>0.25</v>
      </c>
      <c r="AD7" s="8">
        <v>0.3</v>
      </c>
      <c r="AE7" s="8">
        <v>0.33</v>
      </c>
      <c r="AF7" s="8">
        <v>0.35</v>
      </c>
      <c r="AG7" s="8">
        <v>0.25</v>
      </c>
      <c r="AI7" s="6">
        <f t="shared" si="8"/>
        <v>6.25E-2</v>
      </c>
      <c r="AJ7" s="8">
        <f t="shared" si="6"/>
        <v>0.3</v>
      </c>
      <c r="AK7" s="8">
        <f t="shared" si="1"/>
        <v>0.3</v>
      </c>
      <c r="AL7" s="8">
        <f t="shared" si="1"/>
        <v>0.3</v>
      </c>
      <c r="AM7" s="8">
        <f t="shared" si="1"/>
        <v>0.3</v>
      </c>
      <c r="AN7" s="8">
        <f t="shared" si="1"/>
        <v>0.3</v>
      </c>
      <c r="AO7" s="8">
        <f t="shared" si="1"/>
        <v>0.3</v>
      </c>
      <c r="AP7" s="8">
        <f t="shared" si="1"/>
        <v>0.3</v>
      </c>
      <c r="AR7" s="6">
        <f t="shared" si="9"/>
        <v>6.25E-2</v>
      </c>
      <c r="AS7" s="8">
        <f t="shared" si="10"/>
        <v>1</v>
      </c>
      <c r="AT7" s="8">
        <f t="shared" si="2"/>
        <v>1</v>
      </c>
      <c r="AU7" s="8">
        <f t="shared" si="2"/>
        <v>1</v>
      </c>
      <c r="AV7" s="8">
        <f t="shared" si="2"/>
        <v>1</v>
      </c>
      <c r="AW7" s="8">
        <f t="shared" si="2"/>
        <v>1</v>
      </c>
      <c r="AX7" s="8">
        <f t="shared" si="2"/>
        <v>1</v>
      </c>
      <c r="AY7" s="8">
        <f t="shared" si="2"/>
        <v>1</v>
      </c>
      <c r="BA7" s="6">
        <f t="shared" si="11"/>
        <v>6.25E-2</v>
      </c>
      <c r="BB7" s="8">
        <f t="shared" si="7"/>
        <v>0.3</v>
      </c>
      <c r="BC7" s="8">
        <f t="shared" si="3"/>
        <v>0.3</v>
      </c>
      <c r="BD7" s="8">
        <f t="shared" si="3"/>
        <v>0.3</v>
      </c>
      <c r="BE7" s="8">
        <f t="shared" si="3"/>
        <v>0.3</v>
      </c>
      <c r="BF7" s="8">
        <f t="shared" si="3"/>
        <v>0.3</v>
      </c>
      <c r="BG7" s="8">
        <f t="shared" si="3"/>
        <v>0.3</v>
      </c>
      <c r="BH7" s="8">
        <f t="shared" si="3"/>
        <v>0.3</v>
      </c>
    </row>
    <row r="8" spans="1:60" x14ac:dyDescent="0.3">
      <c r="A8">
        <f t="shared" ca="1" si="4"/>
        <v>11</v>
      </c>
      <c r="B8" s="4">
        <f t="shared" ca="1" si="0"/>
        <v>4.8458149779735685E-2</v>
      </c>
      <c r="C8">
        <f t="shared" ca="1" si="5"/>
        <v>48.458149779735685</v>
      </c>
      <c r="E8" s="11">
        <f t="shared" si="12"/>
        <v>6.25E-2</v>
      </c>
      <c r="F8" s="8">
        <v>0.32</v>
      </c>
      <c r="G8" s="8">
        <v>0.35</v>
      </c>
      <c r="H8" s="8">
        <v>0.3</v>
      </c>
      <c r="I8" s="8">
        <v>0.26</v>
      </c>
      <c r="J8" s="8">
        <v>0.3</v>
      </c>
      <c r="K8" s="8">
        <v>0.34</v>
      </c>
      <c r="L8" s="8">
        <v>0.31</v>
      </c>
      <c r="M8" s="8">
        <v>0.33</v>
      </c>
      <c r="N8" s="8">
        <v>0.28000000000000003</v>
      </c>
      <c r="O8" s="8">
        <v>0.27</v>
      </c>
      <c r="P8" s="8">
        <v>0.28000000000000003</v>
      </c>
      <c r="Q8" s="8">
        <v>0.27</v>
      </c>
      <c r="R8" s="8">
        <v>0.32</v>
      </c>
      <c r="S8" s="8">
        <v>0.26</v>
      </c>
      <c r="T8" s="8">
        <v>0.28000000000000003</v>
      </c>
      <c r="U8" s="8">
        <v>0.28000000000000003</v>
      </c>
      <c r="V8" s="8">
        <v>0.32</v>
      </c>
      <c r="W8" s="8">
        <v>0.34</v>
      </c>
      <c r="X8" s="8">
        <v>0.33</v>
      </c>
      <c r="Y8" s="8">
        <v>0.28000000000000003</v>
      </c>
      <c r="Z8" s="8">
        <v>0.25</v>
      </c>
      <c r="AA8" s="8">
        <v>0.26</v>
      </c>
      <c r="AB8" s="8">
        <v>0.34</v>
      </c>
      <c r="AC8" s="8">
        <v>0.28999999999999998</v>
      </c>
      <c r="AD8" s="8">
        <v>0.26</v>
      </c>
      <c r="AE8" s="8">
        <v>0.31</v>
      </c>
      <c r="AF8" s="8">
        <v>0.26</v>
      </c>
      <c r="AG8" s="8">
        <v>0.25</v>
      </c>
      <c r="AI8" s="6">
        <f t="shared" si="8"/>
        <v>8.3333333333333329E-2</v>
      </c>
      <c r="AJ8" s="8">
        <f t="shared" si="6"/>
        <v>0.3</v>
      </c>
      <c r="AK8" s="8">
        <f t="shared" si="1"/>
        <v>0.3</v>
      </c>
      <c r="AL8" s="8">
        <f t="shared" si="1"/>
        <v>0.3</v>
      </c>
      <c r="AM8" s="8">
        <f t="shared" si="1"/>
        <v>0.3</v>
      </c>
      <c r="AN8" s="8">
        <f t="shared" si="1"/>
        <v>0.3</v>
      </c>
      <c r="AO8" s="8">
        <f t="shared" si="1"/>
        <v>0.3</v>
      </c>
      <c r="AP8" s="8">
        <f t="shared" si="1"/>
        <v>0.3</v>
      </c>
      <c r="AR8" s="6">
        <f t="shared" si="9"/>
        <v>8.3333333333333329E-2</v>
      </c>
      <c r="AS8" s="8">
        <f t="shared" si="10"/>
        <v>1</v>
      </c>
      <c r="AT8" s="8">
        <f t="shared" si="2"/>
        <v>1</v>
      </c>
      <c r="AU8" s="8">
        <f t="shared" si="2"/>
        <v>1</v>
      </c>
      <c r="AV8" s="8">
        <f t="shared" si="2"/>
        <v>1</v>
      </c>
      <c r="AW8" s="8">
        <f t="shared" si="2"/>
        <v>1</v>
      </c>
      <c r="AX8" s="8">
        <f t="shared" si="2"/>
        <v>1</v>
      </c>
      <c r="AY8" s="8">
        <f t="shared" si="2"/>
        <v>1</v>
      </c>
      <c r="BA8" s="6">
        <f t="shared" si="11"/>
        <v>8.3333333333333329E-2</v>
      </c>
      <c r="BB8" s="8">
        <f t="shared" si="7"/>
        <v>0.3</v>
      </c>
      <c r="BC8" s="8">
        <f t="shared" si="3"/>
        <v>0.3</v>
      </c>
      <c r="BD8" s="8">
        <f t="shared" si="3"/>
        <v>0.3</v>
      </c>
      <c r="BE8" s="8">
        <f t="shared" si="3"/>
        <v>0.3</v>
      </c>
      <c r="BF8" s="8">
        <f t="shared" si="3"/>
        <v>0.3</v>
      </c>
      <c r="BG8" s="8">
        <f t="shared" si="3"/>
        <v>0.3</v>
      </c>
      <c r="BH8" s="8">
        <f t="shared" si="3"/>
        <v>0.3</v>
      </c>
    </row>
    <row r="9" spans="1:60" x14ac:dyDescent="0.3">
      <c r="A9">
        <f t="shared" ca="1" si="4"/>
        <v>12</v>
      </c>
      <c r="B9" s="4">
        <f t="shared" ca="1" si="0"/>
        <v>5.2863436123348019E-2</v>
      </c>
      <c r="C9">
        <f t="shared" ca="1" si="5"/>
        <v>52.863436123348016</v>
      </c>
      <c r="E9" s="11">
        <f t="shared" si="12"/>
        <v>8.3333333333333329E-2</v>
      </c>
      <c r="F9" s="8">
        <v>0.34</v>
      </c>
      <c r="G9" s="8">
        <v>0.28000000000000003</v>
      </c>
      <c r="H9" s="8">
        <v>0.26</v>
      </c>
      <c r="I9" s="8">
        <v>0.31</v>
      </c>
      <c r="J9" s="8">
        <v>0.31</v>
      </c>
      <c r="K9" s="8">
        <v>0.31</v>
      </c>
      <c r="L9" s="8">
        <v>0.33</v>
      </c>
      <c r="M9" s="8">
        <v>0.25</v>
      </c>
      <c r="N9" s="8">
        <v>0.25</v>
      </c>
      <c r="O9" s="8">
        <v>0.34</v>
      </c>
      <c r="P9" s="8">
        <v>0.32</v>
      </c>
      <c r="Q9" s="8">
        <v>0.33</v>
      </c>
      <c r="R9" s="8">
        <v>0.26</v>
      </c>
      <c r="S9" s="8">
        <v>0.32</v>
      </c>
      <c r="T9" s="8">
        <v>0.25</v>
      </c>
      <c r="U9" s="8">
        <v>0.27</v>
      </c>
      <c r="V9" s="8">
        <v>0.32</v>
      </c>
      <c r="W9" s="8">
        <v>0.3</v>
      </c>
      <c r="X9" s="8">
        <v>0.3</v>
      </c>
      <c r="Y9" s="8">
        <v>0.25</v>
      </c>
      <c r="Z9" s="8">
        <v>0.28000000000000003</v>
      </c>
      <c r="AA9" s="8">
        <v>0.3</v>
      </c>
      <c r="AB9" s="8">
        <v>0.35</v>
      </c>
      <c r="AC9" s="8">
        <v>0.33</v>
      </c>
      <c r="AD9" s="8">
        <v>0.35</v>
      </c>
      <c r="AE9" s="8">
        <v>0.32</v>
      </c>
      <c r="AF9" s="8">
        <v>0.28999999999999998</v>
      </c>
      <c r="AG9" s="8">
        <v>0.33</v>
      </c>
      <c r="AI9" s="6">
        <f t="shared" si="8"/>
        <v>0.10416666666666666</v>
      </c>
      <c r="AJ9" s="8">
        <f t="shared" si="6"/>
        <v>0.3</v>
      </c>
      <c r="AK9" s="8">
        <f t="shared" si="1"/>
        <v>0.3</v>
      </c>
      <c r="AL9" s="8">
        <f t="shared" si="1"/>
        <v>0.3</v>
      </c>
      <c r="AM9" s="8">
        <f t="shared" si="1"/>
        <v>0.3</v>
      </c>
      <c r="AN9" s="8">
        <f t="shared" si="1"/>
        <v>0.3</v>
      </c>
      <c r="AO9" s="8">
        <f t="shared" si="1"/>
        <v>0.3</v>
      </c>
      <c r="AP9" s="8">
        <f t="shared" si="1"/>
        <v>0.3</v>
      </c>
      <c r="AR9" s="6">
        <f t="shared" si="9"/>
        <v>0.10416666666666666</v>
      </c>
      <c r="AS9" s="8">
        <f t="shared" si="10"/>
        <v>1</v>
      </c>
      <c r="AT9" s="8">
        <f t="shared" si="2"/>
        <v>1</v>
      </c>
      <c r="AU9" s="8">
        <f t="shared" si="2"/>
        <v>1</v>
      </c>
      <c r="AV9" s="8">
        <f t="shared" si="2"/>
        <v>1</v>
      </c>
      <c r="AW9" s="8">
        <f t="shared" si="2"/>
        <v>1</v>
      </c>
      <c r="AX9" s="8">
        <f t="shared" si="2"/>
        <v>1</v>
      </c>
      <c r="AY9" s="8">
        <f t="shared" si="2"/>
        <v>1</v>
      </c>
      <c r="BA9" s="6">
        <f t="shared" si="11"/>
        <v>0.10416666666666666</v>
      </c>
      <c r="BB9" s="8">
        <f t="shared" si="7"/>
        <v>0.3</v>
      </c>
      <c r="BC9" s="8">
        <f t="shared" si="3"/>
        <v>0.3</v>
      </c>
      <c r="BD9" s="8">
        <f t="shared" si="3"/>
        <v>0.3</v>
      </c>
      <c r="BE9" s="8">
        <f t="shared" si="3"/>
        <v>0.3</v>
      </c>
      <c r="BF9" s="8">
        <f t="shared" si="3"/>
        <v>0.3</v>
      </c>
      <c r="BG9" s="8">
        <f t="shared" si="3"/>
        <v>0.3</v>
      </c>
      <c r="BH9" s="8">
        <f t="shared" si="3"/>
        <v>0.3</v>
      </c>
    </row>
    <row r="10" spans="1:60" x14ac:dyDescent="0.3">
      <c r="A10">
        <f t="shared" ca="1" si="4"/>
        <v>12</v>
      </c>
      <c r="B10" s="4">
        <f t="shared" ca="1" si="0"/>
        <v>5.2863436123348019E-2</v>
      </c>
      <c r="C10">
        <f t="shared" ca="1" si="5"/>
        <v>52.863436123348016</v>
      </c>
      <c r="E10" s="11">
        <f t="shared" si="12"/>
        <v>0.10416666666666666</v>
      </c>
      <c r="F10" s="8">
        <v>0.34</v>
      </c>
      <c r="G10" s="8">
        <v>0.26</v>
      </c>
      <c r="H10" s="8">
        <v>0.31</v>
      </c>
      <c r="I10" s="8">
        <v>0.32</v>
      </c>
      <c r="J10" s="8">
        <v>0.32</v>
      </c>
      <c r="K10" s="8">
        <v>0.26</v>
      </c>
      <c r="L10" s="8">
        <v>0.31</v>
      </c>
      <c r="M10" s="8">
        <v>0.3</v>
      </c>
      <c r="N10" s="8">
        <v>0.35</v>
      </c>
      <c r="O10" s="8">
        <v>0.27</v>
      </c>
      <c r="P10" s="8">
        <v>0.35</v>
      </c>
      <c r="Q10" s="8">
        <v>0.32</v>
      </c>
      <c r="R10" s="8">
        <v>0.27</v>
      </c>
      <c r="S10" s="8">
        <v>0.27</v>
      </c>
      <c r="T10" s="8">
        <v>0.28000000000000003</v>
      </c>
      <c r="U10" s="8">
        <v>0.3</v>
      </c>
      <c r="V10" s="8">
        <v>0.28999999999999998</v>
      </c>
      <c r="W10" s="8">
        <v>0.26</v>
      </c>
      <c r="X10" s="8">
        <v>0.33</v>
      </c>
      <c r="Y10" s="8">
        <v>0.34</v>
      </c>
      <c r="Z10" s="8">
        <v>0.31</v>
      </c>
      <c r="AA10" s="8">
        <v>0.28000000000000003</v>
      </c>
      <c r="AB10" s="8">
        <v>0.26</v>
      </c>
      <c r="AC10" s="8">
        <v>0.34</v>
      </c>
      <c r="AD10" s="8">
        <v>0.33</v>
      </c>
      <c r="AE10" s="8">
        <v>0.28999999999999998</v>
      </c>
      <c r="AF10" s="8">
        <v>0.25</v>
      </c>
      <c r="AG10" s="8">
        <v>0.33</v>
      </c>
      <c r="AI10" s="6">
        <f t="shared" si="8"/>
        <v>0.12499999999999999</v>
      </c>
      <c r="AJ10" s="8">
        <f t="shared" si="6"/>
        <v>0.3</v>
      </c>
      <c r="AK10" s="8">
        <f t="shared" si="1"/>
        <v>0.3</v>
      </c>
      <c r="AL10" s="8">
        <f t="shared" si="1"/>
        <v>0.3</v>
      </c>
      <c r="AM10" s="8">
        <f t="shared" si="1"/>
        <v>0.3</v>
      </c>
      <c r="AN10" s="8">
        <f t="shared" si="1"/>
        <v>0.3</v>
      </c>
      <c r="AO10" s="8">
        <f t="shared" si="1"/>
        <v>0.3</v>
      </c>
      <c r="AP10" s="8">
        <f t="shared" si="1"/>
        <v>0.3</v>
      </c>
      <c r="AR10" s="6">
        <f t="shared" si="9"/>
        <v>0.12499999999999999</v>
      </c>
      <c r="AS10" s="8">
        <f t="shared" si="10"/>
        <v>1</v>
      </c>
      <c r="AT10" s="8">
        <f t="shared" si="2"/>
        <v>1</v>
      </c>
      <c r="AU10" s="8">
        <f t="shared" si="2"/>
        <v>1</v>
      </c>
      <c r="AV10" s="8">
        <f t="shared" si="2"/>
        <v>1</v>
      </c>
      <c r="AW10" s="8">
        <f t="shared" si="2"/>
        <v>1</v>
      </c>
      <c r="AX10" s="8">
        <f t="shared" si="2"/>
        <v>1</v>
      </c>
      <c r="AY10" s="8">
        <f t="shared" si="2"/>
        <v>1</v>
      </c>
      <c r="BA10" s="6">
        <f t="shared" si="11"/>
        <v>0.12499999999999999</v>
      </c>
      <c r="BB10" s="8">
        <f t="shared" si="7"/>
        <v>0.3</v>
      </c>
      <c r="BC10" s="8">
        <f t="shared" si="3"/>
        <v>0.3</v>
      </c>
      <c r="BD10" s="8">
        <f t="shared" si="3"/>
        <v>0.3</v>
      </c>
      <c r="BE10" s="8">
        <f t="shared" si="3"/>
        <v>0.3</v>
      </c>
      <c r="BF10" s="8">
        <f t="shared" si="3"/>
        <v>0.3</v>
      </c>
      <c r="BG10" s="8">
        <f t="shared" si="3"/>
        <v>0.3</v>
      </c>
      <c r="BH10" s="8">
        <f t="shared" si="3"/>
        <v>0.3</v>
      </c>
    </row>
    <row r="11" spans="1:60" x14ac:dyDescent="0.3">
      <c r="A11">
        <f t="shared" ca="1" si="4"/>
        <v>10</v>
      </c>
      <c r="B11" s="4">
        <f t="shared" ca="1" si="0"/>
        <v>4.405286343612335E-2</v>
      </c>
      <c r="C11">
        <f t="shared" ca="1" si="5"/>
        <v>44.052863436123353</v>
      </c>
      <c r="E11" s="11">
        <f t="shared" si="12"/>
        <v>0.12499999999999999</v>
      </c>
      <c r="F11" s="8">
        <v>0.25</v>
      </c>
      <c r="G11" s="8">
        <v>0.28999999999999998</v>
      </c>
      <c r="H11" s="8">
        <v>0.28999999999999998</v>
      </c>
      <c r="I11" s="8">
        <v>0.27</v>
      </c>
      <c r="J11" s="8">
        <v>0.28999999999999998</v>
      </c>
      <c r="K11" s="8">
        <v>0.3</v>
      </c>
      <c r="L11" s="8">
        <v>0.35</v>
      </c>
      <c r="M11" s="8">
        <v>0.3</v>
      </c>
      <c r="N11" s="8">
        <v>0.35</v>
      </c>
      <c r="O11" s="8">
        <v>0.3</v>
      </c>
      <c r="P11" s="8">
        <v>0.34</v>
      </c>
      <c r="Q11" s="8">
        <v>0.31</v>
      </c>
      <c r="R11" s="8">
        <v>0.3</v>
      </c>
      <c r="S11" s="8">
        <v>0.31</v>
      </c>
      <c r="T11" s="8">
        <v>0.31</v>
      </c>
      <c r="U11" s="8">
        <v>0.3</v>
      </c>
      <c r="V11" s="8">
        <v>0.27</v>
      </c>
      <c r="W11" s="8">
        <v>0.33</v>
      </c>
      <c r="X11" s="8">
        <v>0.27</v>
      </c>
      <c r="Y11" s="8">
        <v>0.27</v>
      </c>
      <c r="Z11" s="8">
        <v>0.33</v>
      </c>
      <c r="AA11" s="8">
        <v>0.28999999999999998</v>
      </c>
      <c r="AB11" s="8">
        <v>0.26</v>
      </c>
      <c r="AC11" s="8">
        <v>0.31</v>
      </c>
      <c r="AD11" s="8">
        <v>0.27</v>
      </c>
      <c r="AE11" s="8">
        <v>0.34</v>
      </c>
      <c r="AF11" s="8">
        <v>0.34</v>
      </c>
      <c r="AG11" s="8">
        <v>0.34</v>
      </c>
      <c r="AI11" s="6">
        <f t="shared" si="8"/>
        <v>0.14583333333333331</v>
      </c>
      <c r="AJ11" s="8">
        <f t="shared" si="6"/>
        <v>0.3</v>
      </c>
      <c r="AK11" s="8">
        <f t="shared" si="1"/>
        <v>0.3</v>
      </c>
      <c r="AL11" s="8">
        <f t="shared" si="1"/>
        <v>0.3</v>
      </c>
      <c r="AM11" s="8">
        <f t="shared" si="1"/>
        <v>0.3</v>
      </c>
      <c r="AN11" s="8">
        <f t="shared" si="1"/>
        <v>0.3</v>
      </c>
      <c r="AO11" s="8">
        <f t="shared" si="1"/>
        <v>0.3</v>
      </c>
      <c r="AP11" s="8">
        <f t="shared" si="1"/>
        <v>0.3</v>
      </c>
      <c r="AR11" s="6">
        <f t="shared" si="9"/>
        <v>0.14583333333333331</v>
      </c>
      <c r="AS11" s="8">
        <f t="shared" si="10"/>
        <v>1</v>
      </c>
      <c r="AT11" s="8">
        <f t="shared" si="2"/>
        <v>1</v>
      </c>
      <c r="AU11" s="8">
        <f t="shared" si="2"/>
        <v>1</v>
      </c>
      <c r="AV11" s="8">
        <f t="shared" si="2"/>
        <v>1</v>
      </c>
      <c r="AW11" s="8">
        <f t="shared" si="2"/>
        <v>1</v>
      </c>
      <c r="AX11" s="8">
        <f t="shared" si="2"/>
        <v>1</v>
      </c>
      <c r="AY11" s="8">
        <f t="shared" si="2"/>
        <v>1</v>
      </c>
      <c r="BA11" s="6">
        <f t="shared" si="11"/>
        <v>0.14583333333333331</v>
      </c>
      <c r="BB11" s="8">
        <f t="shared" si="7"/>
        <v>0.3</v>
      </c>
      <c r="BC11" s="8">
        <f t="shared" si="3"/>
        <v>0.3</v>
      </c>
      <c r="BD11" s="8">
        <f t="shared" si="3"/>
        <v>0.3</v>
      </c>
      <c r="BE11" s="8">
        <f t="shared" si="3"/>
        <v>0.3</v>
      </c>
      <c r="BF11" s="8">
        <f t="shared" si="3"/>
        <v>0.3</v>
      </c>
      <c r="BG11" s="8">
        <f t="shared" si="3"/>
        <v>0.3</v>
      </c>
      <c r="BH11" s="8">
        <f t="shared" si="3"/>
        <v>0.3</v>
      </c>
    </row>
    <row r="12" spans="1:60" x14ac:dyDescent="0.3">
      <c r="A12">
        <f t="shared" ca="1" si="4"/>
        <v>16</v>
      </c>
      <c r="B12" s="4">
        <f t="shared" ca="1" si="0"/>
        <v>7.0484581497797363E-2</v>
      </c>
      <c r="C12">
        <f t="shared" ca="1" si="5"/>
        <v>70.484581497797365</v>
      </c>
      <c r="E12" s="11">
        <f t="shared" si="12"/>
        <v>0.14583333333333331</v>
      </c>
      <c r="F12" s="8">
        <v>0.25</v>
      </c>
      <c r="G12" s="8">
        <v>0.32</v>
      </c>
      <c r="H12" s="8">
        <v>0.3</v>
      </c>
      <c r="I12" s="8">
        <v>0.26</v>
      </c>
      <c r="J12" s="8">
        <v>0.26</v>
      </c>
      <c r="K12" s="8">
        <v>0.32</v>
      </c>
      <c r="L12" s="8">
        <v>0.28999999999999998</v>
      </c>
      <c r="M12" s="8">
        <v>0.28999999999999998</v>
      </c>
      <c r="N12" s="8">
        <v>0.27</v>
      </c>
      <c r="O12" s="8">
        <v>0.33</v>
      </c>
      <c r="P12" s="8">
        <v>0.34</v>
      </c>
      <c r="Q12" s="8">
        <v>0.32</v>
      </c>
      <c r="R12" s="8">
        <v>0.3</v>
      </c>
      <c r="S12" s="8">
        <v>0.28000000000000003</v>
      </c>
      <c r="T12" s="8">
        <v>0.35</v>
      </c>
      <c r="U12" s="8">
        <v>0.28999999999999998</v>
      </c>
      <c r="V12" s="8">
        <v>0.25</v>
      </c>
      <c r="W12" s="8">
        <v>0.34</v>
      </c>
      <c r="X12" s="8">
        <v>0.35</v>
      </c>
      <c r="Y12" s="8">
        <v>0.34</v>
      </c>
      <c r="Z12" s="8">
        <v>0.31</v>
      </c>
      <c r="AA12" s="8">
        <v>0.32</v>
      </c>
      <c r="AB12" s="8">
        <v>0.28999999999999998</v>
      </c>
      <c r="AC12" s="8">
        <v>0.3</v>
      </c>
      <c r="AD12" s="8">
        <v>0.34</v>
      </c>
      <c r="AE12" s="8">
        <v>0.28999999999999998</v>
      </c>
      <c r="AF12" s="8">
        <v>0.31</v>
      </c>
      <c r="AG12" s="8">
        <v>0.32</v>
      </c>
      <c r="AI12" s="6">
        <f t="shared" si="8"/>
        <v>0.16666666666666666</v>
      </c>
      <c r="AJ12" s="8">
        <f t="shared" si="6"/>
        <v>0.3</v>
      </c>
      <c r="AK12" s="8">
        <f t="shared" si="1"/>
        <v>0.3</v>
      </c>
      <c r="AL12" s="8">
        <f t="shared" si="1"/>
        <v>0.3</v>
      </c>
      <c r="AM12" s="8">
        <f t="shared" si="1"/>
        <v>0.3</v>
      </c>
      <c r="AN12" s="8">
        <f t="shared" si="1"/>
        <v>0.3</v>
      </c>
      <c r="AO12" s="8">
        <f t="shared" si="1"/>
        <v>0.3</v>
      </c>
      <c r="AP12" s="8">
        <f t="shared" si="1"/>
        <v>0.3</v>
      </c>
      <c r="AR12" s="6">
        <f t="shared" si="9"/>
        <v>0.16666666666666666</v>
      </c>
      <c r="AS12" s="8">
        <f t="shared" si="10"/>
        <v>1</v>
      </c>
      <c r="AT12" s="8">
        <f t="shared" si="2"/>
        <v>1</v>
      </c>
      <c r="AU12" s="8">
        <f t="shared" si="2"/>
        <v>1</v>
      </c>
      <c r="AV12" s="8">
        <f t="shared" si="2"/>
        <v>1</v>
      </c>
      <c r="AW12" s="8">
        <f t="shared" si="2"/>
        <v>1</v>
      </c>
      <c r="AX12" s="8">
        <f t="shared" si="2"/>
        <v>1</v>
      </c>
      <c r="AY12" s="8">
        <f t="shared" si="2"/>
        <v>1</v>
      </c>
      <c r="BA12" s="6">
        <f t="shared" si="11"/>
        <v>0.16666666666666666</v>
      </c>
      <c r="BB12" s="8">
        <f t="shared" si="7"/>
        <v>0.3</v>
      </c>
      <c r="BC12" s="8">
        <f t="shared" si="3"/>
        <v>0.3</v>
      </c>
      <c r="BD12" s="8">
        <f t="shared" si="3"/>
        <v>0.3</v>
      </c>
      <c r="BE12" s="8">
        <f t="shared" si="3"/>
        <v>0.3</v>
      </c>
      <c r="BF12" s="8">
        <f t="shared" si="3"/>
        <v>0.3</v>
      </c>
      <c r="BG12" s="8">
        <f t="shared" si="3"/>
        <v>0.3</v>
      </c>
      <c r="BH12" s="8">
        <f t="shared" si="3"/>
        <v>0.3</v>
      </c>
    </row>
    <row r="13" spans="1:60" x14ac:dyDescent="0.3">
      <c r="A13">
        <f t="shared" ca="1" si="4"/>
        <v>12</v>
      </c>
      <c r="B13" s="4">
        <f t="shared" ca="1" si="0"/>
        <v>5.2863436123348019E-2</v>
      </c>
      <c r="C13">
        <f t="shared" ca="1" si="5"/>
        <v>52.863436123348016</v>
      </c>
      <c r="E13" s="11">
        <f t="shared" si="12"/>
        <v>0.16666666666666666</v>
      </c>
      <c r="F13" s="8">
        <v>0.34</v>
      </c>
      <c r="G13" s="8">
        <v>0.27</v>
      </c>
      <c r="H13" s="8">
        <v>0.28999999999999998</v>
      </c>
      <c r="I13" s="8">
        <v>0.31</v>
      </c>
      <c r="J13" s="8">
        <v>0.28000000000000003</v>
      </c>
      <c r="K13" s="8">
        <v>0.27</v>
      </c>
      <c r="L13" s="8">
        <v>0.28999999999999998</v>
      </c>
      <c r="M13" s="8">
        <v>0.35</v>
      </c>
      <c r="N13" s="8">
        <v>0.35</v>
      </c>
      <c r="O13" s="8">
        <v>0.34</v>
      </c>
      <c r="P13" s="8">
        <v>0.32</v>
      </c>
      <c r="Q13" s="8">
        <v>0.32</v>
      </c>
      <c r="R13" s="8">
        <v>0.33</v>
      </c>
      <c r="S13" s="8">
        <v>0.26</v>
      </c>
      <c r="T13" s="8">
        <v>0.32</v>
      </c>
      <c r="U13" s="8">
        <v>0.28999999999999998</v>
      </c>
      <c r="V13" s="8">
        <v>0.34</v>
      </c>
      <c r="W13" s="8">
        <v>0.28000000000000003</v>
      </c>
      <c r="X13" s="8">
        <v>0.32</v>
      </c>
      <c r="Y13" s="8">
        <v>0.28999999999999998</v>
      </c>
      <c r="Z13" s="8">
        <v>0.35</v>
      </c>
      <c r="AA13" s="8">
        <v>0.26</v>
      </c>
      <c r="AB13" s="8">
        <v>0.33</v>
      </c>
      <c r="AC13" s="8">
        <v>0.25</v>
      </c>
      <c r="AD13" s="8">
        <v>0.3</v>
      </c>
      <c r="AE13" s="8">
        <v>0.31</v>
      </c>
      <c r="AF13" s="8">
        <v>0.26</v>
      </c>
      <c r="AG13" s="8">
        <v>0.28000000000000003</v>
      </c>
      <c r="AI13" s="6">
        <f t="shared" si="8"/>
        <v>0.1875</v>
      </c>
      <c r="AJ13" s="8">
        <f t="shared" si="6"/>
        <v>0.3</v>
      </c>
      <c r="AK13" s="8">
        <f t="shared" si="1"/>
        <v>0.3</v>
      </c>
      <c r="AL13" s="8">
        <f t="shared" si="1"/>
        <v>0.3</v>
      </c>
      <c r="AM13" s="8">
        <f t="shared" si="1"/>
        <v>0.3</v>
      </c>
      <c r="AN13" s="8">
        <f t="shared" si="1"/>
        <v>0.3</v>
      </c>
      <c r="AO13" s="8">
        <f t="shared" si="1"/>
        <v>0.3</v>
      </c>
      <c r="AP13" s="8">
        <f t="shared" si="1"/>
        <v>0.3</v>
      </c>
      <c r="AR13" s="6">
        <f t="shared" si="9"/>
        <v>0.1875</v>
      </c>
      <c r="AS13" s="8">
        <f t="shared" si="10"/>
        <v>1</v>
      </c>
      <c r="AT13" s="8">
        <f t="shared" si="2"/>
        <v>1</v>
      </c>
      <c r="AU13" s="8">
        <f t="shared" si="2"/>
        <v>1</v>
      </c>
      <c r="AV13" s="8">
        <f t="shared" si="2"/>
        <v>1</v>
      </c>
      <c r="AW13" s="8">
        <f t="shared" si="2"/>
        <v>1</v>
      </c>
      <c r="AX13" s="8">
        <f t="shared" si="2"/>
        <v>1</v>
      </c>
      <c r="AY13" s="8">
        <f t="shared" si="2"/>
        <v>1</v>
      </c>
      <c r="BA13" s="6">
        <f t="shared" si="11"/>
        <v>0.1875</v>
      </c>
      <c r="BB13" s="8">
        <f t="shared" si="7"/>
        <v>0.3</v>
      </c>
      <c r="BC13" s="8">
        <f t="shared" si="3"/>
        <v>0.3</v>
      </c>
      <c r="BD13" s="8">
        <f t="shared" si="3"/>
        <v>0.3</v>
      </c>
      <c r="BE13" s="8">
        <f t="shared" si="3"/>
        <v>0.3</v>
      </c>
      <c r="BF13" s="8">
        <f t="shared" si="3"/>
        <v>0.3</v>
      </c>
      <c r="BG13" s="8">
        <f t="shared" si="3"/>
        <v>0.3</v>
      </c>
      <c r="BH13" s="8">
        <f t="shared" si="3"/>
        <v>0.3</v>
      </c>
    </row>
    <row r="14" spans="1:60" x14ac:dyDescent="0.3">
      <c r="A14">
        <f t="shared" ca="1" si="4"/>
        <v>17</v>
      </c>
      <c r="B14" s="4">
        <f t="shared" ca="1" si="0"/>
        <v>7.4889867841409691E-2</v>
      </c>
      <c r="C14">
        <f t="shared" ca="1" si="5"/>
        <v>74.889867841409696</v>
      </c>
      <c r="E14" s="11">
        <f t="shared" si="12"/>
        <v>0.1875</v>
      </c>
      <c r="F14" s="8">
        <v>0.31</v>
      </c>
      <c r="G14" s="8">
        <v>0.35</v>
      </c>
      <c r="H14" s="8">
        <v>0.27</v>
      </c>
      <c r="I14" s="8">
        <v>0.3</v>
      </c>
      <c r="J14" s="8">
        <v>0.34</v>
      </c>
      <c r="K14" s="8">
        <v>0.28999999999999998</v>
      </c>
      <c r="L14" s="8">
        <v>0.26</v>
      </c>
      <c r="M14" s="8">
        <v>0.25</v>
      </c>
      <c r="N14" s="8">
        <v>0.27</v>
      </c>
      <c r="O14" s="8">
        <v>0.34</v>
      </c>
      <c r="P14" s="8">
        <v>0.31</v>
      </c>
      <c r="Q14" s="8">
        <v>0.34</v>
      </c>
      <c r="R14" s="8">
        <v>0.25</v>
      </c>
      <c r="S14" s="8">
        <v>0.26</v>
      </c>
      <c r="T14" s="8">
        <v>0.28000000000000003</v>
      </c>
      <c r="U14" s="8">
        <v>0.25</v>
      </c>
      <c r="V14" s="8">
        <v>0.28000000000000003</v>
      </c>
      <c r="W14" s="8">
        <v>0.27</v>
      </c>
      <c r="X14" s="8">
        <v>0.33</v>
      </c>
      <c r="Y14" s="8">
        <v>0.25</v>
      </c>
      <c r="Z14" s="8">
        <v>0.35</v>
      </c>
      <c r="AA14" s="8">
        <v>0.35</v>
      </c>
      <c r="AB14" s="8">
        <v>0.28999999999999998</v>
      </c>
      <c r="AC14" s="8">
        <v>0.27</v>
      </c>
      <c r="AD14" s="8">
        <v>0.33</v>
      </c>
      <c r="AE14" s="8">
        <v>0.3</v>
      </c>
      <c r="AF14" s="8">
        <v>0.25</v>
      </c>
      <c r="AG14" s="8">
        <v>0.34</v>
      </c>
      <c r="AI14" s="6">
        <f t="shared" si="8"/>
        <v>0.20833333333333334</v>
      </c>
      <c r="AJ14" s="8">
        <f t="shared" si="6"/>
        <v>0.3</v>
      </c>
      <c r="AK14" s="8">
        <f t="shared" si="1"/>
        <v>0.3</v>
      </c>
      <c r="AL14" s="8">
        <f t="shared" si="1"/>
        <v>0.3</v>
      </c>
      <c r="AM14" s="8">
        <f t="shared" si="1"/>
        <v>0.3</v>
      </c>
      <c r="AN14" s="8">
        <f t="shared" si="1"/>
        <v>0.3</v>
      </c>
      <c r="AO14" s="8">
        <f t="shared" si="1"/>
        <v>0.3</v>
      </c>
      <c r="AP14" s="8">
        <f t="shared" si="1"/>
        <v>0.3</v>
      </c>
      <c r="AR14" s="6">
        <f t="shared" si="9"/>
        <v>0.20833333333333334</v>
      </c>
      <c r="AS14" s="8">
        <f t="shared" si="10"/>
        <v>1</v>
      </c>
      <c r="AT14" s="8">
        <f t="shared" si="2"/>
        <v>1</v>
      </c>
      <c r="AU14" s="8">
        <f t="shared" si="2"/>
        <v>1</v>
      </c>
      <c r="AV14" s="8">
        <f t="shared" si="2"/>
        <v>1</v>
      </c>
      <c r="AW14" s="8">
        <f t="shared" si="2"/>
        <v>1</v>
      </c>
      <c r="AX14" s="8">
        <f t="shared" si="2"/>
        <v>1</v>
      </c>
      <c r="AY14" s="8">
        <f t="shared" si="2"/>
        <v>1</v>
      </c>
      <c r="BA14" s="6">
        <f t="shared" si="11"/>
        <v>0.20833333333333334</v>
      </c>
      <c r="BB14" s="8">
        <f t="shared" si="7"/>
        <v>0.3</v>
      </c>
      <c r="BC14" s="8">
        <f t="shared" si="3"/>
        <v>0.3</v>
      </c>
      <c r="BD14" s="8">
        <f t="shared" si="3"/>
        <v>0.3</v>
      </c>
      <c r="BE14" s="8">
        <f t="shared" si="3"/>
        <v>0.3</v>
      </c>
      <c r="BF14" s="8">
        <f t="shared" si="3"/>
        <v>0.3</v>
      </c>
      <c r="BG14" s="8">
        <f t="shared" si="3"/>
        <v>0.3</v>
      </c>
      <c r="BH14" s="8">
        <f t="shared" si="3"/>
        <v>0.3</v>
      </c>
    </row>
    <row r="15" spans="1:60" x14ac:dyDescent="0.3">
      <c r="A15">
        <f t="shared" ca="1" si="4"/>
        <v>17</v>
      </c>
      <c r="B15" s="4">
        <f t="shared" ca="1" si="0"/>
        <v>7.4889867841409691E-2</v>
      </c>
      <c r="C15">
        <f t="shared" ca="1" si="5"/>
        <v>74.889867841409696</v>
      </c>
      <c r="E15" s="11">
        <f t="shared" si="12"/>
        <v>0.20833333333333334</v>
      </c>
      <c r="F15" s="8">
        <v>0.27</v>
      </c>
      <c r="G15" s="8">
        <v>0.27</v>
      </c>
      <c r="H15" s="8">
        <v>0.33</v>
      </c>
      <c r="I15" s="8">
        <v>0.32</v>
      </c>
      <c r="J15" s="8">
        <v>0.28000000000000003</v>
      </c>
      <c r="K15" s="8">
        <v>0.27</v>
      </c>
      <c r="L15" s="8">
        <v>0.27</v>
      </c>
      <c r="M15" s="8">
        <v>0.27</v>
      </c>
      <c r="N15" s="8">
        <v>0.28999999999999998</v>
      </c>
      <c r="O15" s="8">
        <v>0.34</v>
      </c>
      <c r="P15" s="8">
        <v>0.35</v>
      </c>
      <c r="Q15" s="8">
        <v>0.28000000000000003</v>
      </c>
      <c r="R15" s="8">
        <v>0.28000000000000003</v>
      </c>
      <c r="S15" s="8">
        <v>0.26</v>
      </c>
      <c r="T15" s="8">
        <v>0.35</v>
      </c>
      <c r="U15" s="8">
        <v>0.27</v>
      </c>
      <c r="V15" s="8">
        <v>0.3</v>
      </c>
      <c r="W15" s="8">
        <v>0.35</v>
      </c>
      <c r="X15" s="8">
        <v>0.28000000000000003</v>
      </c>
      <c r="Y15" s="8">
        <v>0.26</v>
      </c>
      <c r="Z15" s="8">
        <v>0.28000000000000003</v>
      </c>
      <c r="AA15" s="8">
        <v>0.28999999999999998</v>
      </c>
      <c r="AB15" s="8">
        <v>0.35</v>
      </c>
      <c r="AC15" s="8">
        <v>0.25</v>
      </c>
      <c r="AD15" s="8">
        <v>0.28999999999999998</v>
      </c>
      <c r="AE15" s="8">
        <v>0.3</v>
      </c>
      <c r="AF15" s="8">
        <v>0.35</v>
      </c>
      <c r="AG15" s="8">
        <v>0.25</v>
      </c>
      <c r="AI15" s="6">
        <f t="shared" si="8"/>
        <v>0.22916666666666669</v>
      </c>
      <c r="AJ15" s="8">
        <f t="shared" si="6"/>
        <v>0.3</v>
      </c>
      <c r="AK15" s="8">
        <f t="shared" si="1"/>
        <v>0.3</v>
      </c>
      <c r="AL15" s="8">
        <f t="shared" si="1"/>
        <v>0.3</v>
      </c>
      <c r="AM15" s="8">
        <f t="shared" si="1"/>
        <v>0.3</v>
      </c>
      <c r="AN15" s="8">
        <f t="shared" si="1"/>
        <v>0.3</v>
      </c>
      <c r="AO15" s="8">
        <f t="shared" si="1"/>
        <v>0.3</v>
      </c>
      <c r="AP15" s="8">
        <f t="shared" si="1"/>
        <v>0.3</v>
      </c>
      <c r="AR15" s="6">
        <f t="shared" si="9"/>
        <v>0.22916666666666669</v>
      </c>
      <c r="AS15" s="8">
        <f t="shared" si="10"/>
        <v>1</v>
      </c>
      <c r="AT15" s="8">
        <f t="shared" si="2"/>
        <v>1</v>
      </c>
      <c r="AU15" s="8">
        <f t="shared" si="2"/>
        <v>1</v>
      </c>
      <c r="AV15" s="8">
        <f t="shared" si="2"/>
        <v>1</v>
      </c>
      <c r="AW15" s="8">
        <f t="shared" si="2"/>
        <v>1</v>
      </c>
      <c r="AX15" s="8">
        <f t="shared" si="2"/>
        <v>1</v>
      </c>
      <c r="AY15" s="8">
        <f t="shared" si="2"/>
        <v>1</v>
      </c>
      <c r="BA15" s="6">
        <f t="shared" si="11"/>
        <v>0.22916666666666669</v>
      </c>
      <c r="BB15" s="8">
        <f t="shared" si="7"/>
        <v>0.3</v>
      </c>
      <c r="BC15" s="8">
        <f t="shared" si="3"/>
        <v>0.3</v>
      </c>
      <c r="BD15" s="8">
        <f t="shared" si="3"/>
        <v>0.3</v>
      </c>
      <c r="BE15" s="8">
        <f t="shared" si="3"/>
        <v>0.3</v>
      </c>
      <c r="BF15" s="8">
        <f t="shared" si="3"/>
        <v>0.3</v>
      </c>
      <c r="BG15" s="8">
        <f t="shared" si="3"/>
        <v>0.3</v>
      </c>
      <c r="BH15" s="8">
        <f t="shared" si="3"/>
        <v>0.3</v>
      </c>
    </row>
    <row r="16" spans="1:60" x14ac:dyDescent="0.3">
      <c r="A16">
        <f t="shared" ca="1" si="4"/>
        <v>17</v>
      </c>
      <c r="B16" s="4">
        <f t="shared" ca="1" si="0"/>
        <v>7.4889867841409691E-2</v>
      </c>
      <c r="C16">
        <f t="shared" ca="1" si="5"/>
        <v>74.889867841409696</v>
      </c>
      <c r="E16" s="11">
        <f t="shared" si="12"/>
        <v>0.22916666666666669</v>
      </c>
      <c r="F16" s="8">
        <v>0.33</v>
      </c>
      <c r="G16" s="8">
        <v>0.28999999999999998</v>
      </c>
      <c r="H16" s="8">
        <v>0.35</v>
      </c>
      <c r="I16" s="8">
        <v>0.35</v>
      </c>
      <c r="J16" s="8">
        <v>0.31</v>
      </c>
      <c r="K16" s="8">
        <v>0.28999999999999998</v>
      </c>
      <c r="L16" s="8">
        <v>0.34</v>
      </c>
      <c r="M16" s="8">
        <v>0.3</v>
      </c>
      <c r="N16" s="8">
        <v>0.32</v>
      </c>
      <c r="O16" s="8">
        <v>0.27</v>
      </c>
      <c r="P16" s="8">
        <v>0.27</v>
      </c>
      <c r="Q16" s="8">
        <v>0.27</v>
      </c>
      <c r="R16" s="8">
        <v>0.31</v>
      </c>
      <c r="S16" s="8">
        <v>0.26</v>
      </c>
      <c r="T16" s="8">
        <v>0.25</v>
      </c>
      <c r="U16" s="8">
        <v>0.28000000000000003</v>
      </c>
      <c r="V16" s="8">
        <v>0.28999999999999998</v>
      </c>
      <c r="W16" s="8">
        <v>0.35</v>
      </c>
      <c r="X16" s="8">
        <v>0.35</v>
      </c>
      <c r="Y16" s="8">
        <v>0.25</v>
      </c>
      <c r="Z16" s="8">
        <v>0.26</v>
      </c>
      <c r="AA16" s="8">
        <v>0.27</v>
      </c>
      <c r="AB16" s="8">
        <v>0.26</v>
      </c>
      <c r="AC16" s="8">
        <v>0.35</v>
      </c>
      <c r="AD16" s="8">
        <v>0.31</v>
      </c>
      <c r="AE16" s="8">
        <v>0.3</v>
      </c>
      <c r="AF16" s="8">
        <v>0.27</v>
      </c>
      <c r="AG16" s="8">
        <v>0.35</v>
      </c>
      <c r="AI16" s="6">
        <f t="shared" si="8"/>
        <v>0.25</v>
      </c>
      <c r="AJ16" s="8">
        <f t="shared" si="6"/>
        <v>0.3</v>
      </c>
      <c r="AK16" s="8">
        <f t="shared" si="1"/>
        <v>0.3</v>
      </c>
      <c r="AL16" s="8">
        <f t="shared" si="1"/>
        <v>0.3</v>
      </c>
      <c r="AM16" s="8">
        <f t="shared" si="1"/>
        <v>0.3</v>
      </c>
      <c r="AN16" s="8">
        <f t="shared" si="1"/>
        <v>0.3</v>
      </c>
      <c r="AO16" s="8">
        <f t="shared" si="1"/>
        <v>0.3</v>
      </c>
      <c r="AP16" s="8">
        <f t="shared" si="1"/>
        <v>0.3</v>
      </c>
      <c r="AR16" s="6">
        <f t="shared" si="9"/>
        <v>0.25</v>
      </c>
      <c r="AS16" s="8">
        <f t="shared" si="10"/>
        <v>1</v>
      </c>
      <c r="AT16" s="8">
        <f t="shared" si="2"/>
        <v>1</v>
      </c>
      <c r="AU16" s="8">
        <f t="shared" si="2"/>
        <v>1</v>
      </c>
      <c r="AV16" s="8">
        <f t="shared" si="2"/>
        <v>1</v>
      </c>
      <c r="AW16" s="8">
        <f t="shared" si="2"/>
        <v>1</v>
      </c>
      <c r="AX16" s="8">
        <f t="shared" si="2"/>
        <v>1</v>
      </c>
      <c r="AY16" s="8">
        <f t="shared" si="2"/>
        <v>1</v>
      </c>
      <c r="BA16" s="6">
        <f t="shared" si="11"/>
        <v>0.25</v>
      </c>
      <c r="BB16" s="8">
        <f t="shared" si="7"/>
        <v>0.3</v>
      </c>
      <c r="BC16" s="8">
        <f t="shared" si="3"/>
        <v>0.3</v>
      </c>
      <c r="BD16" s="8">
        <f t="shared" si="3"/>
        <v>0.3</v>
      </c>
      <c r="BE16" s="8">
        <f t="shared" si="3"/>
        <v>0.3</v>
      </c>
      <c r="BF16" s="8">
        <f t="shared" si="3"/>
        <v>0.3</v>
      </c>
      <c r="BG16" s="8">
        <f t="shared" si="3"/>
        <v>0.3</v>
      </c>
      <c r="BH16" s="8">
        <f t="shared" si="3"/>
        <v>0.3</v>
      </c>
    </row>
    <row r="17" spans="1:60" x14ac:dyDescent="0.3">
      <c r="A17">
        <f t="shared" ca="1" si="4"/>
        <v>17</v>
      </c>
      <c r="B17" s="4">
        <f t="shared" ca="1" si="0"/>
        <v>7.4889867841409691E-2</v>
      </c>
      <c r="C17">
        <f t="shared" ca="1" si="5"/>
        <v>74.889867841409696</v>
      </c>
      <c r="E17" s="11">
        <f t="shared" si="12"/>
        <v>0.25</v>
      </c>
      <c r="F17" s="8">
        <v>0.28000000000000003</v>
      </c>
      <c r="G17" s="8">
        <v>0.25</v>
      </c>
      <c r="H17" s="8">
        <v>0.28000000000000003</v>
      </c>
      <c r="I17" s="8">
        <v>0.32</v>
      </c>
      <c r="J17" s="8">
        <v>0.25</v>
      </c>
      <c r="K17" s="8">
        <v>0.3</v>
      </c>
      <c r="L17" s="8">
        <v>0.31</v>
      </c>
      <c r="M17" s="8">
        <v>0.28999999999999998</v>
      </c>
      <c r="N17" s="8">
        <v>0.33</v>
      </c>
      <c r="O17" s="8">
        <v>0.28999999999999998</v>
      </c>
      <c r="P17" s="8">
        <v>0.28999999999999998</v>
      </c>
      <c r="Q17" s="8">
        <v>0.35</v>
      </c>
      <c r="R17" s="8">
        <v>0.34</v>
      </c>
      <c r="S17" s="8">
        <v>0.33</v>
      </c>
      <c r="T17" s="8">
        <v>0.32</v>
      </c>
      <c r="U17" s="8">
        <v>0.33</v>
      </c>
      <c r="V17" s="8">
        <v>0.25</v>
      </c>
      <c r="W17" s="8">
        <v>0.28000000000000003</v>
      </c>
      <c r="X17" s="8">
        <v>0.3</v>
      </c>
      <c r="Y17" s="8">
        <v>0.34</v>
      </c>
      <c r="Z17" s="8">
        <v>0.33</v>
      </c>
      <c r="AA17" s="8">
        <v>0.34</v>
      </c>
      <c r="AB17" s="8">
        <v>0.25</v>
      </c>
      <c r="AC17" s="8">
        <v>0.33</v>
      </c>
      <c r="AD17" s="8">
        <v>0.28000000000000003</v>
      </c>
      <c r="AE17" s="8">
        <v>0.35</v>
      </c>
      <c r="AF17" s="8">
        <v>0.28999999999999998</v>
      </c>
      <c r="AG17" s="8">
        <v>0.28999999999999998</v>
      </c>
      <c r="AI17" s="6">
        <f t="shared" si="8"/>
        <v>0.27083333333333331</v>
      </c>
      <c r="AJ17" s="8">
        <f t="shared" si="6"/>
        <v>0.3</v>
      </c>
      <c r="AK17" s="8">
        <f t="shared" si="1"/>
        <v>0.3</v>
      </c>
      <c r="AL17" s="8">
        <f t="shared" si="1"/>
        <v>0.3</v>
      </c>
      <c r="AM17" s="8">
        <f t="shared" si="1"/>
        <v>0.3</v>
      </c>
      <c r="AN17" s="8">
        <f t="shared" si="1"/>
        <v>0.3</v>
      </c>
      <c r="AO17" s="8">
        <f t="shared" si="1"/>
        <v>0.3</v>
      </c>
      <c r="AP17" s="8">
        <f t="shared" si="1"/>
        <v>0.3</v>
      </c>
      <c r="AR17" s="6">
        <f t="shared" si="9"/>
        <v>0.27083333333333331</v>
      </c>
      <c r="AS17" s="8">
        <f t="shared" si="10"/>
        <v>1</v>
      </c>
      <c r="AT17" s="8">
        <f t="shared" si="2"/>
        <v>1</v>
      </c>
      <c r="AU17" s="8">
        <f t="shared" si="2"/>
        <v>1</v>
      </c>
      <c r="AV17" s="8">
        <f t="shared" si="2"/>
        <v>1</v>
      </c>
      <c r="AW17" s="8">
        <f t="shared" si="2"/>
        <v>1</v>
      </c>
      <c r="AX17" s="8">
        <f t="shared" si="2"/>
        <v>1</v>
      </c>
      <c r="AY17" s="8">
        <f t="shared" si="2"/>
        <v>1</v>
      </c>
      <c r="BA17" s="6">
        <f t="shared" si="11"/>
        <v>0.27083333333333331</v>
      </c>
      <c r="BB17" s="8">
        <f t="shared" si="7"/>
        <v>0.3</v>
      </c>
      <c r="BC17" s="8">
        <f t="shared" si="3"/>
        <v>0.3</v>
      </c>
      <c r="BD17" s="8">
        <f t="shared" si="3"/>
        <v>0.3</v>
      </c>
      <c r="BE17" s="8">
        <f t="shared" si="3"/>
        <v>0.3</v>
      </c>
      <c r="BF17" s="8">
        <f t="shared" si="3"/>
        <v>0.3</v>
      </c>
      <c r="BG17" s="8">
        <f t="shared" si="3"/>
        <v>0.3</v>
      </c>
      <c r="BH17" s="8">
        <f t="shared" si="3"/>
        <v>0.3</v>
      </c>
    </row>
    <row r="18" spans="1:60" x14ac:dyDescent="0.3">
      <c r="A18">
        <f t="shared" ca="1" si="4"/>
        <v>15</v>
      </c>
      <c r="B18" s="4">
        <f t="shared" ca="1" si="0"/>
        <v>6.6079295154185022E-2</v>
      </c>
      <c r="C18">
        <f t="shared" ca="1" si="5"/>
        <v>66.079295154185019</v>
      </c>
      <c r="E18" s="11">
        <f t="shared" si="12"/>
        <v>0.27083333333333331</v>
      </c>
      <c r="F18" s="8">
        <v>0.25</v>
      </c>
      <c r="G18" s="8">
        <v>0.31</v>
      </c>
      <c r="H18" s="8">
        <v>0.32</v>
      </c>
      <c r="I18" s="8">
        <v>0.34</v>
      </c>
      <c r="J18" s="8">
        <v>0.25</v>
      </c>
      <c r="K18" s="8">
        <v>0.33</v>
      </c>
      <c r="L18" s="8">
        <v>0.33</v>
      </c>
      <c r="M18" s="8">
        <v>0.33</v>
      </c>
      <c r="N18" s="8">
        <v>0.28000000000000003</v>
      </c>
      <c r="O18" s="8">
        <v>0.27</v>
      </c>
      <c r="P18" s="8">
        <v>0.27</v>
      </c>
      <c r="Q18" s="8">
        <v>0.26</v>
      </c>
      <c r="R18" s="8">
        <v>0.32</v>
      </c>
      <c r="S18" s="8">
        <v>0.26</v>
      </c>
      <c r="T18" s="8">
        <v>0.28000000000000003</v>
      </c>
      <c r="U18" s="8">
        <v>0.28000000000000003</v>
      </c>
      <c r="V18" s="8">
        <v>0.35</v>
      </c>
      <c r="W18" s="8">
        <v>0.27</v>
      </c>
      <c r="X18" s="8">
        <v>0.35</v>
      </c>
      <c r="Y18" s="8">
        <v>0.33</v>
      </c>
      <c r="Z18" s="8">
        <v>0.3</v>
      </c>
      <c r="AA18" s="8">
        <v>0.27</v>
      </c>
      <c r="AB18" s="8">
        <v>0.25</v>
      </c>
      <c r="AC18" s="8">
        <v>0.32</v>
      </c>
      <c r="AD18" s="8">
        <v>0.32</v>
      </c>
      <c r="AE18" s="8">
        <v>0.27</v>
      </c>
      <c r="AF18" s="8">
        <v>0.28000000000000003</v>
      </c>
      <c r="AG18" s="8">
        <v>0.3</v>
      </c>
      <c r="AI18" s="6">
        <f t="shared" si="8"/>
        <v>0.29166666666666663</v>
      </c>
      <c r="AJ18" s="8">
        <f t="shared" si="6"/>
        <v>0.3</v>
      </c>
      <c r="AK18" s="8">
        <f t="shared" si="1"/>
        <v>0.3</v>
      </c>
      <c r="AL18" s="8">
        <f t="shared" si="1"/>
        <v>0.3</v>
      </c>
      <c r="AM18" s="8">
        <f t="shared" si="1"/>
        <v>0.3</v>
      </c>
      <c r="AN18" s="8">
        <f t="shared" si="1"/>
        <v>0.3</v>
      </c>
      <c r="AO18" s="8">
        <f t="shared" si="1"/>
        <v>0.3</v>
      </c>
      <c r="AP18" s="8">
        <f t="shared" si="1"/>
        <v>0.3</v>
      </c>
      <c r="AR18" s="6">
        <f t="shared" si="9"/>
        <v>0.29166666666666663</v>
      </c>
      <c r="AS18" s="8">
        <f t="shared" si="10"/>
        <v>1</v>
      </c>
      <c r="AT18" s="8">
        <f t="shared" si="2"/>
        <v>1</v>
      </c>
      <c r="AU18" s="8">
        <f t="shared" si="2"/>
        <v>1</v>
      </c>
      <c r="AV18" s="8">
        <f t="shared" si="2"/>
        <v>1</v>
      </c>
      <c r="AW18" s="8">
        <f t="shared" si="2"/>
        <v>1</v>
      </c>
      <c r="AX18" s="8">
        <f t="shared" si="2"/>
        <v>1</v>
      </c>
      <c r="AY18" s="8">
        <f t="shared" si="2"/>
        <v>1</v>
      </c>
      <c r="BA18" s="6">
        <f t="shared" si="11"/>
        <v>0.29166666666666663</v>
      </c>
      <c r="BB18" s="8">
        <f t="shared" si="7"/>
        <v>0.3</v>
      </c>
      <c r="BC18" s="8">
        <f t="shared" si="3"/>
        <v>0.3</v>
      </c>
      <c r="BD18" s="8">
        <f t="shared" si="3"/>
        <v>0.3</v>
      </c>
      <c r="BE18" s="8">
        <f t="shared" si="3"/>
        <v>0.3</v>
      </c>
      <c r="BF18" s="8">
        <f t="shared" si="3"/>
        <v>0.3</v>
      </c>
      <c r="BG18" s="8">
        <f t="shared" si="3"/>
        <v>0.3</v>
      </c>
      <c r="BH18" s="8">
        <f t="shared" si="3"/>
        <v>0.3</v>
      </c>
    </row>
    <row r="19" spans="1:60" x14ac:dyDescent="0.3">
      <c r="A19">
        <f t="shared" ca="1" si="4"/>
        <v>10</v>
      </c>
      <c r="B19" s="4">
        <f t="shared" ca="1" si="0"/>
        <v>4.405286343612335E-2</v>
      </c>
      <c r="C19">
        <f t="shared" ca="1" si="5"/>
        <v>44.052863436123353</v>
      </c>
      <c r="E19" s="11">
        <f t="shared" si="12"/>
        <v>0.29166666666666663</v>
      </c>
      <c r="F19" s="8">
        <v>0.33</v>
      </c>
      <c r="G19" s="8">
        <v>0.25</v>
      </c>
      <c r="H19" s="8">
        <v>0.33</v>
      </c>
      <c r="I19" s="8">
        <v>0.33</v>
      </c>
      <c r="J19" s="8">
        <v>0.26</v>
      </c>
      <c r="K19" s="8">
        <v>0.26</v>
      </c>
      <c r="L19" s="8">
        <v>0.34</v>
      </c>
      <c r="M19" s="8">
        <v>0.28000000000000003</v>
      </c>
      <c r="N19" s="8">
        <v>0.31</v>
      </c>
      <c r="O19" s="8">
        <v>0.26</v>
      </c>
      <c r="P19" s="8">
        <v>0.33</v>
      </c>
      <c r="Q19" s="8">
        <v>0.28000000000000003</v>
      </c>
      <c r="R19" s="8">
        <v>0.32</v>
      </c>
      <c r="S19" s="8">
        <v>0.35</v>
      </c>
      <c r="T19" s="8">
        <v>0.28999999999999998</v>
      </c>
      <c r="U19" s="8">
        <v>0.25</v>
      </c>
      <c r="V19" s="8">
        <v>0.26</v>
      </c>
      <c r="W19" s="8">
        <v>0.3</v>
      </c>
      <c r="X19" s="8">
        <v>0.27</v>
      </c>
      <c r="Y19" s="8">
        <v>0.25</v>
      </c>
      <c r="Z19" s="8">
        <v>0.25</v>
      </c>
      <c r="AA19" s="8">
        <v>0.33</v>
      </c>
      <c r="AB19" s="8">
        <v>0.27</v>
      </c>
      <c r="AC19" s="8">
        <v>0.28999999999999998</v>
      </c>
      <c r="AD19" s="8">
        <v>0.3</v>
      </c>
      <c r="AE19" s="8">
        <v>0.31</v>
      </c>
      <c r="AF19" s="8">
        <v>0.33</v>
      </c>
      <c r="AG19" s="8">
        <v>0.28999999999999998</v>
      </c>
      <c r="AI19" s="6">
        <f t="shared" si="8"/>
        <v>0.31249999999999994</v>
      </c>
      <c r="AJ19" s="8">
        <f t="shared" si="6"/>
        <v>0.3</v>
      </c>
      <c r="AK19" s="8">
        <f t="shared" si="1"/>
        <v>0.3</v>
      </c>
      <c r="AL19" s="8">
        <f t="shared" si="1"/>
        <v>0.3</v>
      </c>
      <c r="AM19" s="8">
        <f t="shared" si="1"/>
        <v>0.3</v>
      </c>
      <c r="AN19" s="8">
        <f t="shared" si="1"/>
        <v>0.3</v>
      </c>
      <c r="AO19" s="8">
        <f t="shared" si="1"/>
        <v>0.3</v>
      </c>
      <c r="AP19" s="8">
        <f t="shared" si="1"/>
        <v>0.3</v>
      </c>
      <c r="AR19" s="6">
        <f t="shared" si="9"/>
        <v>0.31249999999999994</v>
      </c>
      <c r="AS19" s="8">
        <f t="shared" si="10"/>
        <v>1</v>
      </c>
      <c r="AT19" s="8">
        <f t="shared" si="2"/>
        <v>1</v>
      </c>
      <c r="AU19" s="8">
        <f t="shared" si="2"/>
        <v>1</v>
      </c>
      <c r="AV19" s="8">
        <f t="shared" si="2"/>
        <v>1</v>
      </c>
      <c r="AW19" s="8">
        <f t="shared" si="2"/>
        <v>1</v>
      </c>
      <c r="AX19" s="8">
        <f t="shared" si="2"/>
        <v>1</v>
      </c>
      <c r="AY19" s="8">
        <f t="shared" si="2"/>
        <v>1</v>
      </c>
      <c r="BA19" s="6">
        <f t="shared" si="11"/>
        <v>0.31249999999999994</v>
      </c>
      <c r="BB19" s="8">
        <f t="shared" si="7"/>
        <v>0.3</v>
      </c>
      <c r="BC19" s="8">
        <f t="shared" si="3"/>
        <v>0.3</v>
      </c>
      <c r="BD19" s="8">
        <f t="shared" si="3"/>
        <v>0.3</v>
      </c>
      <c r="BE19" s="8">
        <f t="shared" si="3"/>
        <v>0.3</v>
      </c>
      <c r="BF19" s="8">
        <f t="shared" si="3"/>
        <v>0.3</v>
      </c>
      <c r="BG19" s="8">
        <f t="shared" si="3"/>
        <v>0.3</v>
      </c>
      <c r="BH19" s="8">
        <f t="shared" si="3"/>
        <v>0.3</v>
      </c>
    </row>
    <row r="20" spans="1:60" x14ac:dyDescent="0.3">
      <c r="A20">
        <f t="shared" ca="1" si="4"/>
        <v>15</v>
      </c>
      <c r="B20" s="4">
        <f t="shared" ca="1" si="0"/>
        <v>6.6079295154185022E-2</v>
      </c>
      <c r="C20">
        <f t="shared" ca="1" si="5"/>
        <v>66.079295154185019</v>
      </c>
      <c r="E20" s="11">
        <f t="shared" si="12"/>
        <v>0.31249999999999994</v>
      </c>
      <c r="F20" s="8">
        <v>0.33</v>
      </c>
      <c r="G20" s="8">
        <v>0.32</v>
      </c>
      <c r="H20" s="8">
        <v>0.27</v>
      </c>
      <c r="I20" s="8">
        <v>0.26</v>
      </c>
      <c r="J20" s="8">
        <v>0.34</v>
      </c>
      <c r="K20" s="8">
        <v>0.26</v>
      </c>
      <c r="L20" s="8">
        <v>0.35</v>
      </c>
      <c r="M20" s="8">
        <v>0.32</v>
      </c>
      <c r="N20" s="8">
        <v>0.27</v>
      </c>
      <c r="O20" s="8">
        <v>0.33</v>
      </c>
      <c r="P20" s="8">
        <v>0.33</v>
      </c>
      <c r="Q20" s="8">
        <v>0.28000000000000003</v>
      </c>
      <c r="R20" s="8">
        <v>0.35</v>
      </c>
      <c r="S20" s="8">
        <v>0.28000000000000003</v>
      </c>
      <c r="T20" s="8">
        <v>0.3</v>
      </c>
      <c r="U20" s="8">
        <v>0.35</v>
      </c>
      <c r="V20" s="8">
        <v>0.25</v>
      </c>
      <c r="W20" s="8">
        <v>0.28999999999999998</v>
      </c>
      <c r="X20" s="8">
        <v>0.33</v>
      </c>
      <c r="Y20" s="8">
        <v>0.34</v>
      </c>
      <c r="Z20" s="8">
        <v>0.35</v>
      </c>
      <c r="AA20" s="8">
        <v>0.34</v>
      </c>
      <c r="AB20" s="8">
        <v>0.34</v>
      </c>
      <c r="AC20" s="8">
        <v>0.28000000000000003</v>
      </c>
      <c r="AD20" s="8">
        <v>0.31</v>
      </c>
      <c r="AE20" s="8">
        <v>0.28999999999999998</v>
      </c>
      <c r="AF20" s="8">
        <v>0.3</v>
      </c>
      <c r="AG20" s="8">
        <v>0.34</v>
      </c>
      <c r="AI20" s="6">
        <f>AI19+"00:30"</f>
        <v>0.33333333333333326</v>
      </c>
      <c r="AJ20" s="8">
        <f t="shared" si="6"/>
        <v>0.3</v>
      </c>
      <c r="AK20" s="8">
        <f t="shared" si="6"/>
        <v>0.3</v>
      </c>
      <c r="AL20" s="8">
        <f t="shared" si="6"/>
        <v>0.3</v>
      </c>
      <c r="AM20" s="8">
        <f t="shared" si="6"/>
        <v>0.3</v>
      </c>
      <c r="AN20" s="8">
        <f t="shared" si="6"/>
        <v>0.3</v>
      </c>
      <c r="AO20" s="8">
        <f t="shared" si="6"/>
        <v>0.3</v>
      </c>
      <c r="AP20" s="8">
        <f t="shared" si="6"/>
        <v>0.3</v>
      </c>
      <c r="AR20" s="6">
        <f>AR19+"00:30"</f>
        <v>0.33333333333333326</v>
      </c>
      <c r="AS20" s="8">
        <f t="shared" si="10"/>
        <v>1</v>
      </c>
      <c r="AT20" s="8">
        <f t="shared" si="2"/>
        <v>1</v>
      </c>
      <c r="AU20" s="8">
        <f t="shared" si="2"/>
        <v>1</v>
      </c>
      <c r="AV20" s="8">
        <f t="shared" si="2"/>
        <v>1</v>
      </c>
      <c r="AW20" s="8">
        <f t="shared" si="2"/>
        <v>1</v>
      </c>
      <c r="AX20" s="8">
        <f t="shared" si="2"/>
        <v>1</v>
      </c>
      <c r="AY20" s="8">
        <f t="shared" si="2"/>
        <v>1</v>
      </c>
      <c r="BA20" s="6">
        <f>BA19+"00:30"</f>
        <v>0.33333333333333326</v>
      </c>
      <c r="BB20" s="8">
        <f t="shared" si="7"/>
        <v>0.3</v>
      </c>
      <c r="BC20" s="8">
        <f t="shared" si="7"/>
        <v>0.3</v>
      </c>
      <c r="BD20" s="8">
        <f t="shared" si="7"/>
        <v>0.3</v>
      </c>
      <c r="BE20" s="8">
        <f t="shared" si="7"/>
        <v>0.3</v>
      </c>
      <c r="BF20" s="8">
        <f t="shared" si="7"/>
        <v>0.3</v>
      </c>
      <c r="BG20" s="8">
        <f t="shared" si="7"/>
        <v>0.3</v>
      </c>
      <c r="BH20" s="8">
        <f t="shared" si="7"/>
        <v>0.3</v>
      </c>
    </row>
    <row r="21" spans="1:60" x14ac:dyDescent="0.3">
      <c r="A21">
        <f t="shared" ca="1" si="4"/>
        <v>14</v>
      </c>
      <c r="B21" s="4">
        <f t="shared" ca="1" si="0"/>
        <v>6.1674008810572688E-2</v>
      </c>
      <c r="C21">
        <f t="shared" ca="1" si="5"/>
        <v>61.674008810572687</v>
      </c>
      <c r="E21" s="11">
        <f t="shared" si="12"/>
        <v>0.33333333333333326</v>
      </c>
      <c r="F21" s="8">
        <v>0.35</v>
      </c>
      <c r="G21" s="8">
        <v>0.26</v>
      </c>
      <c r="H21" s="8">
        <v>0.27</v>
      </c>
      <c r="I21" s="8">
        <v>0.26</v>
      </c>
      <c r="J21" s="8">
        <v>0.32</v>
      </c>
      <c r="K21" s="8">
        <v>0.3</v>
      </c>
      <c r="L21" s="8">
        <v>0.25</v>
      </c>
      <c r="M21" s="8">
        <v>0.35</v>
      </c>
      <c r="N21" s="8">
        <v>0.34</v>
      </c>
      <c r="O21" s="8">
        <v>0.28000000000000003</v>
      </c>
      <c r="P21" s="8">
        <v>0.27</v>
      </c>
      <c r="Q21" s="8">
        <v>0.31</v>
      </c>
      <c r="R21" s="8">
        <v>0.32</v>
      </c>
      <c r="S21" s="8">
        <v>0.34</v>
      </c>
      <c r="T21" s="8">
        <v>0.32</v>
      </c>
      <c r="U21" s="8">
        <v>0.27</v>
      </c>
      <c r="V21" s="8">
        <v>0.28999999999999998</v>
      </c>
      <c r="W21" s="8">
        <v>0.34</v>
      </c>
      <c r="X21" s="8">
        <v>0.25</v>
      </c>
      <c r="Y21" s="8">
        <v>0.28000000000000003</v>
      </c>
      <c r="Z21" s="8">
        <v>0.26</v>
      </c>
      <c r="AA21" s="8">
        <v>0.27</v>
      </c>
      <c r="AB21" s="8">
        <v>0.34</v>
      </c>
      <c r="AC21" s="8">
        <v>0.31</v>
      </c>
      <c r="AD21" s="8">
        <v>0.32</v>
      </c>
      <c r="AE21" s="8">
        <v>0.25</v>
      </c>
      <c r="AF21" s="8">
        <v>0.33</v>
      </c>
      <c r="AG21" s="8">
        <v>0.25</v>
      </c>
      <c r="AI21" s="6">
        <f t="shared" si="8"/>
        <v>0.35416666666666657</v>
      </c>
      <c r="AJ21" s="8">
        <f t="shared" ref="AJ21:AP36" si="13">30/100</f>
        <v>0.3</v>
      </c>
      <c r="AK21" s="8">
        <f t="shared" si="13"/>
        <v>0.3</v>
      </c>
      <c r="AL21" s="8">
        <f t="shared" si="13"/>
        <v>0.3</v>
      </c>
      <c r="AM21" s="8">
        <f t="shared" si="13"/>
        <v>0.3</v>
      </c>
      <c r="AN21" s="8">
        <f t="shared" si="13"/>
        <v>0.3</v>
      </c>
      <c r="AO21" s="8">
        <f t="shared" si="13"/>
        <v>0.3</v>
      </c>
      <c r="AP21" s="8">
        <f t="shared" si="13"/>
        <v>0.3</v>
      </c>
      <c r="AR21" s="6">
        <f t="shared" ref="AR21:AR22" si="14">AR20+"00:30"</f>
        <v>0.35416666666666657</v>
      </c>
      <c r="AS21" s="8">
        <f t="shared" si="10"/>
        <v>1</v>
      </c>
      <c r="AT21" s="8">
        <f t="shared" si="2"/>
        <v>1</v>
      </c>
      <c r="AU21" s="8">
        <f t="shared" si="2"/>
        <v>1</v>
      </c>
      <c r="AV21" s="8">
        <f t="shared" si="2"/>
        <v>1</v>
      </c>
      <c r="AW21" s="8">
        <f t="shared" si="2"/>
        <v>1</v>
      </c>
      <c r="AX21" s="8">
        <f t="shared" si="2"/>
        <v>1</v>
      </c>
      <c r="AY21" s="8">
        <f t="shared" si="2"/>
        <v>1</v>
      </c>
      <c r="BA21" s="6">
        <f t="shared" ref="BA21:BA22" si="15">BA20+"00:30"</f>
        <v>0.35416666666666657</v>
      </c>
      <c r="BB21" s="8">
        <f t="shared" ref="BB21:BH36" si="16">3000%/100</f>
        <v>0.3</v>
      </c>
      <c r="BC21" s="8">
        <f t="shared" si="16"/>
        <v>0.3</v>
      </c>
      <c r="BD21" s="8">
        <f t="shared" si="16"/>
        <v>0.3</v>
      </c>
      <c r="BE21" s="8">
        <f t="shared" si="16"/>
        <v>0.3</v>
      </c>
      <c r="BF21" s="8">
        <f t="shared" si="16"/>
        <v>0.3</v>
      </c>
      <c r="BG21" s="8">
        <f t="shared" si="16"/>
        <v>0.3</v>
      </c>
      <c r="BH21" s="8">
        <f t="shared" si="16"/>
        <v>0.3</v>
      </c>
    </row>
    <row r="22" spans="1:60" x14ac:dyDescent="0.3">
      <c r="A22">
        <f t="shared" ca="1" si="4"/>
        <v>14</v>
      </c>
      <c r="B22" s="4">
        <f t="shared" ca="1" si="0"/>
        <v>6.1674008810572688E-2</v>
      </c>
      <c r="C22">
        <f t="shared" ca="1" si="5"/>
        <v>61.674008810572687</v>
      </c>
      <c r="E22" s="11">
        <f t="shared" si="12"/>
        <v>0.35416666666666657</v>
      </c>
      <c r="F22" s="8">
        <v>0.32</v>
      </c>
      <c r="G22" s="8">
        <v>0.3</v>
      </c>
      <c r="H22" s="8">
        <v>0.31</v>
      </c>
      <c r="I22" s="8">
        <v>0.28000000000000003</v>
      </c>
      <c r="J22" s="8">
        <v>0.32</v>
      </c>
      <c r="K22" s="8">
        <v>0.25</v>
      </c>
      <c r="L22" s="8">
        <v>0.25</v>
      </c>
      <c r="M22" s="8">
        <v>0.28000000000000003</v>
      </c>
      <c r="N22" s="8">
        <v>0.26</v>
      </c>
      <c r="O22" s="8">
        <v>0.28000000000000003</v>
      </c>
      <c r="P22" s="8">
        <v>0.31</v>
      </c>
      <c r="Q22" s="8">
        <v>0.31</v>
      </c>
      <c r="R22" s="8">
        <v>0.33</v>
      </c>
      <c r="S22" s="8">
        <v>0.25</v>
      </c>
      <c r="T22" s="8">
        <v>0.26</v>
      </c>
      <c r="U22" s="8">
        <v>0.33</v>
      </c>
      <c r="V22" s="8">
        <v>0.3</v>
      </c>
      <c r="W22" s="8">
        <v>0.27</v>
      </c>
      <c r="X22" s="8">
        <v>0.28000000000000003</v>
      </c>
      <c r="Y22" s="8">
        <v>0.33</v>
      </c>
      <c r="Z22" s="8">
        <v>0.28999999999999998</v>
      </c>
      <c r="AA22" s="8">
        <v>0.33</v>
      </c>
      <c r="AB22" s="8">
        <v>0.27</v>
      </c>
      <c r="AC22" s="8">
        <v>0.3</v>
      </c>
      <c r="AD22" s="8">
        <v>0.28999999999999998</v>
      </c>
      <c r="AE22" s="8">
        <v>0.25</v>
      </c>
      <c r="AF22" s="8">
        <v>0.31</v>
      </c>
      <c r="AG22" s="8">
        <v>0.35</v>
      </c>
      <c r="AI22" s="6">
        <f t="shared" si="8"/>
        <v>0.37499999999999989</v>
      </c>
      <c r="AJ22" s="8">
        <f t="shared" si="13"/>
        <v>0.3</v>
      </c>
      <c r="AK22" s="8">
        <f t="shared" si="13"/>
        <v>0.3</v>
      </c>
      <c r="AL22" s="8">
        <f t="shared" si="13"/>
        <v>0.3</v>
      </c>
      <c r="AM22" s="8">
        <f t="shared" si="13"/>
        <v>0.3</v>
      </c>
      <c r="AN22" s="8">
        <f t="shared" si="13"/>
        <v>0.3</v>
      </c>
      <c r="AO22" s="8">
        <f t="shared" si="13"/>
        <v>0.3</v>
      </c>
      <c r="AP22" s="8">
        <f t="shared" si="13"/>
        <v>0.3</v>
      </c>
      <c r="AR22" s="6">
        <f t="shared" si="14"/>
        <v>0.37499999999999989</v>
      </c>
      <c r="AS22" s="8">
        <f t="shared" si="10"/>
        <v>1</v>
      </c>
      <c r="AT22" s="8">
        <f t="shared" si="2"/>
        <v>1</v>
      </c>
      <c r="AU22" s="8">
        <f t="shared" si="2"/>
        <v>1</v>
      </c>
      <c r="AV22" s="8">
        <f t="shared" si="2"/>
        <v>1</v>
      </c>
      <c r="AW22" s="8">
        <f t="shared" si="2"/>
        <v>1</v>
      </c>
      <c r="AX22" s="8">
        <f t="shared" si="2"/>
        <v>1</v>
      </c>
      <c r="AY22" s="8">
        <f t="shared" si="2"/>
        <v>1</v>
      </c>
      <c r="BA22" s="6">
        <f t="shared" si="15"/>
        <v>0.37499999999999989</v>
      </c>
      <c r="BB22" s="8">
        <f t="shared" si="16"/>
        <v>0.3</v>
      </c>
      <c r="BC22" s="8">
        <f t="shared" si="16"/>
        <v>0.3</v>
      </c>
      <c r="BD22" s="8">
        <f t="shared" si="16"/>
        <v>0.3</v>
      </c>
      <c r="BE22" s="8">
        <f t="shared" si="16"/>
        <v>0.3</v>
      </c>
      <c r="BF22" s="8">
        <f t="shared" si="16"/>
        <v>0.3</v>
      </c>
      <c r="BG22" s="8">
        <f t="shared" si="16"/>
        <v>0.3</v>
      </c>
      <c r="BH22" s="8">
        <f t="shared" si="16"/>
        <v>0.3</v>
      </c>
    </row>
    <row r="23" spans="1:60" x14ac:dyDescent="0.3">
      <c r="A23">
        <f t="shared" ca="1" si="4"/>
        <v>10</v>
      </c>
      <c r="B23" s="4">
        <f t="shared" ca="1" si="0"/>
        <v>4.405286343612335E-2</v>
      </c>
      <c r="C23">
        <f t="shared" ca="1" si="5"/>
        <v>44.052863436123353</v>
      </c>
      <c r="E23" s="11">
        <f t="shared" si="12"/>
        <v>0.37499999999999989</v>
      </c>
      <c r="F23" s="8">
        <v>0.32</v>
      </c>
      <c r="G23" s="8">
        <v>0.28999999999999998</v>
      </c>
      <c r="H23" s="8">
        <v>0.33</v>
      </c>
      <c r="I23" s="8">
        <v>0.3</v>
      </c>
      <c r="J23" s="8">
        <v>0.28000000000000003</v>
      </c>
      <c r="K23" s="8">
        <v>0.28999999999999998</v>
      </c>
      <c r="L23" s="8">
        <v>0.32</v>
      </c>
      <c r="M23" s="8">
        <v>0.28000000000000003</v>
      </c>
      <c r="N23" s="8">
        <v>0.32</v>
      </c>
      <c r="O23" s="8">
        <v>0.35</v>
      </c>
      <c r="P23" s="8">
        <v>0.3</v>
      </c>
      <c r="Q23" s="8">
        <v>0.26</v>
      </c>
      <c r="R23" s="8">
        <v>0.28000000000000003</v>
      </c>
      <c r="S23" s="8">
        <v>0.32</v>
      </c>
      <c r="T23" s="8">
        <v>0.33</v>
      </c>
      <c r="U23" s="8">
        <v>0.32</v>
      </c>
      <c r="V23" s="8">
        <v>0.31</v>
      </c>
      <c r="W23" s="8">
        <v>0.34</v>
      </c>
      <c r="X23" s="8">
        <v>0.27</v>
      </c>
      <c r="Y23" s="8">
        <v>0.31</v>
      </c>
      <c r="Z23" s="8">
        <v>0.31</v>
      </c>
      <c r="AA23" s="8">
        <v>0.34</v>
      </c>
      <c r="AB23" s="8">
        <v>0.35</v>
      </c>
      <c r="AC23" s="8">
        <v>0.33</v>
      </c>
      <c r="AD23" s="8">
        <v>0.26</v>
      </c>
      <c r="AE23" s="8">
        <v>0.26</v>
      </c>
      <c r="AF23" s="8">
        <v>0.27</v>
      </c>
      <c r="AG23" s="8">
        <v>0.3</v>
      </c>
      <c r="AI23" s="6">
        <f>AI22+"00:30"</f>
        <v>0.3958333333333332</v>
      </c>
      <c r="AJ23" s="8">
        <f t="shared" si="13"/>
        <v>0.3</v>
      </c>
      <c r="AK23" s="8">
        <f t="shared" si="13"/>
        <v>0.3</v>
      </c>
      <c r="AL23" s="8">
        <f t="shared" si="13"/>
        <v>0.3</v>
      </c>
      <c r="AM23" s="8">
        <f t="shared" si="13"/>
        <v>0.3</v>
      </c>
      <c r="AN23" s="8">
        <f t="shared" si="13"/>
        <v>0.3</v>
      </c>
      <c r="AO23" s="8">
        <f t="shared" si="13"/>
        <v>0.3</v>
      </c>
      <c r="AP23" s="8">
        <f t="shared" si="13"/>
        <v>0.3</v>
      </c>
      <c r="AR23" s="6">
        <f>AR22+"00:30"</f>
        <v>0.3958333333333332</v>
      </c>
      <c r="AS23" s="8">
        <f t="shared" si="10"/>
        <v>1</v>
      </c>
      <c r="AT23" s="8">
        <f t="shared" si="2"/>
        <v>1</v>
      </c>
      <c r="AU23" s="8">
        <f t="shared" si="2"/>
        <v>1</v>
      </c>
      <c r="AV23" s="8">
        <f t="shared" si="2"/>
        <v>1</v>
      </c>
      <c r="AW23" s="8">
        <f t="shared" si="2"/>
        <v>1</v>
      </c>
      <c r="AX23" s="8">
        <f t="shared" si="2"/>
        <v>1</v>
      </c>
      <c r="AY23" s="8">
        <f t="shared" si="2"/>
        <v>1</v>
      </c>
      <c r="BA23" s="6">
        <f>BA22+"00:30"</f>
        <v>0.3958333333333332</v>
      </c>
      <c r="BB23" s="8">
        <f t="shared" si="16"/>
        <v>0.3</v>
      </c>
      <c r="BC23" s="8">
        <f t="shared" si="16"/>
        <v>0.3</v>
      </c>
      <c r="BD23" s="8">
        <f t="shared" si="16"/>
        <v>0.3</v>
      </c>
      <c r="BE23" s="8">
        <f t="shared" si="16"/>
        <v>0.3</v>
      </c>
      <c r="BF23" s="8">
        <f t="shared" si="16"/>
        <v>0.3</v>
      </c>
      <c r="BG23" s="8">
        <f t="shared" si="16"/>
        <v>0.3</v>
      </c>
      <c r="BH23" s="8">
        <f t="shared" si="16"/>
        <v>0.3</v>
      </c>
    </row>
    <row r="24" spans="1:60" x14ac:dyDescent="0.3">
      <c r="A24">
        <f t="shared" ca="1" si="4"/>
        <v>10</v>
      </c>
      <c r="B24" s="4">
        <f t="shared" ca="1" si="0"/>
        <v>4.405286343612335E-2</v>
      </c>
      <c r="C24">
        <f t="shared" ca="1" si="5"/>
        <v>44.052863436123353</v>
      </c>
      <c r="E24" s="11">
        <f t="shared" si="12"/>
        <v>0.3958333333333332</v>
      </c>
      <c r="F24" s="8">
        <v>0.28999999999999998</v>
      </c>
      <c r="G24" s="8">
        <v>0.33</v>
      </c>
      <c r="H24" s="8">
        <v>0.26</v>
      </c>
      <c r="I24" s="8">
        <v>0.26</v>
      </c>
      <c r="J24" s="8">
        <v>0.35</v>
      </c>
      <c r="K24" s="8">
        <v>0.25</v>
      </c>
      <c r="L24" s="8">
        <v>0.34</v>
      </c>
      <c r="M24" s="8">
        <v>0.34</v>
      </c>
      <c r="N24" s="8">
        <v>0.31</v>
      </c>
      <c r="O24" s="8">
        <v>0.26</v>
      </c>
      <c r="P24" s="8">
        <v>0.34</v>
      </c>
      <c r="Q24" s="8">
        <v>0.34</v>
      </c>
      <c r="R24" s="8">
        <v>0.31</v>
      </c>
      <c r="S24" s="8">
        <v>0.35</v>
      </c>
      <c r="T24" s="8">
        <v>0.34</v>
      </c>
      <c r="U24" s="8">
        <v>0.35</v>
      </c>
      <c r="V24" s="8">
        <v>0.31</v>
      </c>
      <c r="W24" s="8">
        <v>0.33</v>
      </c>
      <c r="X24" s="8">
        <v>0.25</v>
      </c>
      <c r="Y24" s="8">
        <v>0.31</v>
      </c>
      <c r="Z24" s="8">
        <v>0.32</v>
      </c>
      <c r="AA24" s="8">
        <v>0.3</v>
      </c>
      <c r="AB24" s="8">
        <v>0.25</v>
      </c>
      <c r="AC24" s="8">
        <v>0.31</v>
      </c>
      <c r="AD24" s="8">
        <v>0.28000000000000003</v>
      </c>
      <c r="AE24" s="8">
        <v>0.26</v>
      </c>
      <c r="AF24" s="8">
        <v>0.25</v>
      </c>
      <c r="AG24" s="8">
        <v>0.26</v>
      </c>
      <c r="AI24" s="6">
        <f t="shared" si="8"/>
        <v>0.41666666666666652</v>
      </c>
      <c r="AJ24" s="8">
        <f t="shared" si="13"/>
        <v>0.3</v>
      </c>
      <c r="AK24" s="8">
        <f t="shared" si="13"/>
        <v>0.3</v>
      </c>
      <c r="AL24" s="8">
        <f t="shared" si="13"/>
        <v>0.3</v>
      </c>
      <c r="AM24" s="8">
        <f t="shared" si="13"/>
        <v>0.3</v>
      </c>
      <c r="AN24" s="8">
        <f t="shared" si="13"/>
        <v>0.3</v>
      </c>
      <c r="AO24" s="8">
        <f t="shared" si="13"/>
        <v>0.3</v>
      </c>
      <c r="AP24" s="8">
        <f t="shared" si="13"/>
        <v>0.3</v>
      </c>
      <c r="AR24" s="6">
        <f t="shared" ref="AR24:AR51" si="17">AR23+"00:30"</f>
        <v>0.41666666666666652</v>
      </c>
      <c r="AS24" s="8">
        <f t="shared" si="10"/>
        <v>1</v>
      </c>
      <c r="AT24" s="8">
        <f t="shared" si="2"/>
        <v>1</v>
      </c>
      <c r="AU24" s="8">
        <f t="shared" si="2"/>
        <v>1</v>
      </c>
      <c r="AV24" s="8">
        <f t="shared" si="2"/>
        <v>1</v>
      </c>
      <c r="AW24" s="8">
        <f t="shared" si="2"/>
        <v>1</v>
      </c>
      <c r="AX24" s="8">
        <f t="shared" si="2"/>
        <v>1</v>
      </c>
      <c r="AY24" s="8">
        <f t="shared" si="2"/>
        <v>1</v>
      </c>
      <c r="BA24" s="6">
        <f t="shared" ref="BA24:BA51" si="18">BA23+"00:30"</f>
        <v>0.41666666666666652</v>
      </c>
      <c r="BB24" s="8">
        <f t="shared" si="16"/>
        <v>0.3</v>
      </c>
      <c r="BC24" s="8">
        <f t="shared" si="16"/>
        <v>0.3</v>
      </c>
      <c r="BD24" s="8">
        <f t="shared" si="16"/>
        <v>0.3</v>
      </c>
      <c r="BE24" s="8">
        <f t="shared" si="16"/>
        <v>0.3</v>
      </c>
      <c r="BF24" s="8">
        <f t="shared" si="16"/>
        <v>0.3</v>
      </c>
      <c r="BG24" s="8">
        <f t="shared" si="16"/>
        <v>0.3</v>
      </c>
      <c r="BH24" s="8">
        <f t="shared" si="16"/>
        <v>0.3</v>
      </c>
    </row>
    <row r="25" spans="1:60" x14ac:dyDescent="0.3">
      <c r="E25" s="11">
        <f t="shared" si="12"/>
        <v>0.41666666666666652</v>
      </c>
      <c r="F25" s="8">
        <v>0.26</v>
      </c>
      <c r="G25" s="8">
        <v>0.33</v>
      </c>
      <c r="H25" s="8">
        <v>0.34</v>
      </c>
      <c r="I25" s="8">
        <v>0.33</v>
      </c>
      <c r="J25" s="8">
        <v>0.28000000000000003</v>
      </c>
      <c r="K25" s="8">
        <v>0.27</v>
      </c>
      <c r="L25" s="8">
        <v>0.32</v>
      </c>
      <c r="M25" s="8">
        <v>0.28000000000000003</v>
      </c>
      <c r="N25" s="8">
        <v>0.3</v>
      </c>
      <c r="O25" s="8">
        <v>0.3</v>
      </c>
      <c r="P25" s="8">
        <v>0.32</v>
      </c>
      <c r="Q25" s="8">
        <v>0.33</v>
      </c>
      <c r="R25" s="8">
        <v>0.34</v>
      </c>
      <c r="S25" s="8">
        <v>0.3</v>
      </c>
      <c r="T25" s="8">
        <v>0.28000000000000003</v>
      </c>
      <c r="U25" s="8">
        <v>0.3</v>
      </c>
      <c r="V25" s="8">
        <v>0.31</v>
      </c>
      <c r="W25" s="8">
        <v>0.33</v>
      </c>
      <c r="X25" s="8">
        <v>0.35</v>
      </c>
      <c r="Y25" s="8">
        <v>0.27</v>
      </c>
      <c r="Z25" s="8">
        <v>0.25</v>
      </c>
      <c r="AA25" s="8">
        <v>0.27</v>
      </c>
      <c r="AB25" s="8">
        <v>0.25</v>
      </c>
      <c r="AC25" s="8">
        <v>0.33</v>
      </c>
      <c r="AD25" s="8">
        <v>0.25</v>
      </c>
      <c r="AE25" s="8">
        <v>0.25</v>
      </c>
      <c r="AF25" s="8">
        <v>0.32</v>
      </c>
      <c r="AG25" s="8">
        <v>0.27</v>
      </c>
      <c r="AI25" s="6">
        <f t="shared" si="8"/>
        <v>0.43749999999999983</v>
      </c>
      <c r="AJ25" s="8">
        <f t="shared" si="13"/>
        <v>0.3</v>
      </c>
      <c r="AK25" s="8">
        <f t="shared" si="13"/>
        <v>0.3</v>
      </c>
      <c r="AL25" s="8">
        <f t="shared" si="13"/>
        <v>0.3</v>
      </c>
      <c r="AM25" s="8">
        <f t="shared" si="13"/>
        <v>0.3</v>
      </c>
      <c r="AN25" s="8">
        <f t="shared" si="13"/>
        <v>0.3</v>
      </c>
      <c r="AO25" s="8">
        <f t="shared" si="13"/>
        <v>0.3</v>
      </c>
      <c r="AP25" s="8">
        <f t="shared" si="13"/>
        <v>0.3</v>
      </c>
      <c r="AR25" s="6">
        <f t="shared" si="17"/>
        <v>0.43749999999999983</v>
      </c>
      <c r="AS25" s="8">
        <f t="shared" si="10"/>
        <v>1</v>
      </c>
      <c r="AT25" s="8">
        <f t="shared" si="2"/>
        <v>1</v>
      </c>
      <c r="AU25" s="8">
        <f t="shared" si="2"/>
        <v>1</v>
      </c>
      <c r="AV25" s="8">
        <f t="shared" si="2"/>
        <v>1</v>
      </c>
      <c r="AW25" s="8">
        <f t="shared" si="2"/>
        <v>1</v>
      </c>
      <c r="AX25" s="8">
        <f t="shared" si="2"/>
        <v>1</v>
      </c>
      <c r="AY25" s="8">
        <f t="shared" si="2"/>
        <v>1</v>
      </c>
      <c r="BA25" s="6">
        <f t="shared" si="18"/>
        <v>0.43749999999999983</v>
      </c>
      <c r="BB25" s="8">
        <f t="shared" si="16"/>
        <v>0.3</v>
      </c>
      <c r="BC25" s="8">
        <f t="shared" si="16"/>
        <v>0.3</v>
      </c>
      <c r="BD25" s="8">
        <f t="shared" si="16"/>
        <v>0.3</v>
      </c>
      <c r="BE25" s="8">
        <f t="shared" si="16"/>
        <v>0.3</v>
      </c>
      <c r="BF25" s="8">
        <f t="shared" si="16"/>
        <v>0.3</v>
      </c>
      <c r="BG25" s="8">
        <f t="shared" si="16"/>
        <v>0.3</v>
      </c>
      <c r="BH25" s="8">
        <f t="shared" si="16"/>
        <v>0.3</v>
      </c>
    </row>
    <row r="26" spans="1:60" x14ac:dyDescent="0.3">
      <c r="E26" s="11">
        <f t="shared" si="12"/>
        <v>0.43749999999999983</v>
      </c>
      <c r="F26" s="8">
        <v>0.31</v>
      </c>
      <c r="G26" s="8">
        <v>0.31</v>
      </c>
      <c r="H26" s="8">
        <v>0.27</v>
      </c>
      <c r="I26" s="8">
        <v>0.32</v>
      </c>
      <c r="J26" s="8">
        <v>0.33</v>
      </c>
      <c r="K26" s="8">
        <v>0.32</v>
      </c>
      <c r="L26" s="8">
        <v>0.32</v>
      </c>
      <c r="M26" s="8">
        <v>0.34</v>
      </c>
      <c r="N26" s="8">
        <v>0.28999999999999998</v>
      </c>
      <c r="O26" s="8">
        <v>0.33</v>
      </c>
      <c r="P26" s="8">
        <v>0.32</v>
      </c>
      <c r="Q26" s="8">
        <v>0.3</v>
      </c>
      <c r="R26" s="8">
        <v>0.27</v>
      </c>
      <c r="S26" s="8">
        <v>0.33</v>
      </c>
      <c r="T26" s="8">
        <v>0.31</v>
      </c>
      <c r="U26" s="8">
        <v>0.28999999999999998</v>
      </c>
      <c r="V26" s="8">
        <v>0.32</v>
      </c>
      <c r="W26" s="8">
        <v>0.27</v>
      </c>
      <c r="X26" s="8">
        <v>0.32</v>
      </c>
      <c r="Y26" s="8">
        <v>0.26</v>
      </c>
      <c r="Z26" s="8">
        <v>0.33</v>
      </c>
      <c r="AA26" s="8">
        <v>0.31</v>
      </c>
      <c r="AB26" s="8">
        <v>0.28999999999999998</v>
      </c>
      <c r="AC26" s="8">
        <v>0.26</v>
      </c>
      <c r="AD26" s="8">
        <v>0.3</v>
      </c>
      <c r="AE26" s="8">
        <v>0.3</v>
      </c>
      <c r="AF26" s="8">
        <v>0.27</v>
      </c>
      <c r="AG26" s="8">
        <v>0.32</v>
      </c>
      <c r="AI26" s="6">
        <f t="shared" si="8"/>
        <v>0.45833333333333315</v>
      </c>
      <c r="AJ26" s="8">
        <f t="shared" si="13"/>
        <v>0.3</v>
      </c>
      <c r="AK26" s="8">
        <f t="shared" si="13"/>
        <v>0.3</v>
      </c>
      <c r="AL26" s="8">
        <f t="shared" si="13"/>
        <v>0.3</v>
      </c>
      <c r="AM26" s="8">
        <f t="shared" si="13"/>
        <v>0.3</v>
      </c>
      <c r="AN26" s="8">
        <f t="shared" si="13"/>
        <v>0.3</v>
      </c>
      <c r="AO26" s="8">
        <f t="shared" si="13"/>
        <v>0.3</v>
      </c>
      <c r="AP26" s="8">
        <f t="shared" si="13"/>
        <v>0.3</v>
      </c>
      <c r="AR26" s="6">
        <f t="shared" si="17"/>
        <v>0.45833333333333315</v>
      </c>
      <c r="AS26" s="8">
        <f t="shared" si="10"/>
        <v>1</v>
      </c>
      <c r="AT26" s="8">
        <f t="shared" si="2"/>
        <v>1</v>
      </c>
      <c r="AU26" s="8">
        <f t="shared" si="2"/>
        <v>1</v>
      </c>
      <c r="AV26" s="8">
        <f t="shared" si="2"/>
        <v>1</v>
      </c>
      <c r="AW26" s="8">
        <f t="shared" si="2"/>
        <v>1</v>
      </c>
      <c r="AX26" s="8">
        <f t="shared" si="2"/>
        <v>1</v>
      </c>
      <c r="AY26" s="8">
        <f t="shared" si="2"/>
        <v>1</v>
      </c>
      <c r="BA26" s="6">
        <f t="shared" si="18"/>
        <v>0.45833333333333315</v>
      </c>
      <c r="BB26" s="8">
        <f t="shared" si="16"/>
        <v>0.3</v>
      </c>
      <c r="BC26" s="8">
        <f t="shared" si="16"/>
        <v>0.3</v>
      </c>
      <c r="BD26" s="8">
        <f t="shared" si="16"/>
        <v>0.3</v>
      </c>
      <c r="BE26" s="8">
        <f t="shared" si="16"/>
        <v>0.3</v>
      </c>
      <c r="BF26" s="8">
        <f t="shared" si="16"/>
        <v>0.3</v>
      </c>
      <c r="BG26" s="8">
        <f t="shared" si="16"/>
        <v>0.3</v>
      </c>
      <c r="BH26" s="8">
        <f t="shared" si="16"/>
        <v>0.3</v>
      </c>
    </row>
    <row r="27" spans="1:60" x14ac:dyDescent="0.3">
      <c r="E27" s="11">
        <f t="shared" si="12"/>
        <v>0.45833333333333315</v>
      </c>
      <c r="F27" s="8">
        <v>0.35</v>
      </c>
      <c r="G27" s="8">
        <v>0.31</v>
      </c>
      <c r="H27" s="8">
        <v>0.28000000000000003</v>
      </c>
      <c r="I27" s="8">
        <v>0.31</v>
      </c>
      <c r="J27" s="8">
        <v>0.32</v>
      </c>
      <c r="K27" s="8">
        <v>0.25</v>
      </c>
      <c r="L27" s="8">
        <v>0.28999999999999998</v>
      </c>
      <c r="M27" s="8">
        <v>0.28000000000000003</v>
      </c>
      <c r="N27" s="8">
        <v>0.3</v>
      </c>
      <c r="O27" s="8">
        <v>0.32</v>
      </c>
      <c r="P27" s="8">
        <v>0.34</v>
      </c>
      <c r="Q27" s="8">
        <v>0.26</v>
      </c>
      <c r="R27" s="8">
        <v>0.28000000000000003</v>
      </c>
      <c r="S27" s="8">
        <v>0.31</v>
      </c>
      <c r="T27" s="8">
        <v>0.31</v>
      </c>
      <c r="U27" s="8">
        <v>0.26</v>
      </c>
      <c r="V27" s="8">
        <v>0.32</v>
      </c>
      <c r="W27" s="8">
        <v>0.33</v>
      </c>
      <c r="X27" s="8">
        <v>0.32</v>
      </c>
      <c r="Y27" s="8">
        <v>0.28999999999999998</v>
      </c>
      <c r="Z27" s="8">
        <v>0.32</v>
      </c>
      <c r="AA27" s="8">
        <v>0.26</v>
      </c>
      <c r="AB27" s="8">
        <v>0.25</v>
      </c>
      <c r="AC27" s="8">
        <v>0.26</v>
      </c>
      <c r="AD27" s="8">
        <v>0.3</v>
      </c>
      <c r="AE27" s="8">
        <v>0.28999999999999998</v>
      </c>
      <c r="AF27" s="8">
        <v>0.28999999999999998</v>
      </c>
      <c r="AG27" s="8">
        <v>0.25</v>
      </c>
      <c r="AI27" s="6">
        <f t="shared" si="8"/>
        <v>0.47916666666666646</v>
      </c>
      <c r="AJ27" s="8">
        <f t="shared" si="13"/>
        <v>0.3</v>
      </c>
      <c r="AK27" s="8">
        <f t="shared" si="13"/>
        <v>0.3</v>
      </c>
      <c r="AL27" s="8">
        <f t="shared" si="13"/>
        <v>0.3</v>
      </c>
      <c r="AM27" s="8">
        <f t="shared" si="13"/>
        <v>0.3</v>
      </c>
      <c r="AN27" s="8">
        <f t="shared" si="13"/>
        <v>0.3</v>
      </c>
      <c r="AO27" s="8">
        <f t="shared" si="13"/>
        <v>0.3</v>
      </c>
      <c r="AP27" s="8">
        <f t="shared" si="13"/>
        <v>0.3</v>
      </c>
      <c r="AR27" s="6">
        <f t="shared" si="17"/>
        <v>0.47916666666666646</v>
      </c>
      <c r="AS27" s="8">
        <f t="shared" si="10"/>
        <v>1</v>
      </c>
      <c r="AT27" s="8">
        <f t="shared" si="2"/>
        <v>1</v>
      </c>
      <c r="AU27" s="8">
        <f t="shared" si="2"/>
        <v>1</v>
      </c>
      <c r="AV27" s="8">
        <f t="shared" si="2"/>
        <v>1</v>
      </c>
      <c r="AW27" s="8">
        <f t="shared" si="2"/>
        <v>1</v>
      </c>
      <c r="AX27" s="8">
        <f t="shared" si="2"/>
        <v>1</v>
      </c>
      <c r="AY27" s="8">
        <f t="shared" si="2"/>
        <v>1</v>
      </c>
      <c r="BA27" s="6">
        <f t="shared" si="18"/>
        <v>0.47916666666666646</v>
      </c>
      <c r="BB27" s="8">
        <f t="shared" si="16"/>
        <v>0.3</v>
      </c>
      <c r="BC27" s="8">
        <f t="shared" si="16"/>
        <v>0.3</v>
      </c>
      <c r="BD27" s="8">
        <f t="shared" si="16"/>
        <v>0.3</v>
      </c>
      <c r="BE27" s="8">
        <f t="shared" si="16"/>
        <v>0.3</v>
      </c>
      <c r="BF27" s="8">
        <f t="shared" si="16"/>
        <v>0.3</v>
      </c>
      <c r="BG27" s="8">
        <f t="shared" si="16"/>
        <v>0.3</v>
      </c>
      <c r="BH27" s="8">
        <f t="shared" si="16"/>
        <v>0.3</v>
      </c>
    </row>
    <row r="28" spans="1:60" x14ac:dyDescent="0.3">
      <c r="E28" s="11">
        <f t="shared" si="12"/>
        <v>0.47916666666666646</v>
      </c>
      <c r="F28" s="8">
        <v>0.31</v>
      </c>
      <c r="G28" s="8">
        <v>0.27</v>
      </c>
      <c r="H28" s="8">
        <v>0.27</v>
      </c>
      <c r="I28" s="8">
        <v>0.33</v>
      </c>
      <c r="J28" s="8">
        <v>0.28000000000000003</v>
      </c>
      <c r="K28" s="8">
        <v>0.3</v>
      </c>
      <c r="L28" s="8">
        <v>0.27</v>
      </c>
      <c r="M28" s="8">
        <v>0.28999999999999998</v>
      </c>
      <c r="N28" s="8">
        <v>0.26</v>
      </c>
      <c r="O28" s="8">
        <v>0.27</v>
      </c>
      <c r="P28" s="8">
        <v>0.32</v>
      </c>
      <c r="Q28" s="8">
        <v>0.27</v>
      </c>
      <c r="R28" s="8">
        <v>0.27</v>
      </c>
      <c r="S28" s="8">
        <v>0.34</v>
      </c>
      <c r="T28" s="8">
        <v>0.25</v>
      </c>
      <c r="U28" s="8">
        <v>0.31</v>
      </c>
      <c r="V28" s="8">
        <v>0.31</v>
      </c>
      <c r="W28" s="8">
        <v>0.31</v>
      </c>
      <c r="X28" s="8">
        <v>0.35</v>
      </c>
      <c r="Y28" s="8">
        <v>0.26</v>
      </c>
      <c r="Z28" s="8">
        <v>0.28000000000000003</v>
      </c>
      <c r="AA28" s="8">
        <v>0.27</v>
      </c>
      <c r="AB28" s="8">
        <v>0.3</v>
      </c>
      <c r="AC28" s="8">
        <v>0.35</v>
      </c>
      <c r="AD28" s="8">
        <v>0.31</v>
      </c>
      <c r="AE28" s="8">
        <v>0.32</v>
      </c>
      <c r="AF28" s="8">
        <v>0.25</v>
      </c>
      <c r="AG28" s="8">
        <v>0.28999999999999998</v>
      </c>
      <c r="AI28" s="14">
        <f t="shared" si="8"/>
        <v>0.49999999999999978</v>
      </c>
      <c r="AJ28" s="8">
        <f t="shared" si="13"/>
        <v>0.3</v>
      </c>
      <c r="AK28" s="8">
        <f t="shared" si="13"/>
        <v>0.3</v>
      </c>
      <c r="AL28" s="8">
        <f t="shared" si="13"/>
        <v>0.3</v>
      </c>
      <c r="AM28" s="8">
        <f t="shared" si="13"/>
        <v>0.3</v>
      </c>
      <c r="AN28" s="8">
        <f t="shared" si="13"/>
        <v>0.3</v>
      </c>
      <c r="AO28" s="8">
        <f t="shared" si="13"/>
        <v>0.3</v>
      </c>
      <c r="AP28" s="8">
        <f t="shared" si="13"/>
        <v>0.3</v>
      </c>
      <c r="AR28" s="14">
        <f t="shared" si="17"/>
        <v>0.49999999999999978</v>
      </c>
      <c r="AS28" s="8">
        <f t="shared" si="10"/>
        <v>1</v>
      </c>
      <c r="AT28" s="8">
        <f t="shared" si="2"/>
        <v>1</v>
      </c>
      <c r="AU28" s="8">
        <f t="shared" si="2"/>
        <v>1</v>
      </c>
      <c r="AV28" s="8">
        <f t="shared" si="2"/>
        <v>1</v>
      </c>
      <c r="AW28" s="8">
        <f t="shared" si="2"/>
        <v>1</v>
      </c>
      <c r="AX28" s="8">
        <f t="shared" si="2"/>
        <v>1</v>
      </c>
      <c r="AY28" s="8">
        <f t="shared" si="2"/>
        <v>1</v>
      </c>
      <c r="BA28" s="14">
        <f t="shared" si="18"/>
        <v>0.49999999999999978</v>
      </c>
      <c r="BB28" s="8">
        <f t="shared" si="16"/>
        <v>0.3</v>
      </c>
      <c r="BC28" s="8">
        <f t="shared" si="16"/>
        <v>0.3</v>
      </c>
      <c r="BD28" s="8">
        <f t="shared" si="16"/>
        <v>0.3</v>
      </c>
      <c r="BE28" s="8">
        <f t="shared" si="16"/>
        <v>0.3</v>
      </c>
      <c r="BF28" s="8">
        <f t="shared" si="16"/>
        <v>0.3</v>
      </c>
      <c r="BG28" s="8">
        <f t="shared" si="16"/>
        <v>0.3</v>
      </c>
      <c r="BH28" s="8">
        <f t="shared" si="16"/>
        <v>0.3</v>
      </c>
    </row>
    <row r="29" spans="1:60" x14ac:dyDescent="0.3">
      <c r="E29" s="11">
        <f t="shared" si="12"/>
        <v>0.49999999999999978</v>
      </c>
      <c r="F29" s="8">
        <v>0.28999999999999998</v>
      </c>
      <c r="G29" s="8">
        <v>0.35</v>
      </c>
      <c r="H29" s="8">
        <v>0.35</v>
      </c>
      <c r="I29" s="8">
        <v>0.25</v>
      </c>
      <c r="J29" s="8">
        <v>0.33</v>
      </c>
      <c r="K29" s="8">
        <v>0.3</v>
      </c>
      <c r="L29" s="8">
        <v>0.3</v>
      </c>
      <c r="M29" s="8">
        <v>0.26</v>
      </c>
      <c r="N29" s="8">
        <v>0.34</v>
      </c>
      <c r="O29" s="8">
        <v>0.26</v>
      </c>
      <c r="P29" s="8">
        <v>0.27</v>
      </c>
      <c r="Q29" s="8">
        <v>0.28000000000000003</v>
      </c>
      <c r="R29" s="8">
        <v>0.26</v>
      </c>
      <c r="S29" s="8">
        <v>0.28999999999999998</v>
      </c>
      <c r="T29" s="8">
        <v>0.26</v>
      </c>
      <c r="U29" s="8">
        <v>0.31</v>
      </c>
      <c r="V29" s="8">
        <v>0.25</v>
      </c>
      <c r="W29" s="8">
        <v>0.35</v>
      </c>
      <c r="X29" s="8">
        <v>0.33</v>
      </c>
      <c r="Y29" s="8">
        <v>0.33</v>
      </c>
      <c r="Z29" s="8">
        <v>0.33</v>
      </c>
      <c r="AA29" s="8">
        <v>0.3</v>
      </c>
      <c r="AB29" s="8">
        <v>0.32</v>
      </c>
      <c r="AC29" s="8">
        <v>0.3</v>
      </c>
      <c r="AD29" s="8">
        <v>0.35</v>
      </c>
      <c r="AE29" s="8">
        <v>0.32</v>
      </c>
      <c r="AF29" s="8">
        <v>0.25</v>
      </c>
      <c r="AG29" s="8">
        <v>0.27</v>
      </c>
      <c r="AI29" s="15">
        <f t="shared" si="8"/>
        <v>0.52083333333333315</v>
      </c>
      <c r="AJ29" s="8">
        <f t="shared" si="13"/>
        <v>0.3</v>
      </c>
      <c r="AK29" s="8">
        <f t="shared" si="13"/>
        <v>0.3</v>
      </c>
      <c r="AL29" s="8">
        <f t="shared" si="13"/>
        <v>0.3</v>
      </c>
      <c r="AM29" s="8">
        <f t="shared" si="13"/>
        <v>0.3</v>
      </c>
      <c r="AN29" s="8">
        <f t="shared" si="13"/>
        <v>0.3</v>
      </c>
      <c r="AO29" s="8">
        <f t="shared" si="13"/>
        <v>0.3</v>
      </c>
      <c r="AP29" s="8">
        <f t="shared" si="13"/>
        <v>0.3</v>
      </c>
      <c r="AR29" s="15">
        <f t="shared" si="17"/>
        <v>0.52083333333333315</v>
      </c>
      <c r="AS29" s="8">
        <f t="shared" si="10"/>
        <v>1</v>
      </c>
      <c r="AT29" s="8">
        <f t="shared" si="2"/>
        <v>1</v>
      </c>
      <c r="AU29" s="8">
        <f t="shared" si="2"/>
        <v>1</v>
      </c>
      <c r="AV29" s="8">
        <f t="shared" si="2"/>
        <v>1</v>
      </c>
      <c r="AW29" s="8">
        <f t="shared" si="2"/>
        <v>1</v>
      </c>
      <c r="AX29" s="8">
        <f t="shared" si="2"/>
        <v>1</v>
      </c>
      <c r="AY29" s="8">
        <f t="shared" si="2"/>
        <v>1</v>
      </c>
      <c r="BA29" s="15">
        <f t="shared" si="18"/>
        <v>0.52083333333333315</v>
      </c>
      <c r="BB29" s="8">
        <f t="shared" si="16"/>
        <v>0.3</v>
      </c>
      <c r="BC29" s="8">
        <f t="shared" si="16"/>
        <v>0.3</v>
      </c>
      <c r="BD29" s="8">
        <f t="shared" si="16"/>
        <v>0.3</v>
      </c>
      <c r="BE29" s="8">
        <f t="shared" si="16"/>
        <v>0.3</v>
      </c>
      <c r="BF29" s="8">
        <f t="shared" si="16"/>
        <v>0.3</v>
      </c>
      <c r="BG29" s="8">
        <f t="shared" si="16"/>
        <v>0.3</v>
      </c>
      <c r="BH29" s="8">
        <f t="shared" si="16"/>
        <v>0.3</v>
      </c>
    </row>
    <row r="30" spans="1:60" x14ac:dyDescent="0.3">
      <c r="E30" s="11">
        <f t="shared" si="12"/>
        <v>0.52083333333333315</v>
      </c>
      <c r="F30" s="8">
        <v>0.3</v>
      </c>
      <c r="G30" s="8">
        <v>0.33</v>
      </c>
      <c r="H30" s="8">
        <v>0.28000000000000003</v>
      </c>
      <c r="I30" s="8">
        <v>0.28999999999999998</v>
      </c>
      <c r="J30" s="8">
        <v>0.25</v>
      </c>
      <c r="K30" s="8">
        <v>0.3</v>
      </c>
      <c r="L30" s="8">
        <v>0.35</v>
      </c>
      <c r="M30" s="8">
        <v>0.25</v>
      </c>
      <c r="N30" s="8">
        <v>0.34</v>
      </c>
      <c r="O30" s="8">
        <v>0.34</v>
      </c>
      <c r="P30" s="8">
        <v>0.31</v>
      </c>
      <c r="Q30" s="8">
        <v>0.27</v>
      </c>
      <c r="R30" s="8">
        <v>0.28999999999999998</v>
      </c>
      <c r="S30" s="8">
        <v>0.32</v>
      </c>
      <c r="T30" s="8">
        <v>0.28999999999999998</v>
      </c>
      <c r="U30" s="8">
        <v>0.27</v>
      </c>
      <c r="V30" s="8">
        <v>0.33</v>
      </c>
      <c r="W30" s="8">
        <v>0.31</v>
      </c>
      <c r="X30" s="8">
        <v>0.28999999999999998</v>
      </c>
      <c r="Y30" s="8">
        <v>0.32</v>
      </c>
      <c r="Z30" s="8">
        <v>0.26</v>
      </c>
      <c r="AA30" s="8">
        <v>0.35</v>
      </c>
      <c r="AB30" s="8">
        <v>0.31</v>
      </c>
      <c r="AC30" s="8">
        <v>0.31</v>
      </c>
      <c r="AD30" s="8">
        <v>0.35</v>
      </c>
      <c r="AE30" s="8">
        <v>0.28999999999999998</v>
      </c>
      <c r="AF30" s="8">
        <v>0.26</v>
      </c>
      <c r="AG30" s="8">
        <v>0.32</v>
      </c>
      <c r="AI30" s="15">
        <f t="shared" si="8"/>
        <v>0.54166666666666652</v>
      </c>
      <c r="AJ30" s="8">
        <f t="shared" si="13"/>
        <v>0.3</v>
      </c>
      <c r="AK30" s="8">
        <f t="shared" si="13"/>
        <v>0.3</v>
      </c>
      <c r="AL30" s="8">
        <f t="shared" si="13"/>
        <v>0.3</v>
      </c>
      <c r="AM30" s="8">
        <f t="shared" si="13"/>
        <v>0.3</v>
      </c>
      <c r="AN30" s="8">
        <f t="shared" si="13"/>
        <v>0.3</v>
      </c>
      <c r="AO30" s="8">
        <f t="shared" si="13"/>
        <v>0.3</v>
      </c>
      <c r="AP30" s="8">
        <f t="shared" si="13"/>
        <v>0.3</v>
      </c>
      <c r="AR30" s="15">
        <f t="shared" si="17"/>
        <v>0.54166666666666652</v>
      </c>
      <c r="AS30" s="8">
        <f t="shared" si="10"/>
        <v>1</v>
      </c>
      <c r="AT30" s="8">
        <f t="shared" si="2"/>
        <v>1</v>
      </c>
      <c r="AU30" s="8">
        <f t="shared" si="2"/>
        <v>1</v>
      </c>
      <c r="AV30" s="8">
        <f t="shared" si="2"/>
        <v>1</v>
      </c>
      <c r="AW30" s="8">
        <f t="shared" si="2"/>
        <v>1</v>
      </c>
      <c r="AX30" s="8">
        <f t="shared" si="2"/>
        <v>1</v>
      </c>
      <c r="AY30" s="8">
        <f t="shared" si="2"/>
        <v>1</v>
      </c>
      <c r="BA30" s="15">
        <f t="shared" si="18"/>
        <v>0.54166666666666652</v>
      </c>
      <c r="BB30" s="8">
        <f t="shared" si="16"/>
        <v>0.3</v>
      </c>
      <c r="BC30" s="8">
        <f t="shared" si="16"/>
        <v>0.3</v>
      </c>
      <c r="BD30" s="8">
        <f t="shared" si="16"/>
        <v>0.3</v>
      </c>
      <c r="BE30" s="8">
        <f t="shared" si="16"/>
        <v>0.3</v>
      </c>
      <c r="BF30" s="8">
        <f t="shared" si="16"/>
        <v>0.3</v>
      </c>
      <c r="BG30" s="8">
        <f t="shared" si="16"/>
        <v>0.3</v>
      </c>
      <c r="BH30" s="8">
        <f t="shared" si="16"/>
        <v>0.3</v>
      </c>
    </row>
    <row r="31" spans="1:60" x14ac:dyDescent="0.3">
      <c r="E31" s="11">
        <f t="shared" si="12"/>
        <v>0.54166666666666652</v>
      </c>
      <c r="F31" s="8">
        <v>0.31</v>
      </c>
      <c r="G31" s="8">
        <v>0.25</v>
      </c>
      <c r="H31" s="8">
        <v>0.27</v>
      </c>
      <c r="I31" s="8">
        <v>0.31</v>
      </c>
      <c r="J31" s="8">
        <v>0.27</v>
      </c>
      <c r="K31" s="8">
        <v>0.28999999999999998</v>
      </c>
      <c r="L31" s="8">
        <v>0.34</v>
      </c>
      <c r="M31" s="8">
        <v>0.34</v>
      </c>
      <c r="N31" s="8">
        <v>0.28000000000000003</v>
      </c>
      <c r="O31" s="8">
        <v>0.34</v>
      </c>
      <c r="P31" s="8">
        <v>0.31</v>
      </c>
      <c r="Q31" s="8">
        <v>0.25</v>
      </c>
      <c r="R31" s="8">
        <v>0.3</v>
      </c>
      <c r="S31" s="8">
        <v>0.3</v>
      </c>
      <c r="T31" s="8">
        <v>0.27</v>
      </c>
      <c r="U31" s="8">
        <v>0.32</v>
      </c>
      <c r="V31" s="8">
        <v>0.31</v>
      </c>
      <c r="W31" s="8">
        <v>0.26</v>
      </c>
      <c r="X31" s="8">
        <v>0.28000000000000003</v>
      </c>
      <c r="Y31" s="8">
        <v>0.28999999999999998</v>
      </c>
      <c r="Z31" s="8">
        <v>0.3</v>
      </c>
      <c r="AA31" s="8">
        <v>0.27</v>
      </c>
      <c r="AB31" s="8">
        <v>0.25</v>
      </c>
      <c r="AC31" s="8">
        <v>0.27</v>
      </c>
      <c r="AD31" s="8">
        <v>0.25</v>
      </c>
      <c r="AE31" s="8">
        <v>0.28999999999999998</v>
      </c>
      <c r="AF31" s="8">
        <v>0.28999999999999998</v>
      </c>
      <c r="AG31" s="33">
        <v>0.28999999999999998</v>
      </c>
      <c r="AI31" s="15">
        <f t="shared" si="8"/>
        <v>0.56249999999999989</v>
      </c>
      <c r="AJ31" s="8">
        <f t="shared" si="13"/>
        <v>0.3</v>
      </c>
      <c r="AK31" s="8">
        <f t="shared" si="13"/>
        <v>0.3</v>
      </c>
      <c r="AL31" s="8">
        <f t="shared" si="13"/>
        <v>0.3</v>
      </c>
      <c r="AM31" s="8">
        <f t="shared" si="13"/>
        <v>0.3</v>
      </c>
      <c r="AN31" s="8">
        <f t="shared" si="13"/>
        <v>0.3</v>
      </c>
      <c r="AO31" s="8">
        <f t="shared" si="13"/>
        <v>0.3</v>
      </c>
      <c r="AP31" s="8">
        <f t="shared" si="13"/>
        <v>0.3</v>
      </c>
      <c r="AR31" s="15">
        <f t="shared" si="17"/>
        <v>0.56249999999999989</v>
      </c>
      <c r="AS31" s="8">
        <f t="shared" si="10"/>
        <v>1</v>
      </c>
      <c r="AT31" s="8">
        <f t="shared" si="2"/>
        <v>1</v>
      </c>
      <c r="AU31" s="8">
        <f t="shared" si="2"/>
        <v>1</v>
      </c>
      <c r="AV31" s="8">
        <f t="shared" si="2"/>
        <v>1</v>
      </c>
      <c r="AW31" s="8">
        <f t="shared" si="2"/>
        <v>1</v>
      </c>
      <c r="AX31" s="8">
        <f t="shared" si="2"/>
        <v>1</v>
      </c>
      <c r="AY31" s="8">
        <f t="shared" si="2"/>
        <v>1</v>
      </c>
      <c r="BA31" s="15">
        <f t="shared" si="18"/>
        <v>0.56249999999999989</v>
      </c>
      <c r="BB31" s="8">
        <f t="shared" si="16"/>
        <v>0.3</v>
      </c>
      <c r="BC31" s="8">
        <f t="shared" si="16"/>
        <v>0.3</v>
      </c>
      <c r="BD31" s="8">
        <f t="shared" si="16"/>
        <v>0.3</v>
      </c>
      <c r="BE31" s="8">
        <f t="shared" si="16"/>
        <v>0.3</v>
      </c>
      <c r="BF31" s="8">
        <f t="shared" si="16"/>
        <v>0.3</v>
      </c>
      <c r="BG31" s="8">
        <f t="shared" si="16"/>
        <v>0.3</v>
      </c>
      <c r="BH31" s="8">
        <f t="shared" si="16"/>
        <v>0.3</v>
      </c>
    </row>
    <row r="32" spans="1:60" x14ac:dyDescent="0.3">
      <c r="E32" s="11">
        <f t="shared" si="12"/>
        <v>0.56249999999999989</v>
      </c>
      <c r="F32" s="8">
        <v>0.33</v>
      </c>
      <c r="G32" s="8">
        <v>0.28999999999999998</v>
      </c>
      <c r="H32" s="8">
        <v>0.27</v>
      </c>
      <c r="I32" s="8">
        <v>0.3</v>
      </c>
      <c r="J32" s="8">
        <v>0.33</v>
      </c>
      <c r="K32" s="8">
        <v>0.31</v>
      </c>
      <c r="L32" s="8">
        <v>0.3</v>
      </c>
      <c r="M32" s="8">
        <v>0.26</v>
      </c>
      <c r="N32" s="8">
        <v>0.25</v>
      </c>
      <c r="O32" s="8">
        <v>0.31</v>
      </c>
      <c r="P32" s="8">
        <v>0.31</v>
      </c>
      <c r="Q32" s="8">
        <v>0.32</v>
      </c>
      <c r="R32" s="8">
        <v>0.3</v>
      </c>
      <c r="S32" s="8">
        <v>0.32</v>
      </c>
      <c r="T32" s="8">
        <v>0.32</v>
      </c>
      <c r="U32" s="8">
        <v>0.25</v>
      </c>
      <c r="V32" s="8">
        <v>0.25</v>
      </c>
      <c r="W32" s="8">
        <v>0.35</v>
      </c>
      <c r="X32" s="8">
        <v>0.27</v>
      </c>
      <c r="Y32" s="8">
        <v>0.32</v>
      </c>
      <c r="Z32" s="8">
        <v>0.28999999999999998</v>
      </c>
      <c r="AA32" s="8">
        <v>0.28000000000000003</v>
      </c>
      <c r="AB32" s="8">
        <v>0.32</v>
      </c>
      <c r="AC32" s="8">
        <v>0.35</v>
      </c>
      <c r="AD32" s="8">
        <v>0.31</v>
      </c>
      <c r="AE32" s="8">
        <v>0.28000000000000003</v>
      </c>
      <c r="AF32" s="8">
        <v>0.28000000000000003</v>
      </c>
      <c r="AG32" s="8">
        <v>0.32</v>
      </c>
      <c r="AI32" s="15">
        <f t="shared" si="8"/>
        <v>0.58333333333333326</v>
      </c>
      <c r="AJ32" s="8">
        <f t="shared" si="13"/>
        <v>0.3</v>
      </c>
      <c r="AK32" s="8">
        <f t="shared" si="13"/>
        <v>0.3</v>
      </c>
      <c r="AL32" s="8">
        <f t="shared" si="13"/>
        <v>0.3</v>
      </c>
      <c r="AM32" s="8">
        <f t="shared" si="13"/>
        <v>0.3</v>
      </c>
      <c r="AN32" s="8">
        <f t="shared" si="13"/>
        <v>0.3</v>
      </c>
      <c r="AO32" s="8">
        <f t="shared" si="13"/>
        <v>0.3</v>
      </c>
      <c r="AP32" s="8">
        <f t="shared" si="13"/>
        <v>0.3</v>
      </c>
      <c r="AR32" s="15">
        <f t="shared" si="17"/>
        <v>0.58333333333333326</v>
      </c>
      <c r="AS32" s="8">
        <f t="shared" si="10"/>
        <v>1</v>
      </c>
      <c r="AT32" s="8">
        <f t="shared" si="2"/>
        <v>1</v>
      </c>
      <c r="AU32" s="8">
        <f t="shared" si="2"/>
        <v>1</v>
      </c>
      <c r="AV32" s="8">
        <f t="shared" si="2"/>
        <v>1</v>
      </c>
      <c r="AW32" s="8">
        <f t="shared" si="2"/>
        <v>1</v>
      </c>
      <c r="AX32" s="8">
        <f t="shared" si="2"/>
        <v>1</v>
      </c>
      <c r="AY32" s="8">
        <f t="shared" si="2"/>
        <v>1</v>
      </c>
      <c r="BA32" s="15">
        <f t="shared" si="18"/>
        <v>0.58333333333333326</v>
      </c>
      <c r="BB32" s="8">
        <f t="shared" si="16"/>
        <v>0.3</v>
      </c>
      <c r="BC32" s="8">
        <f t="shared" si="16"/>
        <v>0.3</v>
      </c>
      <c r="BD32" s="8">
        <f t="shared" si="16"/>
        <v>0.3</v>
      </c>
      <c r="BE32" s="8">
        <f t="shared" si="16"/>
        <v>0.3</v>
      </c>
      <c r="BF32" s="8">
        <f t="shared" si="16"/>
        <v>0.3</v>
      </c>
      <c r="BG32" s="8">
        <f t="shared" si="16"/>
        <v>0.3</v>
      </c>
      <c r="BH32" s="8">
        <f t="shared" si="16"/>
        <v>0.3</v>
      </c>
    </row>
    <row r="33" spans="5:60" x14ac:dyDescent="0.3">
      <c r="E33" s="11">
        <f t="shared" si="12"/>
        <v>0.58333333333333326</v>
      </c>
      <c r="F33" s="8">
        <v>0.35</v>
      </c>
      <c r="G33" s="8">
        <v>0.28000000000000003</v>
      </c>
      <c r="H33" s="8">
        <v>0.31</v>
      </c>
      <c r="I33" s="8">
        <v>0.25</v>
      </c>
      <c r="J33" s="8">
        <v>0.34</v>
      </c>
      <c r="K33" s="8">
        <v>0.25</v>
      </c>
      <c r="L33" s="8">
        <v>0.3</v>
      </c>
      <c r="M33" s="8">
        <v>0.31</v>
      </c>
      <c r="N33" s="8">
        <v>0.28999999999999998</v>
      </c>
      <c r="O33" s="8">
        <v>0.31</v>
      </c>
      <c r="P33" s="8">
        <v>0.28000000000000003</v>
      </c>
      <c r="Q33" s="8">
        <v>0.28000000000000003</v>
      </c>
      <c r="R33" s="8">
        <v>0.25</v>
      </c>
      <c r="S33" s="8">
        <v>0.28999999999999998</v>
      </c>
      <c r="T33" s="8">
        <v>0.35</v>
      </c>
      <c r="U33" s="8">
        <v>0.34</v>
      </c>
      <c r="V33" s="8">
        <v>0.25</v>
      </c>
      <c r="W33" s="8">
        <v>0.26</v>
      </c>
      <c r="X33" s="8">
        <v>0.28999999999999998</v>
      </c>
      <c r="Y33" s="8">
        <v>0.3</v>
      </c>
      <c r="Z33" s="8">
        <v>0.28000000000000003</v>
      </c>
      <c r="AA33" s="8">
        <v>0.26</v>
      </c>
      <c r="AB33" s="8">
        <v>0.28999999999999998</v>
      </c>
      <c r="AC33" s="8">
        <v>0.28999999999999998</v>
      </c>
      <c r="AD33" s="8">
        <v>0.31</v>
      </c>
      <c r="AE33" s="8">
        <v>0.33</v>
      </c>
      <c r="AF33" s="8">
        <v>0.33</v>
      </c>
      <c r="AG33" s="8">
        <v>0.34</v>
      </c>
      <c r="AI33" s="15">
        <f t="shared" si="8"/>
        <v>0.60416666666666663</v>
      </c>
      <c r="AJ33" s="8">
        <f t="shared" si="13"/>
        <v>0.3</v>
      </c>
      <c r="AK33" s="8">
        <f t="shared" si="13"/>
        <v>0.3</v>
      </c>
      <c r="AL33" s="8">
        <f t="shared" si="13"/>
        <v>0.3</v>
      </c>
      <c r="AM33" s="8">
        <f t="shared" si="13"/>
        <v>0.3</v>
      </c>
      <c r="AN33" s="8">
        <f t="shared" si="13"/>
        <v>0.3</v>
      </c>
      <c r="AO33" s="8">
        <f t="shared" si="13"/>
        <v>0.3</v>
      </c>
      <c r="AP33" s="8">
        <f t="shared" si="13"/>
        <v>0.3</v>
      </c>
      <c r="AR33" s="15">
        <f t="shared" si="17"/>
        <v>0.60416666666666663</v>
      </c>
      <c r="AS33" s="8">
        <f t="shared" si="10"/>
        <v>1</v>
      </c>
      <c r="AT33" s="8">
        <f t="shared" si="2"/>
        <v>1</v>
      </c>
      <c r="AU33" s="8">
        <f t="shared" si="2"/>
        <v>1</v>
      </c>
      <c r="AV33" s="8">
        <f t="shared" si="2"/>
        <v>1</v>
      </c>
      <c r="AW33" s="8">
        <f t="shared" si="2"/>
        <v>1</v>
      </c>
      <c r="AX33" s="8">
        <f t="shared" si="2"/>
        <v>1</v>
      </c>
      <c r="AY33" s="8">
        <f t="shared" si="2"/>
        <v>1</v>
      </c>
      <c r="BA33" s="15">
        <f t="shared" si="18"/>
        <v>0.60416666666666663</v>
      </c>
      <c r="BB33" s="8">
        <f t="shared" si="16"/>
        <v>0.3</v>
      </c>
      <c r="BC33" s="8">
        <f t="shared" si="16"/>
        <v>0.3</v>
      </c>
      <c r="BD33" s="8">
        <f t="shared" si="16"/>
        <v>0.3</v>
      </c>
      <c r="BE33" s="8">
        <f t="shared" si="16"/>
        <v>0.3</v>
      </c>
      <c r="BF33" s="8">
        <f t="shared" si="16"/>
        <v>0.3</v>
      </c>
      <c r="BG33" s="8">
        <f t="shared" si="16"/>
        <v>0.3</v>
      </c>
      <c r="BH33" s="8">
        <f t="shared" si="16"/>
        <v>0.3</v>
      </c>
    </row>
    <row r="34" spans="5:60" x14ac:dyDescent="0.3">
      <c r="E34" s="11">
        <f t="shared" si="12"/>
        <v>0.60416666666666663</v>
      </c>
      <c r="F34" s="8">
        <v>0.32</v>
      </c>
      <c r="G34" s="8">
        <v>0.25</v>
      </c>
      <c r="H34" s="8">
        <v>0.35</v>
      </c>
      <c r="I34" s="8">
        <v>0.27</v>
      </c>
      <c r="J34" s="8">
        <v>0.35</v>
      </c>
      <c r="K34" s="8">
        <v>0.32</v>
      </c>
      <c r="L34" s="8">
        <v>0.28999999999999998</v>
      </c>
      <c r="M34" s="8">
        <v>0.31</v>
      </c>
      <c r="N34" s="8">
        <v>0.33</v>
      </c>
      <c r="O34" s="8">
        <v>0.28000000000000003</v>
      </c>
      <c r="P34" s="8">
        <v>0.27</v>
      </c>
      <c r="Q34" s="8">
        <v>0.26</v>
      </c>
      <c r="R34" s="8">
        <v>0.28999999999999998</v>
      </c>
      <c r="S34" s="8">
        <v>0.28000000000000003</v>
      </c>
      <c r="T34" s="8">
        <v>0.27</v>
      </c>
      <c r="U34" s="8">
        <v>0.28999999999999998</v>
      </c>
      <c r="V34" s="8">
        <v>0.25</v>
      </c>
      <c r="W34" s="8">
        <v>0.27</v>
      </c>
      <c r="X34" s="8">
        <v>0.34</v>
      </c>
      <c r="Y34" s="8">
        <v>0.31</v>
      </c>
      <c r="Z34" s="8">
        <v>0.28999999999999998</v>
      </c>
      <c r="AA34" s="8">
        <v>0.28000000000000003</v>
      </c>
      <c r="AB34" s="8">
        <v>0.3</v>
      </c>
      <c r="AC34" s="8">
        <v>0.32</v>
      </c>
      <c r="AD34" s="8">
        <v>0.34</v>
      </c>
      <c r="AE34" s="8">
        <v>0.27</v>
      </c>
      <c r="AF34" s="8">
        <v>0.28999999999999998</v>
      </c>
      <c r="AG34" s="8">
        <v>0.25</v>
      </c>
      <c r="AI34" s="15">
        <f t="shared" si="8"/>
        <v>0.625</v>
      </c>
      <c r="AJ34" s="8">
        <f t="shared" si="13"/>
        <v>0.3</v>
      </c>
      <c r="AK34" s="8">
        <f t="shared" si="13"/>
        <v>0.3</v>
      </c>
      <c r="AL34" s="8">
        <f t="shared" si="13"/>
        <v>0.3</v>
      </c>
      <c r="AM34" s="8">
        <f t="shared" si="13"/>
        <v>0.3</v>
      </c>
      <c r="AN34" s="8">
        <f t="shared" si="13"/>
        <v>0.3</v>
      </c>
      <c r="AO34" s="8">
        <f t="shared" si="13"/>
        <v>0.3</v>
      </c>
      <c r="AP34" s="8">
        <f t="shared" si="13"/>
        <v>0.3</v>
      </c>
      <c r="AR34" s="15">
        <f t="shared" si="17"/>
        <v>0.625</v>
      </c>
      <c r="AS34" s="8">
        <f t="shared" si="10"/>
        <v>1</v>
      </c>
      <c r="AT34" s="8">
        <f t="shared" si="2"/>
        <v>1</v>
      </c>
      <c r="AU34" s="8">
        <f t="shared" si="2"/>
        <v>1</v>
      </c>
      <c r="AV34" s="8">
        <f t="shared" si="2"/>
        <v>1</v>
      </c>
      <c r="AW34" s="8">
        <f t="shared" si="2"/>
        <v>1</v>
      </c>
      <c r="AX34" s="8">
        <f t="shared" si="2"/>
        <v>1</v>
      </c>
      <c r="AY34" s="8">
        <f t="shared" si="2"/>
        <v>1</v>
      </c>
      <c r="BA34" s="15">
        <f t="shared" si="18"/>
        <v>0.625</v>
      </c>
      <c r="BB34" s="8">
        <f t="shared" si="16"/>
        <v>0.3</v>
      </c>
      <c r="BC34" s="8">
        <f t="shared" si="16"/>
        <v>0.3</v>
      </c>
      <c r="BD34" s="8">
        <f t="shared" si="16"/>
        <v>0.3</v>
      </c>
      <c r="BE34" s="8">
        <f t="shared" si="16"/>
        <v>0.3</v>
      </c>
      <c r="BF34" s="8">
        <f t="shared" si="16"/>
        <v>0.3</v>
      </c>
      <c r="BG34" s="8">
        <f t="shared" si="16"/>
        <v>0.3</v>
      </c>
      <c r="BH34" s="8">
        <f t="shared" si="16"/>
        <v>0.3</v>
      </c>
    </row>
    <row r="35" spans="5:60" x14ac:dyDescent="0.3">
      <c r="E35" s="11">
        <f t="shared" si="12"/>
        <v>0.625</v>
      </c>
      <c r="F35" s="8">
        <v>0.26</v>
      </c>
      <c r="G35" s="8">
        <v>0.34</v>
      </c>
      <c r="H35" s="8">
        <v>0.35</v>
      </c>
      <c r="I35" s="8">
        <v>0.31</v>
      </c>
      <c r="J35" s="8">
        <v>0.28000000000000003</v>
      </c>
      <c r="K35" s="8">
        <v>0.32</v>
      </c>
      <c r="L35" s="8">
        <v>0.28000000000000003</v>
      </c>
      <c r="M35" s="8">
        <v>0.27</v>
      </c>
      <c r="N35" s="8">
        <v>0.35</v>
      </c>
      <c r="O35" s="8">
        <v>0.31</v>
      </c>
      <c r="P35" s="8">
        <v>0.27</v>
      </c>
      <c r="Q35" s="8">
        <v>0.31</v>
      </c>
      <c r="R35" s="8">
        <v>0.27</v>
      </c>
      <c r="S35" s="8">
        <v>0.34</v>
      </c>
      <c r="T35" s="8">
        <v>0.28999999999999998</v>
      </c>
      <c r="U35" s="8">
        <v>0.31</v>
      </c>
      <c r="V35" s="8">
        <v>0.35</v>
      </c>
      <c r="W35" s="8">
        <v>0.26</v>
      </c>
      <c r="X35" s="8">
        <v>0.27</v>
      </c>
      <c r="Y35" s="8">
        <v>0.34</v>
      </c>
      <c r="Z35" s="8">
        <v>0.25</v>
      </c>
      <c r="AA35" s="8">
        <v>0.25</v>
      </c>
      <c r="AB35" s="8">
        <v>0.35</v>
      </c>
      <c r="AC35" s="8">
        <v>0.26</v>
      </c>
      <c r="AD35" s="8">
        <v>0.26</v>
      </c>
      <c r="AE35" s="8">
        <v>0.28000000000000003</v>
      </c>
      <c r="AF35" s="8">
        <v>0.31</v>
      </c>
      <c r="AG35" s="8">
        <v>0.32</v>
      </c>
      <c r="AI35" s="15">
        <f t="shared" si="8"/>
        <v>0.64583333333333337</v>
      </c>
      <c r="AJ35" s="8">
        <f t="shared" si="13"/>
        <v>0.3</v>
      </c>
      <c r="AK35" s="8">
        <f t="shared" si="13"/>
        <v>0.3</v>
      </c>
      <c r="AL35" s="8">
        <f t="shared" si="13"/>
        <v>0.3</v>
      </c>
      <c r="AM35" s="8">
        <f t="shared" si="13"/>
        <v>0.3</v>
      </c>
      <c r="AN35" s="8">
        <f t="shared" si="13"/>
        <v>0.3</v>
      </c>
      <c r="AO35" s="8">
        <f t="shared" si="13"/>
        <v>0.3</v>
      </c>
      <c r="AP35" s="8">
        <f t="shared" si="13"/>
        <v>0.3</v>
      </c>
      <c r="AR35" s="15">
        <f t="shared" si="17"/>
        <v>0.64583333333333337</v>
      </c>
      <c r="AS35" s="8">
        <f t="shared" si="10"/>
        <v>1</v>
      </c>
      <c r="AT35" s="8">
        <f t="shared" si="2"/>
        <v>1</v>
      </c>
      <c r="AU35" s="8">
        <f t="shared" si="2"/>
        <v>1</v>
      </c>
      <c r="AV35" s="8">
        <f t="shared" si="2"/>
        <v>1</v>
      </c>
      <c r="AW35" s="8">
        <f t="shared" si="2"/>
        <v>1</v>
      </c>
      <c r="AX35" s="8">
        <f t="shared" si="2"/>
        <v>1</v>
      </c>
      <c r="AY35" s="8">
        <f t="shared" si="2"/>
        <v>1</v>
      </c>
      <c r="BA35" s="15">
        <f t="shared" si="18"/>
        <v>0.64583333333333337</v>
      </c>
      <c r="BB35" s="8">
        <f t="shared" si="16"/>
        <v>0.3</v>
      </c>
      <c r="BC35" s="8">
        <f t="shared" si="16"/>
        <v>0.3</v>
      </c>
      <c r="BD35" s="8">
        <f t="shared" si="16"/>
        <v>0.3</v>
      </c>
      <c r="BE35" s="8">
        <f t="shared" si="16"/>
        <v>0.3</v>
      </c>
      <c r="BF35" s="8">
        <f t="shared" si="16"/>
        <v>0.3</v>
      </c>
      <c r="BG35" s="8">
        <f t="shared" si="16"/>
        <v>0.3</v>
      </c>
      <c r="BH35" s="8">
        <f t="shared" si="16"/>
        <v>0.3</v>
      </c>
    </row>
    <row r="36" spans="5:60" x14ac:dyDescent="0.3">
      <c r="E36" s="11">
        <f t="shared" si="12"/>
        <v>0.64583333333333337</v>
      </c>
      <c r="F36" s="8">
        <v>0.28000000000000003</v>
      </c>
      <c r="G36" s="8">
        <v>0.35</v>
      </c>
      <c r="H36" s="8">
        <v>0.28999999999999998</v>
      </c>
      <c r="I36" s="8">
        <v>0.31</v>
      </c>
      <c r="J36" s="8">
        <v>0.27</v>
      </c>
      <c r="K36" s="8">
        <v>0.3</v>
      </c>
      <c r="L36" s="8">
        <v>0.33</v>
      </c>
      <c r="M36" s="8">
        <v>0.32</v>
      </c>
      <c r="N36" s="8">
        <v>0.34</v>
      </c>
      <c r="O36" s="8">
        <v>0.3</v>
      </c>
      <c r="P36" s="8">
        <v>0.35</v>
      </c>
      <c r="Q36" s="8">
        <v>0.26</v>
      </c>
      <c r="R36" s="8">
        <v>0.31</v>
      </c>
      <c r="S36" s="8">
        <v>0.33</v>
      </c>
      <c r="T36" s="8">
        <v>0.3</v>
      </c>
      <c r="U36" s="8">
        <v>0.31</v>
      </c>
      <c r="V36" s="8">
        <v>0.27</v>
      </c>
      <c r="W36" s="8">
        <v>0.25</v>
      </c>
      <c r="X36" s="8">
        <v>0.32</v>
      </c>
      <c r="Y36" s="8">
        <v>0.35</v>
      </c>
      <c r="Z36" s="8">
        <v>0.27</v>
      </c>
      <c r="AA36" s="8">
        <v>0.25</v>
      </c>
      <c r="AB36" s="8">
        <v>0.32</v>
      </c>
      <c r="AC36" s="8">
        <v>0.3</v>
      </c>
      <c r="AD36" s="8">
        <v>0.33</v>
      </c>
      <c r="AE36" s="8">
        <v>0.35</v>
      </c>
      <c r="AF36" s="8">
        <v>0.35</v>
      </c>
      <c r="AG36" s="8">
        <v>0.34</v>
      </c>
      <c r="AI36" s="15">
        <f t="shared" si="8"/>
        <v>0.66666666666666674</v>
      </c>
      <c r="AJ36" s="8">
        <f t="shared" si="13"/>
        <v>0.3</v>
      </c>
      <c r="AK36" s="8">
        <f t="shared" si="13"/>
        <v>0.3</v>
      </c>
      <c r="AL36" s="8">
        <f t="shared" si="13"/>
        <v>0.3</v>
      </c>
      <c r="AM36" s="8">
        <f t="shared" si="13"/>
        <v>0.3</v>
      </c>
      <c r="AN36" s="8">
        <f t="shared" si="13"/>
        <v>0.3</v>
      </c>
      <c r="AO36" s="8">
        <f t="shared" si="13"/>
        <v>0.3</v>
      </c>
      <c r="AP36" s="8">
        <f t="shared" si="13"/>
        <v>0.3</v>
      </c>
      <c r="AR36" s="15">
        <f t="shared" si="17"/>
        <v>0.66666666666666674</v>
      </c>
      <c r="AS36" s="8">
        <f t="shared" si="10"/>
        <v>1</v>
      </c>
      <c r="AT36" s="8">
        <f t="shared" si="2"/>
        <v>1</v>
      </c>
      <c r="AU36" s="8">
        <f t="shared" si="2"/>
        <v>1</v>
      </c>
      <c r="AV36" s="8">
        <f t="shared" si="2"/>
        <v>1</v>
      </c>
      <c r="AW36" s="8">
        <f t="shared" si="2"/>
        <v>1</v>
      </c>
      <c r="AX36" s="8">
        <f t="shared" si="2"/>
        <v>1</v>
      </c>
      <c r="AY36" s="8">
        <f t="shared" si="2"/>
        <v>1</v>
      </c>
      <c r="BA36" s="15">
        <f t="shared" si="18"/>
        <v>0.66666666666666674</v>
      </c>
      <c r="BB36" s="8">
        <f t="shared" si="16"/>
        <v>0.3</v>
      </c>
      <c r="BC36" s="8">
        <f t="shared" si="16"/>
        <v>0.3</v>
      </c>
      <c r="BD36" s="8">
        <f t="shared" si="16"/>
        <v>0.3</v>
      </c>
      <c r="BE36" s="8">
        <f t="shared" si="16"/>
        <v>0.3</v>
      </c>
      <c r="BF36" s="8">
        <f t="shared" si="16"/>
        <v>0.3</v>
      </c>
      <c r="BG36" s="8">
        <f t="shared" si="16"/>
        <v>0.3</v>
      </c>
      <c r="BH36" s="8">
        <f t="shared" si="16"/>
        <v>0.3</v>
      </c>
    </row>
    <row r="37" spans="5:60" x14ac:dyDescent="0.3">
      <c r="E37" s="11">
        <f t="shared" si="12"/>
        <v>0.66666666666666674</v>
      </c>
      <c r="F37" s="8">
        <v>0.31</v>
      </c>
      <c r="G37" s="8">
        <v>0.33</v>
      </c>
      <c r="H37" s="8">
        <v>0.28999999999999998</v>
      </c>
      <c r="I37" s="8">
        <v>0.35</v>
      </c>
      <c r="J37" s="8">
        <v>0.25</v>
      </c>
      <c r="K37" s="8">
        <v>0.32</v>
      </c>
      <c r="L37" s="8">
        <v>0.25</v>
      </c>
      <c r="M37" s="8">
        <v>0.31</v>
      </c>
      <c r="N37" s="8">
        <v>0.35</v>
      </c>
      <c r="O37" s="8">
        <v>0.28999999999999998</v>
      </c>
      <c r="P37" s="8">
        <v>0.25</v>
      </c>
      <c r="Q37" s="8">
        <v>0.28999999999999998</v>
      </c>
      <c r="R37" s="8">
        <v>0.3</v>
      </c>
      <c r="S37" s="8">
        <v>0.28999999999999998</v>
      </c>
      <c r="T37" s="8">
        <v>0.27</v>
      </c>
      <c r="U37" s="8">
        <v>0.31</v>
      </c>
      <c r="V37" s="8">
        <v>0.33</v>
      </c>
      <c r="W37" s="8">
        <v>0.31</v>
      </c>
      <c r="X37" s="8">
        <v>0.33</v>
      </c>
      <c r="Y37" s="8">
        <v>0.3</v>
      </c>
      <c r="Z37" s="8">
        <v>0.31</v>
      </c>
      <c r="AA37" s="8">
        <v>0.34</v>
      </c>
      <c r="AB37" s="8">
        <v>0.33</v>
      </c>
      <c r="AC37" s="8">
        <v>0.33</v>
      </c>
      <c r="AD37" s="8">
        <v>0.25</v>
      </c>
      <c r="AE37" s="8">
        <v>0.25</v>
      </c>
      <c r="AF37" s="8">
        <v>0.26</v>
      </c>
      <c r="AG37" s="8">
        <v>0.26</v>
      </c>
      <c r="AI37" s="15">
        <f t="shared" si="8"/>
        <v>0.68750000000000011</v>
      </c>
      <c r="AJ37" s="8">
        <f t="shared" ref="AJ37:AP52" si="19">30/100</f>
        <v>0.3</v>
      </c>
      <c r="AK37" s="8">
        <f t="shared" si="19"/>
        <v>0.3</v>
      </c>
      <c r="AL37" s="8">
        <f t="shared" si="19"/>
        <v>0.3</v>
      </c>
      <c r="AM37" s="8">
        <f t="shared" si="19"/>
        <v>0.3</v>
      </c>
      <c r="AN37" s="8">
        <f t="shared" si="19"/>
        <v>0.3</v>
      </c>
      <c r="AO37" s="8">
        <f t="shared" si="19"/>
        <v>0.3</v>
      </c>
      <c r="AP37" s="8">
        <f t="shared" si="19"/>
        <v>0.3</v>
      </c>
      <c r="AR37" s="15">
        <f t="shared" si="17"/>
        <v>0.68750000000000011</v>
      </c>
      <c r="AS37" s="8">
        <f t="shared" si="10"/>
        <v>1</v>
      </c>
      <c r="AT37" s="8">
        <f t="shared" si="2"/>
        <v>1</v>
      </c>
      <c r="AU37" s="8">
        <f t="shared" si="2"/>
        <v>1</v>
      </c>
      <c r="AV37" s="8">
        <f t="shared" si="2"/>
        <v>1</v>
      </c>
      <c r="AW37" s="8">
        <f t="shared" si="2"/>
        <v>1</v>
      </c>
      <c r="AX37" s="8">
        <f t="shared" si="2"/>
        <v>1</v>
      </c>
      <c r="AY37" s="8">
        <f t="shared" si="2"/>
        <v>1</v>
      </c>
      <c r="BA37" s="15">
        <f t="shared" si="18"/>
        <v>0.68750000000000011</v>
      </c>
      <c r="BB37" s="8">
        <f t="shared" ref="BB37:BH53" si="20">3000%/100</f>
        <v>0.3</v>
      </c>
      <c r="BC37" s="8">
        <f t="shared" si="20"/>
        <v>0.3</v>
      </c>
      <c r="BD37" s="8">
        <f t="shared" si="20"/>
        <v>0.3</v>
      </c>
      <c r="BE37" s="8">
        <f t="shared" si="20"/>
        <v>0.3</v>
      </c>
      <c r="BF37" s="8">
        <f t="shared" si="20"/>
        <v>0.3</v>
      </c>
      <c r="BG37" s="8">
        <f t="shared" si="20"/>
        <v>0.3</v>
      </c>
      <c r="BH37" s="8">
        <f t="shared" si="20"/>
        <v>0.3</v>
      </c>
    </row>
    <row r="38" spans="5:60" x14ac:dyDescent="0.3">
      <c r="E38" s="11">
        <f t="shared" si="12"/>
        <v>0.68750000000000011</v>
      </c>
      <c r="F38" s="8">
        <v>0.28999999999999998</v>
      </c>
      <c r="G38" s="8">
        <v>0.32</v>
      </c>
      <c r="H38" s="8">
        <v>0.34</v>
      </c>
      <c r="I38" s="8">
        <v>0.34</v>
      </c>
      <c r="J38" s="8">
        <v>0.31</v>
      </c>
      <c r="K38" s="8">
        <v>0.25</v>
      </c>
      <c r="L38" s="8">
        <v>0.32</v>
      </c>
      <c r="M38" s="8">
        <v>0.25</v>
      </c>
      <c r="N38" s="8">
        <v>0.26</v>
      </c>
      <c r="O38" s="8">
        <v>0.3</v>
      </c>
      <c r="P38" s="8">
        <v>0.32</v>
      </c>
      <c r="Q38" s="8">
        <v>0.25</v>
      </c>
      <c r="R38" s="8">
        <v>0.34</v>
      </c>
      <c r="S38" s="8">
        <v>0.33</v>
      </c>
      <c r="T38" s="8">
        <v>0.26</v>
      </c>
      <c r="U38" s="8">
        <v>0.26</v>
      </c>
      <c r="V38" s="8">
        <v>0.28999999999999998</v>
      </c>
      <c r="W38" s="8">
        <v>0.31</v>
      </c>
      <c r="X38" s="8">
        <v>0.27</v>
      </c>
      <c r="Y38" s="8">
        <v>0.25</v>
      </c>
      <c r="Z38" s="8">
        <v>0.25</v>
      </c>
      <c r="AA38" s="8">
        <v>0.34</v>
      </c>
      <c r="AB38" s="8">
        <v>0.3</v>
      </c>
      <c r="AC38" s="8">
        <v>0.31</v>
      </c>
      <c r="AD38" s="8">
        <v>0.28000000000000003</v>
      </c>
      <c r="AE38" s="8">
        <v>0.32</v>
      </c>
      <c r="AF38" s="8">
        <v>0.3</v>
      </c>
      <c r="AG38" s="8">
        <v>0.32</v>
      </c>
      <c r="AI38" s="15">
        <f t="shared" si="8"/>
        <v>0.70833333333333348</v>
      </c>
      <c r="AJ38" s="8">
        <f t="shared" si="19"/>
        <v>0.3</v>
      </c>
      <c r="AK38" s="8">
        <f t="shared" si="19"/>
        <v>0.3</v>
      </c>
      <c r="AL38" s="8">
        <f t="shared" si="19"/>
        <v>0.3</v>
      </c>
      <c r="AM38" s="8">
        <f t="shared" si="19"/>
        <v>0.3</v>
      </c>
      <c r="AN38" s="8">
        <f t="shared" si="19"/>
        <v>0.3</v>
      </c>
      <c r="AO38" s="8">
        <f t="shared" si="19"/>
        <v>0.3</v>
      </c>
      <c r="AP38" s="8">
        <f t="shared" si="19"/>
        <v>0.3</v>
      </c>
      <c r="AR38" s="15">
        <f t="shared" si="17"/>
        <v>0.70833333333333348</v>
      </c>
      <c r="AS38" s="8">
        <f t="shared" si="10"/>
        <v>1</v>
      </c>
      <c r="AT38" s="8">
        <f t="shared" si="2"/>
        <v>1</v>
      </c>
      <c r="AU38" s="8">
        <f t="shared" si="2"/>
        <v>1</v>
      </c>
      <c r="AV38" s="8">
        <f t="shared" si="2"/>
        <v>1</v>
      </c>
      <c r="AW38" s="8">
        <f t="shared" si="2"/>
        <v>1</v>
      </c>
      <c r="AX38" s="8">
        <f t="shared" si="2"/>
        <v>1</v>
      </c>
      <c r="AY38" s="8">
        <f t="shared" si="2"/>
        <v>1</v>
      </c>
      <c r="BA38" s="15">
        <f t="shared" si="18"/>
        <v>0.70833333333333348</v>
      </c>
      <c r="BB38" s="8">
        <f t="shared" si="20"/>
        <v>0.3</v>
      </c>
      <c r="BC38" s="8">
        <f t="shared" si="20"/>
        <v>0.3</v>
      </c>
      <c r="BD38" s="8">
        <f t="shared" si="20"/>
        <v>0.3</v>
      </c>
      <c r="BE38" s="8">
        <f t="shared" si="20"/>
        <v>0.3</v>
      </c>
      <c r="BF38" s="8">
        <f t="shared" si="20"/>
        <v>0.3</v>
      </c>
      <c r="BG38" s="8">
        <f t="shared" si="20"/>
        <v>0.3</v>
      </c>
      <c r="BH38" s="8">
        <f t="shared" si="20"/>
        <v>0.3</v>
      </c>
    </row>
    <row r="39" spans="5:60" x14ac:dyDescent="0.3">
      <c r="E39" s="11">
        <f t="shared" si="12"/>
        <v>0.70833333333333348</v>
      </c>
      <c r="F39" s="8">
        <v>0.35</v>
      </c>
      <c r="G39" s="8">
        <v>0.28000000000000003</v>
      </c>
      <c r="H39" s="8">
        <v>0.28999999999999998</v>
      </c>
      <c r="I39" s="8">
        <v>0.28999999999999998</v>
      </c>
      <c r="J39" s="8">
        <v>0.32</v>
      </c>
      <c r="K39" s="8">
        <v>0.28000000000000003</v>
      </c>
      <c r="L39" s="8">
        <v>0.33</v>
      </c>
      <c r="M39" s="8">
        <v>0.28999999999999998</v>
      </c>
      <c r="N39" s="8">
        <v>0.34</v>
      </c>
      <c r="O39" s="8">
        <v>0.27</v>
      </c>
      <c r="P39" s="8">
        <v>0.31</v>
      </c>
      <c r="Q39" s="8">
        <v>0.27</v>
      </c>
      <c r="R39" s="8">
        <v>0.35</v>
      </c>
      <c r="S39" s="8">
        <v>0.25</v>
      </c>
      <c r="T39" s="8">
        <v>0.34</v>
      </c>
      <c r="U39" s="8">
        <v>0.33</v>
      </c>
      <c r="V39" s="8">
        <v>0.26</v>
      </c>
      <c r="W39" s="8">
        <v>0.26</v>
      </c>
      <c r="X39" s="8">
        <v>0.34</v>
      </c>
      <c r="Y39" s="8">
        <v>0.25</v>
      </c>
      <c r="Z39" s="8">
        <v>0.28000000000000003</v>
      </c>
      <c r="AA39" s="8">
        <v>0.34</v>
      </c>
      <c r="AB39" s="8">
        <v>0.28000000000000003</v>
      </c>
      <c r="AC39" s="8">
        <v>0.33</v>
      </c>
      <c r="AD39" s="8">
        <v>0.28999999999999998</v>
      </c>
      <c r="AE39" s="8">
        <v>0.28000000000000003</v>
      </c>
      <c r="AF39" s="8">
        <v>0.28000000000000003</v>
      </c>
      <c r="AG39" s="8">
        <v>0.26</v>
      </c>
      <c r="AI39" s="15">
        <f t="shared" si="8"/>
        <v>0.72916666666666685</v>
      </c>
      <c r="AJ39" s="8">
        <f t="shared" si="19"/>
        <v>0.3</v>
      </c>
      <c r="AK39" s="8">
        <f t="shared" si="19"/>
        <v>0.3</v>
      </c>
      <c r="AL39" s="8">
        <f t="shared" si="19"/>
        <v>0.3</v>
      </c>
      <c r="AM39" s="8">
        <f t="shared" si="19"/>
        <v>0.3</v>
      </c>
      <c r="AN39" s="8">
        <f t="shared" si="19"/>
        <v>0.3</v>
      </c>
      <c r="AO39" s="8">
        <f t="shared" si="19"/>
        <v>0.3</v>
      </c>
      <c r="AP39" s="8">
        <f t="shared" si="19"/>
        <v>0.3</v>
      </c>
      <c r="AR39" s="15">
        <f t="shared" si="17"/>
        <v>0.72916666666666685</v>
      </c>
      <c r="AS39" s="8">
        <f t="shared" si="10"/>
        <v>1</v>
      </c>
      <c r="AT39" s="8">
        <f t="shared" si="2"/>
        <v>1</v>
      </c>
      <c r="AU39" s="8">
        <f t="shared" si="2"/>
        <v>1</v>
      </c>
      <c r="AV39" s="8">
        <f t="shared" si="2"/>
        <v>1</v>
      </c>
      <c r="AW39" s="8">
        <f t="shared" si="2"/>
        <v>1</v>
      </c>
      <c r="AX39" s="8">
        <f t="shared" si="2"/>
        <v>1</v>
      </c>
      <c r="AY39" s="8">
        <f t="shared" si="2"/>
        <v>1</v>
      </c>
      <c r="BA39" s="15">
        <f t="shared" si="18"/>
        <v>0.72916666666666685</v>
      </c>
      <c r="BB39" s="8">
        <f t="shared" si="20"/>
        <v>0.3</v>
      </c>
      <c r="BC39" s="8">
        <f t="shared" si="20"/>
        <v>0.3</v>
      </c>
      <c r="BD39" s="8">
        <f t="shared" si="20"/>
        <v>0.3</v>
      </c>
      <c r="BE39" s="8">
        <f t="shared" si="20"/>
        <v>0.3</v>
      </c>
      <c r="BF39" s="8">
        <f t="shared" si="20"/>
        <v>0.3</v>
      </c>
      <c r="BG39" s="8">
        <f t="shared" si="20"/>
        <v>0.3</v>
      </c>
      <c r="BH39" s="8">
        <f t="shared" si="20"/>
        <v>0.3</v>
      </c>
    </row>
    <row r="40" spans="5:60" x14ac:dyDescent="0.3">
      <c r="E40" s="11">
        <f t="shared" si="12"/>
        <v>0.72916666666666685</v>
      </c>
      <c r="F40" s="8">
        <v>0.28000000000000003</v>
      </c>
      <c r="G40" s="8">
        <v>0.34</v>
      </c>
      <c r="H40" s="8">
        <v>0.3</v>
      </c>
      <c r="I40" s="8">
        <v>0.3</v>
      </c>
      <c r="J40" s="8">
        <v>0.25</v>
      </c>
      <c r="K40" s="8">
        <v>0.31</v>
      </c>
      <c r="L40" s="8">
        <v>0.32</v>
      </c>
      <c r="M40" s="8">
        <v>0.34</v>
      </c>
      <c r="N40" s="8">
        <v>0.28000000000000003</v>
      </c>
      <c r="O40" s="8">
        <v>0.26</v>
      </c>
      <c r="P40" s="8">
        <v>0.25</v>
      </c>
      <c r="Q40" s="8">
        <v>0.26</v>
      </c>
      <c r="R40" s="8">
        <v>0.27</v>
      </c>
      <c r="S40" s="8">
        <v>0.31</v>
      </c>
      <c r="T40" s="8">
        <v>0.31</v>
      </c>
      <c r="U40" s="8">
        <v>0.34</v>
      </c>
      <c r="V40" s="8">
        <v>0.35</v>
      </c>
      <c r="W40" s="8">
        <v>0.35</v>
      </c>
      <c r="X40" s="8">
        <v>0.28999999999999998</v>
      </c>
      <c r="Y40" s="8">
        <v>0.28999999999999998</v>
      </c>
      <c r="Z40" s="8">
        <v>0.26</v>
      </c>
      <c r="AA40" s="8">
        <v>0.25</v>
      </c>
      <c r="AB40" s="8">
        <v>0.35</v>
      </c>
      <c r="AC40" s="8">
        <v>0.28999999999999998</v>
      </c>
      <c r="AD40" s="8">
        <v>0.3</v>
      </c>
      <c r="AE40" s="8">
        <v>0.27</v>
      </c>
      <c r="AF40" s="8">
        <v>0.33</v>
      </c>
      <c r="AG40" s="8">
        <v>0.31</v>
      </c>
      <c r="AI40" s="15">
        <f t="shared" si="8"/>
        <v>0.75000000000000022</v>
      </c>
      <c r="AJ40" s="8">
        <f t="shared" si="19"/>
        <v>0.3</v>
      </c>
      <c r="AK40" s="8">
        <f t="shared" si="19"/>
        <v>0.3</v>
      </c>
      <c r="AL40" s="8">
        <f t="shared" si="19"/>
        <v>0.3</v>
      </c>
      <c r="AM40" s="8">
        <f t="shared" si="19"/>
        <v>0.3</v>
      </c>
      <c r="AN40" s="8">
        <f t="shared" si="19"/>
        <v>0.3</v>
      </c>
      <c r="AO40" s="8">
        <f t="shared" si="19"/>
        <v>0.3</v>
      </c>
      <c r="AP40" s="8">
        <f t="shared" si="19"/>
        <v>0.3</v>
      </c>
      <c r="AR40" s="15">
        <f t="shared" si="17"/>
        <v>0.75000000000000022</v>
      </c>
      <c r="AS40" s="8">
        <f t="shared" si="10"/>
        <v>1</v>
      </c>
      <c r="AT40" s="8">
        <f t="shared" si="2"/>
        <v>1</v>
      </c>
      <c r="AU40" s="8">
        <f t="shared" si="2"/>
        <v>1</v>
      </c>
      <c r="AV40" s="8">
        <f t="shared" si="2"/>
        <v>1</v>
      </c>
      <c r="AW40" s="8">
        <f t="shared" si="2"/>
        <v>1</v>
      </c>
      <c r="AX40" s="8">
        <f t="shared" si="2"/>
        <v>1</v>
      </c>
      <c r="AY40" s="8">
        <f t="shared" si="2"/>
        <v>1</v>
      </c>
      <c r="BA40" s="15">
        <f t="shared" si="18"/>
        <v>0.75000000000000022</v>
      </c>
      <c r="BB40" s="8">
        <f t="shared" si="20"/>
        <v>0.3</v>
      </c>
      <c r="BC40" s="8">
        <f t="shared" si="20"/>
        <v>0.3</v>
      </c>
      <c r="BD40" s="8">
        <f t="shared" si="20"/>
        <v>0.3</v>
      </c>
      <c r="BE40" s="8">
        <f t="shared" si="20"/>
        <v>0.3</v>
      </c>
      <c r="BF40" s="8">
        <f t="shared" si="20"/>
        <v>0.3</v>
      </c>
      <c r="BG40" s="8">
        <f t="shared" si="20"/>
        <v>0.3</v>
      </c>
      <c r="BH40" s="8">
        <f t="shared" si="20"/>
        <v>0.3</v>
      </c>
    </row>
    <row r="41" spans="5:60" x14ac:dyDescent="0.3">
      <c r="E41" s="11">
        <f t="shared" si="12"/>
        <v>0.75000000000000022</v>
      </c>
      <c r="F41" s="8">
        <v>0.33</v>
      </c>
      <c r="G41" s="8">
        <v>0.32</v>
      </c>
      <c r="H41" s="8">
        <v>0.34</v>
      </c>
      <c r="I41" s="8">
        <v>0.33</v>
      </c>
      <c r="J41" s="8">
        <v>0.27</v>
      </c>
      <c r="K41" s="8">
        <v>0.31</v>
      </c>
      <c r="L41" s="8">
        <v>0.34</v>
      </c>
      <c r="M41" s="8">
        <v>0.25</v>
      </c>
      <c r="N41" s="8">
        <v>0.31</v>
      </c>
      <c r="O41" s="8">
        <v>0.26</v>
      </c>
      <c r="P41" s="8">
        <v>0.28999999999999998</v>
      </c>
      <c r="Q41" s="8">
        <v>0.34</v>
      </c>
      <c r="R41" s="8">
        <v>0.25</v>
      </c>
      <c r="S41" s="8">
        <v>0.28999999999999998</v>
      </c>
      <c r="T41" s="8">
        <v>0.28999999999999998</v>
      </c>
      <c r="U41" s="8">
        <v>0.25</v>
      </c>
      <c r="V41" s="8">
        <v>0.31</v>
      </c>
      <c r="W41" s="8">
        <v>0.25</v>
      </c>
      <c r="X41" s="8">
        <v>0.25</v>
      </c>
      <c r="Y41" s="8">
        <v>0.28000000000000003</v>
      </c>
      <c r="Z41" s="8">
        <v>0.32</v>
      </c>
      <c r="AA41" s="8">
        <v>0.25</v>
      </c>
      <c r="AB41" s="8">
        <v>0.31</v>
      </c>
      <c r="AC41" s="8">
        <v>0.31</v>
      </c>
      <c r="AD41" s="8">
        <v>0.32</v>
      </c>
      <c r="AE41" s="8">
        <v>0.28000000000000003</v>
      </c>
      <c r="AF41" s="8">
        <v>0.35</v>
      </c>
      <c r="AG41" s="8">
        <v>0.34</v>
      </c>
      <c r="AI41" s="15">
        <f t="shared" si="8"/>
        <v>0.77083333333333359</v>
      </c>
      <c r="AJ41" s="8">
        <f t="shared" si="19"/>
        <v>0.3</v>
      </c>
      <c r="AK41" s="8">
        <f t="shared" si="19"/>
        <v>0.3</v>
      </c>
      <c r="AL41" s="8">
        <f t="shared" si="19"/>
        <v>0.3</v>
      </c>
      <c r="AM41" s="8">
        <f t="shared" si="19"/>
        <v>0.3</v>
      </c>
      <c r="AN41" s="8">
        <f t="shared" si="19"/>
        <v>0.3</v>
      </c>
      <c r="AO41" s="8">
        <f t="shared" si="19"/>
        <v>0.3</v>
      </c>
      <c r="AP41" s="8">
        <f t="shared" si="19"/>
        <v>0.3</v>
      </c>
      <c r="AR41" s="15">
        <f t="shared" si="17"/>
        <v>0.77083333333333359</v>
      </c>
      <c r="AS41" s="8">
        <f t="shared" si="10"/>
        <v>1</v>
      </c>
      <c r="AT41" s="8">
        <f t="shared" si="2"/>
        <v>1</v>
      </c>
      <c r="AU41" s="8">
        <f t="shared" si="2"/>
        <v>1</v>
      </c>
      <c r="AV41" s="8">
        <f t="shared" si="2"/>
        <v>1</v>
      </c>
      <c r="AW41" s="8">
        <f t="shared" si="2"/>
        <v>1</v>
      </c>
      <c r="AX41" s="8">
        <f t="shared" si="2"/>
        <v>1</v>
      </c>
      <c r="AY41" s="8">
        <f t="shared" si="2"/>
        <v>1</v>
      </c>
      <c r="BA41" s="15">
        <f t="shared" si="18"/>
        <v>0.77083333333333359</v>
      </c>
      <c r="BB41" s="8">
        <f t="shared" si="20"/>
        <v>0.3</v>
      </c>
      <c r="BC41" s="8">
        <f t="shared" si="20"/>
        <v>0.3</v>
      </c>
      <c r="BD41" s="8">
        <f t="shared" si="20"/>
        <v>0.3</v>
      </c>
      <c r="BE41" s="8">
        <f t="shared" si="20"/>
        <v>0.3</v>
      </c>
      <c r="BF41" s="8">
        <f t="shared" si="20"/>
        <v>0.3</v>
      </c>
      <c r="BG41" s="8">
        <f t="shared" si="20"/>
        <v>0.3</v>
      </c>
      <c r="BH41" s="8">
        <f t="shared" si="20"/>
        <v>0.3</v>
      </c>
    </row>
    <row r="42" spans="5:60" x14ac:dyDescent="0.3">
      <c r="E42" s="11">
        <f t="shared" si="12"/>
        <v>0.77083333333333359</v>
      </c>
      <c r="F42" s="8">
        <v>0.3</v>
      </c>
      <c r="G42" s="8">
        <v>0.33</v>
      </c>
      <c r="H42" s="8">
        <v>0.34</v>
      </c>
      <c r="I42" s="8">
        <v>0.27</v>
      </c>
      <c r="J42" s="8">
        <v>0.32</v>
      </c>
      <c r="K42" s="8">
        <v>0.34</v>
      </c>
      <c r="L42" s="8">
        <v>0.33</v>
      </c>
      <c r="M42" s="8">
        <v>0.28000000000000003</v>
      </c>
      <c r="N42" s="8">
        <v>0.28000000000000003</v>
      </c>
      <c r="O42" s="8">
        <v>0.34</v>
      </c>
      <c r="P42" s="8">
        <v>0.3</v>
      </c>
      <c r="Q42" s="8">
        <v>0.34</v>
      </c>
      <c r="R42" s="8">
        <v>0.33</v>
      </c>
      <c r="S42" s="8">
        <v>0.35</v>
      </c>
      <c r="T42" s="8">
        <v>0.26</v>
      </c>
      <c r="U42" s="8">
        <v>0.28000000000000003</v>
      </c>
      <c r="V42" s="8">
        <v>0.33</v>
      </c>
      <c r="W42" s="8">
        <v>0.27</v>
      </c>
      <c r="X42" s="8">
        <v>0.32</v>
      </c>
      <c r="Y42" s="8">
        <v>0.33</v>
      </c>
      <c r="Z42" s="8">
        <v>0.31</v>
      </c>
      <c r="AA42" s="8">
        <v>0.32</v>
      </c>
      <c r="AB42" s="8">
        <v>0.32</v>
      </c>
      <c r="AC42" s="8">
        <v>0.31</v>
      </c>
      <c r="AD42" s="8">
        <v>0.31</v>
      </c>
      <c r="AE42" s="8">
        <v>0.34</v>
      </c>
      <c r="AF42" s="8">
        <v>0.28000000000000003</v>
      </c>
      <c r="AG42" s="8">
        <v>0.35</v>
      </c>
      <c r="AI42" s="15">
        <f t="shared" si="8"/>
        <v>0.79166666666666696</v>
      </c>
      <c r="AJ42" s="8">
        <f t="shared" si="19"/>
        <v>0.3</v>
      </c>
      <c r="AK42" s="8">
        <f t="shared" si="19"/>
        <v>0.3</v>
      </c>
      <c r="AL42" s="8">
        <f t="shared" si="19"/>
        <v>0.3</v>
      </c>
      <c r="AM42" s="8">
        <f t="shared" si="19"/>
        <v>0.3</v>
      </c>
      <c r="AN42" s="8">
        <f t="shared" si="19"/>
        <v>0.3</v>
      </c>
      <c r="AO42" s="8">
        <f t="shared" si="19"/>
        <v>0.3</v>
      </c>
      <c r="AP42" s="8">
        <f t="shared" si="19"/>
        <v>0.3</v>
      </c>
      <c r="AR42" s="15">
        <f t="shared" si="17"/>
        <v>0.79166666666666696</v>
      </c>
      <c r="AS42" s="8">
        <f t="shared" si="10"/>
        <v>1</v>
      </c>
      <c r="AT42" s="8">
        <f t="shared" si="2"/>
        <v>1</v>
      </c>
      <c r="AU42" s="8">
        <f t="shared" si="2"/>
        <v>1</v>
      </c>
      <c r="AV42" s="8">
        <f t="shared" si="2"/>
        <v>1</v>
      </c>
      <c r="AW42" s="8">
        <f t="shared" si="2"/>
        <v>1</v>
      </c>
      <c r="AX42" s="8">
        <f t="shared" si="2"/>
        <v>1</v>
      </c>
      <c r="AY42" s="8">
        <f t="shared" si="2"/>
        <v>1</v>
      </c>
      <c r="BA42" s="15">
        <f t="shared" si="18"/>
        <v>0.79166666666666696</v>
      </c>
      <c r="BB42" s="8">
        <f t="shared" si="20"/>
        <v>0.3</v>
      </c>
      <c r="BC42" s="8">
        <f t="shared" si="20"/>
        <v>0.3</v>
      </c>
      <c r="BD42" s="8">
        <f t="shared" si="20"/>
        <v>0.3</v>
      </c>
      <c r="BE42" s="8">
        <f t="shared" si="20"/>
        <v>0.3</v>
      </c>
      <c r="BF42" s="8">
        <f t="shared" si="20"/>
        <v>0.3</v>
      </c>
      <c r="BG42" s="8">
        <f t="shared" si="20"/>
        <v>0.3</v>
      </c>
      <c r="BH42" s="8">
        <f t="shared" si="20"/>
        <v>0.3</v>
      </c>
    </row>
    <row r="43" spans="5:60" x14ac:dyDescent="0.3">
      <c r="E43" s="11">
        <f t="shared" si="12"/>
        <v>0.79166666666666696</v>
      </c>
      <c r="F43" s="8">
        <v>0.35</v>
      </c>
      <c r="G43" s="8">
        <v>0.3</v>
      </c>
      <c r="H43" s="8">
        <v>0.27</v>
      </c>
      <c r="I43" s="8">
        <v>0.25</v>
      </c>
      <c r="J43" s="8">
        <v>0.3</v>
      </c>
      <c r="K43" s="8">
        <v>0.33</v>
      </c>
      <c r="L43" s="8">
        <v>0.32</v>
      </c>
      <c r="M43" s="8">
        <v>0.33</v>
      </c>
      <c r="N43" s="8">
        <v>0.33</v>
      </c>
      <c r="O43" s="8">
        <v>0.26</v>
      </c>
      <c r="P43" s="8">
        <v>0.27</v>
      </c>
      <c r="Q43" s="8">
        <v>0.32</v>
      </c>
      <c r="R43" s="8">
        <v>0.35</v>
      </c>
      <c r="S43" s="8">
        <v>0.28999999999999998</v>
      </c>
      <c r="T43" s="8">
        <v>0.25</v>
      </c>
      <c r="U43" s="8">
        <v>0.28999999999999998</v>
      </c>
      <c r="V43" s="8">
        <v>0.25</v>
      </c>
      <c r="W43" s="8">
        <v>0.3</v>
      </c>
      <c r="X43" s="8">
        <v>0.28999999999999998</v>
      </c>
      <c r="Y43" s="8">
        <v>0.25</v>
      </c>
      <c r="Z43" s="8">
        <v>0.27</v>
      </c>
      <c r="AA43" s="8">
        <v>0.27</v>
      </c>
      <c r="AB43" s="8">
        <v>0.26</v>
      </c>
      <c r="AC43" s="8">
        <v>0.3</v>
      </c>
      <c r="AD43" s="8">
        <v>0.27</v>
      </c>
      <c r="AE43" s="8">
        <v>0.35</v>
      </c>
      <c r="AF43" s="8">
        <v>0.32</v>
      </c>
      <c r="AG43" s="8">
        <v>0.31</v>
      </c>
      <c r="AI43" s="15">
        <f t="shared" si="8"/>
        <v>0.81250000000000033</v>
      </c>
      <c r="AJ43" s="8">
        <f t="shared" si="19"/>
        <v>0.3</v>
      </c>
      <c r="AK43" s="8">
        <f t="shared" si="19"/>
        <v>0.3</v>
      </c>
      <c r="AL43" s="8">
        <f t="shared" si="19"/>
        <v>0.3</v>
      </c>
      <c r="AM43" s="8">
        <f t="shared" si="19"/>
        <v>0.3</v>
      </c>
      <c r="AN43" s="8">
        <f t="shared" si="19"/>
        <v>0.3</v>
      </c>
      <c r="AO43" s="8">
        <f t="shared" si="19"/>
        <v>0.3</v>
      </c>
      <c r="AP43" s="8">
        <f t="shared" si="19"/>
        <v>0.3</v>
      </c>
      <c r="AR43" s="15">
        <f t="shared" si="17"/>
        <v>0.81250000000000033</v>
      </c>
      <c r="AS43" s="8">
        <f t="shared" si="10"/>
        <v>1</v>
      </c>
      <c r="AT43" s="8">
        <f t="shared" si="2"/>
        <v>1</v>
      </c>
      <c r="AU43" s="8">
        <f t="shared" si="2"/>
        <v>1</v>
      </c>
      <c r="AV43" s="8">
        <f t="shared" si="2"/>
        <v>1</v>
      </c>
      <c r="AW43" s="8">
        <f t="shared" si="2"/>
        <v>1</v>
      </c>
      <c r="AX43" s="8">
        <f t="shared" si="2"/>
        <v>1</v>
      </c>
      <c r="AY43" s="8">
        <f t="shared" si="2"/>
        <v>1</v>
      </c>
      <c r="BA43" s="15">
        <f t="shared" si="18"/>
        <v>0.81250000000000033</v>
      </c>
      <c r="BB43" s="8">
        <f t="shared" si="20"/>
        <v>0.3</v>
      </c>
      <c r="BC43" s="8">
        <f t="shared" si="20"/>
        <v>0.3</v>
      </c>
      <c r="BD43" s="8">
        <f t="shared" si="20"/>
        <v>0.3</v>
      </c>
      <c r="BE43" s="8">
        <f t="shared" si="20"/>
        <v>0.3</v>
      </c>
      <c r="BF43" s="8">
        <f t="shared" si="20"/>
        <v>0.3</v>
      </c>
      <c r="BG43" s="8">
        <f t="shared" si="20"/>
        <v>0.3</v>
      </c>
      <c r="BH43" s="8">
        <f t="shared" si="20"/>
        <v>0.3</v>
      </c>
    </row>
    <row r="44" spans="5:60" x14ac:dyDescent="0.3">
      <c r="E44" s="11">
        <f t="shared" si="12"/>
        <v>0.81250000000000033</v>
      </c>
      <c r="F44" s="8">
        <v>0.28999999999999998</v>
      </c>
      <c r="G44" s="8">
        <v>0.3</v>
      </c>
      <c r="H44" s="8">
        <v>0.33</v>
      </c>
      <c r="I44" s="8">
        <v>0.35</v>
      </c>
      <c r="J44" s="8">
        <v>0.34</v>
      </c>
      <c r="K44" s="8">
        <v>0.35</v>
      </c>
      <c r="L44" s="8">
        <v>0.28999999999999998</v>
      </c>
      <c r="M44" s="8">
        <v>0.35</v>
      </c>
      <c r="N44" s="8">
        <v>0.34</v>
      </c>
      <c r="O44" s="8">
        <v>0.25</v>
      </c>
      <c r="P44" s="8">
        <v>0.25</v>
      </c>
      <c r="Q44" s="8">
        <v>0.26</v>
      </c>
      <c r="R44" s="8">
        <v>0.3</v>
      </c>
      <c r="S44" s="8">
        <v>0.3</v>
      </c>
      <c r="T44" s="8">
        <v>0.27</v>
      </c>
      <c r="U44" s="8">
        <v>0.31</v>
      </c>
      <c r="V44" s="8">
        <v>0.26</v>
      </c>
      <c r="W44" s="8">
        <v>0.3</v>
      </c>
      <c r="X44" s="8">
        <v>0.35</v>
      </c>
      <c r="Y44" s="8">
        <v>0.3</v>
      </c>
      <c r="Z44" s="8">
        <v>0.26</v>
      </c>
      <c r="AA44" s="8">
        <v>0.27</v>
      </c>
      <c r="AB44" s="8">
        <v>0.32</v>
      </c>
      <c r="AC44" s="8">
        <v>0.33</v>
      </c>
      <c r="AD44" s="8">
        <v>0.27</v>
      </c>
      <c r="AE44" s="8">
        <v>0.27</v>
      </c>
      <c r="AF44" s="8">
        <v>0.3</v>
      </c>
      <c r="AG44" s="8">
        <v>0.28000000000000003</v>
      </c>
      <c r="AI44" s="15">
        <f t="shared" si="8"/>
        <v>0.8333333333333337</v>
      </c>
      <c r="AJ44" s="8">
        <f t="shared" si="19"/>
        <v>0.3</v>
      </c>
      <c r="AK44" s="8">
        <f t="shared" si="19"/>
        <v>0.3</v>
      </c>
      <c r="AL44" s="8">
        <f t="shared" si="19"/>
        <v>0.3</v>
      </c>
      <c r="AM44" s="8">
        <f t="shared" si="19"/>
        <v>0.3</v>
      </c>
      <c r="AN44" s="8">
        <f t="shared" si="19"/>
        <v>0.3</v>
      </c>
      <c r="AO44" s="8">
        <f t="shared" si="19"/>
        <v>0.3</v>
      </c>
      <c r="AP44" s="8">
        <f t="shared" si="19"/>
        <v>0.3</v>
      </c>
      <c r="AR44" s="15">
        <f t="shared" si="17"/>
        <v>0.8333333333333337</v>
      </c>
      <c r="AS44" s="8">
        <f t="shared" si="10"/>
        <v>1</v>
      </c>
      <c r="AT44" s="8">
        <f t="shared" si="2"/>
        <v>1</v>
      </c>
      <c r="AU44" s="8">
        <f t="shared" si="2"/>
        <v>1</v>
      </c>
      <c r="AV44" s="8">
        <f t="shared" si="2"/>
        <v>1</v>
      </c>
      <c r="AW44" s="8">
        <f t="shared" si="2"/>
        <v>1</v>
      </c>
      <c r="AX44" s="8">
        <f t="shared" si="2"/>
        <v>1</v>
      </c>
      <c r="AY44" s="8">
        <f t="shared" si="2"/>
        <v>1</v>
      </c>
      <c r="BA44" s="15">
        <f t="shared" si="18"/>
        <v>0.8333333333333337</v>
      </c>
      <c r="BB44" s="8">
        <f t="shared" si="20"/>
        <v>0.3</v>
      </c>
      <c r="BC44" s="8">
        <f t="shared" si="20"/>
        <v>0.3</v>
      </c>
      <c r="BD44" s="8">
        <f t="shared" si="20"/>
        <v>0.3</v>
      </c>
      <c r="BE44" s="8">
        <f t="shared" si="20"/>
        <v>0.3</v>
      </c>
      <c r="BF44" s="8">
        <f t="shared" si="20"/>
        <v>0.3</v>
      </c>
      <c r="BG44" s="8">
        <f t="shared" si="20"/>
        <v>0.3</v>
      </c>
      <c r="BH44" s="8">
        <f t="shared" si="20"/>
        <v>0.3</v>
      </c>
    </row>
    <row r="45" spans="5:60" x14ac:dyDescent="0.3">
      <c r="E45" s="11">
        <f t="shared" si="12"/>
        <v>0.8333333333333337</v>
      </c>
      <c r="F45" s="8">
        <v>0.32</v>
      </c>
      <c r="G45" s="8">
        <v>0.33</v>
      </c>
      <c r="H45" s="8">
        <v>0.34</v>
      </c>
      <c r="I45" s="8">
        <v>0.31</v>
      </c>
      <c r="J45" s="8">
        <v>0.33</v>
      </c>
      <c r="K45" s="8">
        <v>0.31</v>
      </c>
      <c r="L45" s="8">
        <v>0.33</v>
      </c>
      <c r="M45" s="8">
        <v>0.3</v>
      </c>
      <c r="N45" s="8">
        <v>0.31</v>
      </c>
      <c r="O45" s="8">
        <v>0.34</v>
      </c>
      <c r="P45" s="8">
        <v>0.34</v>
      </c>
      <c r="Q45" s="8">
        <v>0.3</v>
      </c>
      <c r="R45" s="8">
        <v>0.26</v>
      </c>
      <c r="S45" s="8">
        <v>0.26</v>
      </c>
      <c r="T45" s="8">
        <v>0.26</v>
      </c>
      <c r="U45" s="8">
        <v>0.3</v>
      </c>
      <c r="V45" s="8">
        <v>0.28999999999999998</v>
      </c>
      <c r="W45" s="8">
        <v>0.32</v>
      </c>
      <c r="X45" s="8">
        <v>0.26</v>
      </c>
      <c r="Y45" s="8">
        <v>0.25</v>
      </c>
      <c r="Z45" s="8">
        <v>0.26</v>
      </c>
      <c r="AA45" s="8">
        <v>0.28000000000000003</v>
      </c>
      <c r="AB45" s="8">
        <v>0.28999999999999998</v>
      </c>
      <c r="AC45" s="8">
        <v>0.26</v>
      </c>
      <c r="AD45" s="8">
        <v>0.3</v>
      </c>
      <c r="AE45" s="8">
        <v>0.3</v>
      </c>
      <c r="AF45" s="8">
        <v>0.3</v>
      </c>
      <c r="AG45" s="8">
        <v>0.34</v>
      </c>
      <c r="AI45" s="15">
        <f t="shared" si="8"/>
        <v>0.85416666666666707</v>
      </c>
      <c r="AJ45" s="8">
        <f t="shared" si="19"/>
        <v>0.3</v>
      </c>
      <c r="AK45" s="8">
        <f t="shared" si="19"/>
        <v>0.3</v>
      </c>
      <c r="AL45" s="8">
        <f t="shared" si="19"/>
        <v>0.3</v>
      </c>
      <c r="AM45" s="8">
        <f t="shared" si="19"/>
        <v>0.3</v>
      </c>
      <c r="AN45" s="8">
        <f t="shared" si="19"/>
        <v>0.3</v>
      </c>
      <c r="AO45" s="8">
        <f t="shared" si="19"/>
        <v>0.3</v>
      </c>
      <c r="AP45" s="8">
        <f t="shared" si="19"/>
        <v>0.3</v>
      </c>
      <c r="AR45" s="15">
        <f t="shared" si="17"/>
        <v>0.85416666666666707</v>
      </c>
      <c r="AS45" s="8">
        <f t="shared" si="10"/>
        <v>1</v>
      </c>
      <c r="AT45" s="8">
        <f t="shared" si="2"/>
        <v>1</v>
      </c>
      <c r="AU45" s="8">
        <f t="shared" si="2"/>
        <v>1</v>
      </c>
      <c r="AV45" s="8">
        <f t="shared" si="2"/>
        <v>1</v>
      </c>
      <c r="AW45" s="8">
        <f t="shared" si="2"/>
        <v>1</v>
      </c>
      <c r="AX45" s="8">
        <f t="shared" si="2"/>
        <v>1</v>
      </c>
      <c r="AY45" s="8">
        <f t="shared" si="2"/>
        <v>1</v>
      </c>
      <c r="BA45" s="15">
        <f t="shared" si="18"/>
        <v>0.85416666666666707</v>
      </c>
      <c r="BB45" s="8">
        <f t="shared" si="20"/>
        <v>0.3</v>
      </c>
      <c r="BC45" s="8">
        <f t="shared" si="20"/>
        <v>0.3</v>
      </c>
      <c r="BD45" s="8">
        <f t="shared" si="20"/>
        <v>0.3</v>
      </c>
      <c r="BE45" s="8">
        <f t="shared" si="20"/>
        <v>0.3</v>
      </c>
      <c r="BF45" s="8">
        <f t="shared" si="20"/>
        <v>0.3</v>
      </c>
      <c r="BG45" s="8">
        <f t="shared" si="20"/>
        <v>0.3</v>
      </c>
      <c r="BH45" s="8">
        <f t="shared" si="20"/>
        <v>0.3</v>
      </c>
    </row>
    <row r="46" spans="5:60" x14ac:dyDescent="0.3">
      <c r="E46" s="11">
        <f t="shared" si="12"/>
        <v>0.85416666666666707</v>
      </c>
      <c r="F46" s="8">
        <v>0.26</v>
      </c>
      <c r="G46" s="8">
        <v>0.26</v>
      </c>
      <c r="H46" s="8">
        <v>0.26</v>
      </c>
      <c r="I46" s="8">
        <v>0.28999999999999998</v>
      </c>
      <c r="J46" s="8">
        <v>0.31</v>
      </c>
      <c r="K46" s="8">
        <v>0.34</v>
      </c>
      <c r="L46" s="8">
        <v>0.34</v>
      </c>
      <c r="M46" s="8">
        <v>0.32</v>
      </c>
      <c r="N46" s="8">
        <v>0.27</v>
      </c>
      <c r="O46" s="8">
        <v>0.26</v>
      </c>
      <c r="P46" s="8">
        <v>0.3</v>
      </c>
      <c r="Q46" s="8">
        <v>0.33</v>
      </c>
      <c r="R46" s="8">
        <v>0.31</v>
      </c>
      <c r="S46" s="8">
        <v>0.26</v>
      </c>
      <c r="T46" s="8">
        <v>0.32</v>
      </c>
      <c r="U46" s="8">
        <v>0.35</v>
      </c>
      <c r="V46" s="8">
        <v>0.26</v>
      </c>
      <c r="W46" s="8">
        <v>0.3</v>
      </c>
      <c r="X46" s="8">
        <v>0.28000000000000003</v>
      </c>
      <c r="Y46" s="8">
        <v>0.34</v>
      </c>
      <c r="Z46" s="8">
        <v>0.33</v>
      </c>
      <c r="AA46" s="8">
        <v>0.28000000000000003</v>
      </c>
      <c r="AB46" s="8">
        <v>0.3</v>
      </c>
      <c r="AC46" s="8">
        <v>0.31</v>
      </c>
      <c r="AD46" s="8">
        <v>0.28000000000000003</v>
      </c>
      <c r="AE46" s="8">
        <v>0.33</v>
      </c>
      <c r="AF46" s="8">
        <v>0.27</v>
      </c>
      <c r="AG46" s="8">
        <v>0.3</v>
      </c>
      <c r="AI46" s="15">
        <f t="shared" si="8"/>
        <v>0.87500000000000044</v>
      </c>
      <c r="AJ46" s="8">
        <f t="shared" si="19"/>
        <v>0.3</v>
      </c>
      <c r="AK46" s="8">
        <f t="shared" si="19"/>
        <v>0.3</v>
      </c>
      <c r="AL46" s="8">
        <f t="shared" si="19"/>
        <v>0.3</v>
      </c>
      <c r="AM46" s="8">
        <f t="shared" si="19"/>
        <v>0.3</v>
      </c>
      <c r="AN46" s="8">
        <f t="shared" si="19"/>
        <v>0.3</v>
      </c>
      <c r="AO46" s="8">
        <f t="shared" si="19"/>
        <v>0.3</v>
      </c>
      <c r="AP46" s="8">
        <f t="shared" si="19"/>
        <v>0.3</v>
      </c>
      <c r="AR46" s="15">
        <f t="shared" si="17"/>
        <v>0.87500000000000044</v>
      </c>
      <c r="AS46" s="8">
        <f t="shared" si="10"/>
        <v>1</v>
      </c>
      <c r="AT46" s="8">
        <f t="shared" si="2"/>
        <v>1</v>
      </c>
      <c r="AU46" s="8">
        <f t="shared" si="2"/>
        <v>1</v>
      </c>
      <c r="AV46" s="8">
        <f t="shared" si="2"/>
        <v>1</v>
      </c>
      <c r="AW46" s="8">
        <f t="shared" ref="AW46:AY51" si="21">AN46/AN$52</f>
        <v>1</v>
      </c>
      <c r="AX46" s="8">
        <f t="shared" si="21"/>
        <v>1</v>
      </c>
      <c r="AY46" s="8">
        <f t="shared" si="21"/>
        <v>1</v>
      </c>
      <c r="BA46" s="15">
        <f t="shared" si="18"/>
        <v>0.87500000000000044</v>
      </c>
      <c r="BB46" s="8">
        <f t="shared" si="20"/>
        <v>0.3</v>
      </c>
      <c r="BC46" s="8">
        <f t="shared" si="20"/>
        <v>0.3</v>
      </c>
      <c r="BD46" s="8">
        <f t="shared" si="20"/>
        <v>0.3</v>
      </c>
      <c r="BE46" s="8">
        <f t="shared" si="20"/>
        <v>0.3</v>
      </c>
      <c r="BF46" s="8">
        <f t="shared" si="20"/>
        <v>0.3</v>
      </c>
      <c r="BG46" s="8">
        <f t="shared" si="20"/>
        <v>0.3</v>
      </c>
      <c r="BH46" s="8">
        <f t="shared" si="20"/>
        <v>0.3</v>
      </c>
    </row>
    <row r="47" spans="5:60" x14ac:dyDescent="0.3">
      <c r="E47" s="11">
        <f t="shared" si="12"/>
        <v>0.87500000000000044</v>
      </c>
      <c r="F47" s="8">
        <v>0.27</v>
      </c>
      <c r="G47" s="8">
        <v>0.33</v>
      </c>
      <c r="H47" s="8">
        <v>0.33</v>
      </c>
      <c r="I47" s="8">
        <v>0.34</v>
      </c>
      <c r="J47" s="8">
        <v>0.35</v>
      </c>
      <c r="K47" s="8">
        <v>0.28000000000000003</v>
      </c>
      <c r="L47" s="8">
        <v>0.34</v>
      </c>
      <c r="M47" s="8">
        <v>0.3</v>
      </c>
      <c r="N47" s="8">
        <v>0.35</v>
      </c>
      <c r="O47" s="8">
        <v>0.27</v>
      </c>
      <c r="P47" s="8">
        <v>0.3</v>
      </c>
      <c r="Q47" s="8">
        <v>0.31</v>
      </c>
      <c r="R47" s="8">
        <v>0.26</v>
      </c>
      <c r="S47" s="8">
        <v>0.34</v>
      </c>
      <c r="T47" s="8">
        <v>0.28000000000000003</v>
      </c>
      <c r="U47" s="8">
        <v>0.25</v>
      </c>
      <c r="V47" s="8">
        <v>0.34</v>
      </c>
      <c r="W47" s="8">
        <v>0.3</v>
      </c>
      <c r="X47" s="8">
        <v>0.25</v>
      </c>
      <c r="Y47" s="8">
        <v>0.28000000000000003</v>
      </c>
      <c r="Z47" s="8">
        <v>0.32</v>
      </c>
      <c r="AA47" s="8">
        <v>0.33</v>
      </c>
      <c r="AB47" s="8">
        <v>0.3</v>
      </c>
      <c r="AC47" s="8">
        <v>0.28999999999999998</v>
      </c>
      <c r="AD47" s="8">
        <v>0.35</v>
      </c>
      <c r="AE47" s="8">
        <v>0.25</v>
      </c>
      <c r="AF47" s="8">
        <v>0.35</v>
      </c>
      <c r="AG47" s="8">
        <v>0.35</v>
      </c>
      <c r="AI47" s="15">
        <f t="shared" si="8"/>
        <v>0.89583333333333381</v>
      </c>
      <c r="AJ47" s="8">
        <f t="shared" si="19"/>
        <v>0.3</v>
      </c>
      <c r="AK47" s="8">
        <f t="shared" si="19"/>
        <v>0.3</v>
      </c>
      <c r="AL47" s="8">
        <f t="shared" si="19"/>
        <v>0.3</v>
      </c>
      <c r="AM47" s="8">
        <f t="shared" si="19"/>
        <v>0.3</v>
      </c>
      <c r="AN47" s="8">
        <f t="shared" si="19"/>
        <v>0.3</v>
      </c>
      <c r="AO47" s="8">
        <f t="shared" si="19"/>
        <v>0.3</v>
      </c>
      <c r="AP47" s="8">
        <f t="shared" si="19"/>
        <v>0.3</v>
      </c>
      <c r="AR47" s="15">
        <f t="shared" si="17"/>
        <v>0.89583333333333381</v>
      </c>
      <c r="AS47" s="8">
        <f t="shared" si="10"/>
        <v>1</v>
      </c>
      <c r="AT47" s="8">
        <f t="shared" si="10"/>
        <v>1</v>
      </c>
      <c r="AU47" s="8">
        <f t="shared" si="10"/>
        <v>1</v>
      </c>
      <c r="AV47" s="8">
        <f t="shared" si="10"/>
        <v>1</v>
      </c>
      <c r="AW47" s="8">
        <f t="shared" si="21"/>
        <v>1</v>
      </c>
      <c r="AX47" s="8">
        <f t="shared" si="21"/>
        <v>1</v>
      </c>
      <c r="AY47" s="8">
        <f t="shared" si="21"/>
        <v>1</v>
      </c>
      <c r="BA47" s="15">
        <f t="shared" si="18"/>
        <v>0.89583333333333381</v>
      </c>
      <c r="BB47" s="8">
        <f t="shared" si="20"/>
        <v>0.3</v>
      </c>
      <c r="BC47" s="8">
        <f t="shared" si="20"/>
        <v>0.3</v>
      </c>
      <c r="BD47" s="8">
        <f t="shared" si="20"/>
        <v>0.3</v>
      </c>
      <c r="BE47" s="8">
        <f t="shared" si="20"/>
        <v>0.3</v>
      </c>
      <c r="BF47" s="8">
        <f t="shared" si="20"/>
        <v>0.3</v>
      </c>
      <c r="BG47" s="8">
        <f t="shared" si="20"/>
        <v>0.3</v>
      </c>
      <c r="BH47" s="8">
        <f t="shared" si="20"/>
        <v>0.3</v>
      </c>
    </row>
    <row r="48" spans="5:60" x14ac:dyDescent="0.3">
      <c r="E48" s="11">
        <f t="shared" si="12"/>
        <v>0.89583333333333381</v>
      </c>
      <c r="F48" s="8">
        <v>0.27</v>
      </c>
      <c r="G48" s="8">
        <v>0.32</v>
      </c>
      <c r="H48" s="8">
        <v>0.32</v>
      </c>
      <c r="I48" s="8">
        <v>0.27</v>
      </c>
      <c r="J48" s="8">
        <v>0.27</v>
      </c>
      <c r="K48" s="8">
        <v>0.25</v>
      </c>
      <c r="L48" s="8">
        <v>0.31</v>
      </c>
      <c r="M48" s="8">
        <v>0.28999999999999998</v>
      </c>
      <c r="N48" s="8">
        <v>0.32</v>
      </c>
      <c r="O48" s="8">
        <v>0.31</v>
      </c>
      <c r="P48" s="8">
        <v>0.34</v>
      </c>
      <c r="Q48" s="8">
        <v>0.28999999999999998</v>
      </c>
      <c r="R48" s="8">
        <v>0.26</v>
      </c>
      <c r="S48" s="8">
        <v>0.26</v>
      </c>
      <c r="T48" s="8">
        <v>0.32</v>
      </c>
      <c r="U48" s="8">
        <v>0.28999999999999998</v>
      </c>
      <c r="V48" s="8">
        <v>0.25</v>
      </c>
      <c r="W48" s="8">
        <v>0.32</v>
      </c>
      <c r="X48" s="8">
        <v>0.26</v>
      </c>
      <c r="Y48" s="8">
        <v>0.28999999999999998</v>
      </c>
      <c r="Z48" s="8">
        <v>0.3</v>
      </c>
      <c r="AA48" s="8">
        <v>0.35</v>
      </c>
      <c r="AB48" s="8">
        <v>0.3</v>
      </c>
      <c r="AC48" s="8">
        <v>0.34</v>
      </c>
      <c r="AD48" s="8">
        <v>0.34</v>
      </c>
      <c r="AE48" s="8">
        <v>0.33</v>
      </c>
      <c r="AF48" s="8">
        <v>0.34</v>
      </c>
      <c r="AG48" s="8">
        <v>0.35</v>
      </c>
      <c r="AI48" s="15">
        <f t="shared" si="8"/>
        <v>0.91666666666666718</v>
      </c>
      <c r="AJ48" s="8">
        <f t="shared" si="19"/>
        <v>0.3</v>
      </c>
      <c r="AK48" s="8">
        <f t="shared" si="19"/>
        <v>0.3</v>
      </c>
      <c r="AL48" s="8">
        <f t="shared" si="19"/>
        <v>0.3</v>
      </c>
      <c r="AM48" s="8">
        <f t="shared" si="19"/>
        <v>0.3</v>
      </c>
      <c r="AN48" s="8">
        <f t="shared" si="19"/>
        <v>0.3</v>
      </c>
      <c r="AO48" s="8">
        <f t="shared" si="19"/>
        <v>0.3</v>
      </c>
      <c r="AP48" s="8">
        <f t="shared" si="19"/>
        <v>0.3</v>
      </c>
      <c r="AR48" s="15">
        <f t="shared" si="17"/>
        <v>0.91666666666666718</v>
      </c>
      <c r="AS48" s="8">
        <f t="shared" si="10"/>
        <v>1</v>
      </c>
      <c r="AT48" s="8">
        <f t="shared" si="10"/>
        <v>1</v>
      </c>
      <c r="AU48" s="8">
        <f t="shared" si="10"/>
        <v>1</v>
      </c>
      <c r="AV48" s="8">
        <f t="shared" si="10"/>
        <v>1</v>
      </c>
      <c r="AW48" s="8">
        <f t="shared" si="21"/>
        <v>1</v>
      </c>
      <c r="AX48" s="8">
        <f t="shared" si="21"/>
        <v>1</v>
      </c>
      <c r="AY48" s="8">
        <f t="shared" si="21"/>
        <v>1</v>
      </c>
      <c r="BA48" s="15">
        <f t="shared" si="18"/>
        <v>0.91666666666666718</v>
      </c>
      <c r="BB48" s="8">
        <f t="shared" si="20"/>
        <v>0.3</v>
      </c>
      <c r="BC48" s="8">
        <f t="shared" si="20"/>
        <v>0.3</v>
      </c>
      <c r="BD48" s="8">
        <f t="shared" si="20"/>
        <v>0.3</v>
      </c>
      <c r="BE48" s="8">
        <f t="shared" si="20"/>
        <v>0.3</v>
      </c>
      <c r="BF48" s="8">
        <f t="shared" si="20"/>
        <v>0.3</v>
      </c>
      <c r="BG48" s="8">
        <f t="shared" si="20"/>
        <v>0.3</v>
      </c>
      <c r="BH48" s="8">
        <f t="shared" si="20"/>
        <v>0.3</v>
      </c>
    </row>
    <row r="49" spans="5:60" x14ac:dyDescent="0.3">
      <c r="E49" s="11">
        <f t="shared" si="12"/>
        <v>0.91666666666666718</v>
      </c>
      <c r="F49" s="8">
        <v>0.26</v>
      </c>
      <c r="G49" s="8">
        <v>0.34</v>
      </c>
      <c r="H49" s="8">
        <v>0.27</v>
      </c>
      <c r="I49" s="8">
        <v>0.3</v>
      </c>
      <c r="J49" s="8">
        <v>0.35</v>
      </c>
      <c r="K49" s="8">
        <v>0.28999999999999998</v>
      </c>
      <c r="L49" s="8">
        <v>0.28999999999999998</v>
      </c>
      <c r="M49" s="8">
        <v>0.27</v>
      </c>
      <c r="N49" s="8">
        <v>0.31</v>
      </c>
      <c r="O49" s="8">
        <v>0.26</v>
      </c>
      <c r="P49" s="8">
        <v>0.33</v>
      </c>
      <c r="Q49" s="8">
        <v>0.33</v>
      </c>
      <c r="R49" s="8">
        <v>0.26</v>
      </c>
      <c r="S49" s="8">
        <v>0.28999999999999998</v>
      </c>
      <c r="T49" s="8">
        <v>0.35</v>
      </c>
      <c r="U49" s="8">
        <v>0.27</v>
      </c>
      <c r="V49" s="8">
        <v>0.27</v>
      </c>
      <c r="W49" s="8">
        <v>0.27</v>
      </c>
      <c r="X49" s="8">
        <v>0.32</v>
      </c>
      <c r="Y49" s="8">
        <v>0.33</v>
      </c>
      <c r="Z49" s="8">
        <v>0.27</v>
      </c>
      <c r="AA49" s="8">
        <v>0.28000000000000003</v>
      </c>
      <c r="AB49" s="8">
        <v>0.28999999999999998</v>
      </c>
      <c r="AC49" s="8">
        <v>0.26</v>
      </c>
      <c r="AD49" s="8">
        <v>0.35</v>
      </c>
      <c r="AE49" s="8">
        <v>0.3</v>
      </c>
      <c r="AF49" s="8">
        <v>0.33</v>
      </c>
      <c r="AG49" s="8">
        <v>0.34</v>
      </c>
      <c r="AI49" s="15">
        <f t="shared" si="8"/>
        <v>0.93750000000000056</v>
      </c>
      <c r="AJ49" s="8">
        <f t="shared" si="19"/>
        <v>0.3</v>
      </c>
      <c r="AK49" s="8">
        <f t="shared" si="19"/>
        <v>0.3</v>
      </c>
      <c r="AL49" s="8">
        <f t="shared" si="19"/>
        <v>0.3</v>
      </c>
      <c r="AM49" s="8">
        <f t="shared" si="19"/>
        <v>0.3</v>
      </c>
      <c r="AN49" s="8">
        <f t="shared" si="19"/>
        <v>0.3</v>
      </c>
      <c r="AO49" s="8">
        <f t="shared" si="19"/>
        <v>0.3</v>
      </c>
      <c r="AP49" s="8">
        <f t="shared" si="19"/>
        <v>0.3</v>
      </c>
      <c r="AR49" s="15">
        <f t="shared" si="17"/>
        <v>0.93750000000000056</v>
      </c>
      <c r="AS49" s="8">
        <f t="shared" si="10"/>
        <v>1</v>
      </c>
      <c r="AT49" s="8">
        <f t="shared" si="10"/>
        <v>1</v>
      </c>
      <c r="AU49" s="8">
        <f t="shared" si="10"/>
        <v>1</v>
      </c>
      <c r="AV49" s="8">
        <f t="shared" si="10"/>
        <v>1</v>
      </c>
      <c r="AW49" s="8">
        <f t="shared" si="21"/>
        <v>1</v>
      </c>
      <c r="AX49" s="8">
        <f t="shared" si="21"/>
        <v>1</v>
      </c>
      <c r="AY49" s="8">
        <f t="shared" si="21"/>
        <v>1</v>
      </c>
      <c r="BA49" s="15">
        <f t="shared" si="18"/>
        <v>0.93750000000000056</v>
      </c>
      <c r="BB49" s="8">
        <f t="shared" si="20"/>
        <v>0.3</v>
      </c>
      <c r="BC49" s="8">
        <f t="shared" si="20"/>
        <v>0.3</v>
      </c>
      <c r="BD49" s="8">
        <f t="shared" si="20"/>
        <v>0.3</v>
      </c>
      <c r="BE49" s="8">
        <f t="shared" si="20"/>
        <v>0.3</v>
      </c>
      <c r="BF49" s="8">
        <f t="shared" si="20"/>
        <v>0.3</v>
      </c>
      <c r="BG49" s="8">
        <f t="shared" si="20"/>
        <v>0.3</v>
      </c>
      <c r="BH49" s="8">
        <f t="shared" si="20"/>
        <v>0.3</v>
      </c>
    </row>
    <row r="50" spans="5:60" x14ac:dyDescent="0.3">
      <c r="E50" s="11">
        <f t="shared" si="12"/>
        <v>0.93750000000000056</v>
      </c>
      <c r="F50" s="8">
        <v>0.25</v>
      </c>
      <c r="G50" s="8">
        <v>0.3</v>
      </c>
      <c r="H50" s="8">
        <v>0.33</v>
      </c>
      <c r="I50" s="8">
        <v>0.28999999999999998</v>
      </c>
      <c r="J50" s="8">
        <v>0.34</v>
      </c>
      <c r="K50" s="8">
        <v>0.25</v>
      </c>
      <c r="L50" s="8">
        <v>0.34</v>
      </c>
      <c r="M50" s="8">
        <v>0.35</v>
      </c>
      <c r="N50" s="8">
        <v>0.35</v>
      </c>
      <c r="O50" s="8">
        <v>0.33</v>
      </c>
      <c r="P50" s="8">
        <v>0.28000000000000003</v>
      </c>
      <c r="Q50" s="8">
        <v>0.25</v>
      </c>
      <c r="R50" s="8">
        <v>0.32</v>
      </c>
      <c r="S50" s="8">
        <v>0.3</v>
      </c>
      <c r="T50" s="8">
        <v>0.26</v>
      </c>
      <c r="U50" s="8">
        <v>0.25</v>
      </c>
      <c r="V50" s="8">
        <v>0.27</v>
      </c>
      <c r="W50" s="8">
        <v>0.33</v>
      </c>
      <c r="X50" s="8">
        <v>0.32</v>
      </c>
      <c r="Y50" s="8">
        <v>0.28000000000000003</v>
      </c>
      <c r="Z50" s="8">
        <v>0.33</v>
      </c>
      <c r="AA50" s="8">
        <v>0.25</v>
      </c>
      <c r="AB50" s="8">
        <v>0.35</v>
      </c>
      <c r="AC50" s="8">
        <v>0.33</v>
      </c>
      <c r="AD50" s="8">
        <v>0.32</v>
      </c>
      <c r="AE50" s="8">
        <v>0.28000000000000003</v>
      </c>
      <c r="AF50" s="8">
        <v>0.35</v>
      </c>
      <c r="AG50" s="8">
        <v>0.28999999999999998</v>
      </c>
      <c r="AI50" s="15">
        <f t="shared" si="8"/>
        <v>0.95833333333333393</v>
      </c>
      <c r="AJ50" s="8">
        <f t="shared" si="19"/>
        <v>0.3</v>
      </c>
      <c r="AK50" s="8">
        <f t="shared" si="19"/>
        <v>0.3</v>
      </c>
      <c r="AL50" s="8">
        <f t="shared" si="19"/>
        <v>0.3</v>
      </c>
      <c r="AM50" s="8">
        <f t="shared" si="19"/>
        <v>0.3</v>
      </c>
      <c r="AN50" s="8">
        <f t="shared" si="19"/>
        <v>0.3</v>
      </c>
      <c r="AO50" s="8">
        <f t="shared" si="19"/>
        <v>0.3</v>
      </c>
      <c r="AP50" s="8">
        <f t="shared" si="19"/>
        <v>0.3</v>
      </c>
      <c r="AR50" s="15">
        <f t="shared" si="17"/>
        <v>0.95833333333333393</v>
      </c>
      <c r="AS50" s="8">
        <f t="shared" si="10"/>
        <v>1</v>
      </c>
      <c r="AT50" s="8">
        <f t="shared" si="10"/>
        <v>1</v>
      </c>
      <c r="AU50" s="8">
        <f t="shared" si="10"/>
        <v>1</v>
      </c>
      <c r="AV50" s="8">
        <f t="shared" si="10"/>
        <v>1</v>
      </c>
      <c r="AW50" s="8">
        <f t="shared" si="21"/>
        <v>1</v>
      </c>
      <c r="AX50" s="8">
        <f t="shared" si="21"/>
        <v>1</v>
      </c>
      <c r="AY50" s="8">
        <f t="shared" si="21"/>
        <v>1</v>
      </c>
      <c r="BA50" s="15">
        <f t="shared" si="18"/>
        <v>0.95833333333333393</v>
      </c>
      <c r="BB50" s="8">
        <f t="shared" si="20"/>
        <v>0.3</v>
      </c>
      <c r="BC50" s="8">
        <f t="shared" si="20"/>
        <v>0.3</v>
      </c>
      <c r="BD50" s="8">
        <f t="shared" si="20"/>
        <v>0.3</v>
      </c>
      <c r="BE50" s="8">
        <f t="shared" si="20"/>
        <v>0.3</v>
      </c>
      <c r="BF50" s="8">
        <f t="shared" si="20"/>
        <v>0.3</v>
      </c>
      <c r="BG50" s="8">
        <f t="shared" si="20"/>
        <v>0.3</v>
      </c>
      <c r="BH50" s="8">
        <f t="shared" si="20"/>
        <v>0.3</v>
      </c>
    </row>
    <row r="51" spans="5:60" x14ac:dyDescent="0.3">
      <c r="E51" s="11">
        <f t="shared" si="12"/>
        <v>0.95833333333333393</v>
      </c>
      <c r="F51" s="8">
        <v>0.3</v>
      </c>
      <c r="G51" s="8">
        <v>0.31</v>
      </c>
      <c r="H51" s="8">
        <v>0.27</v>
      </c>
      <c r="I51" s="8">
        <v>0.27</v>
      </c>
      <c r="J51" s="8">
        <v>0.31</v>
      </c>
      <c r="K51" s="8">
        <v>0.28999999999999998</v>
      </c>
      <c r="L51" s="8">
        <v>0.3</v>
      </c>
      <c r="M51" s="8">
        <v>0.31</v>
      </c>
      <c r="N51" s="8">
        <v>0.25</v>
      </c>
      <c r="O51" s="8">
        <v>0.34</v>
      </c>
      <c r="P51" s="8">
        <v>0.34</v>
      </c>
      <c r="Q51" s="8">
        <v>0.27</v>
      </c>
      <c r="R51" s="8">
        <v>0.27</v>
      </c>
      <c r="S51" s="8">
        <v>0.33</v>
      </c>
      <c r="T51" s="8">
        <v>0.28999999999999998</v>
      </c>
      <c r="U51" s="8">
        <v>0.25</v>
      </c>
      <c r="V51" s="8">
        <v>0.3</v>
      </c>
      <c r="W51" s="8">
        <v>0.26</v>
      </c>
      <c r="X51" s="8">
        <v>0.34</v>
      </c>
      <c r="Y51" s="8">
        <v>0.27</v>
      </c>
      <c r="Z51" s="8">
        <v>0.35</v>
      </c>
      <c r="AA51" s="8">
        <v>0.33</v>
      </c>
      <c r="AB51" s="8">
        <v>0.34</v>
      </c>
      <c r="AC51" s="8">
        <v>0.3</v>
      </c>
      <c r="AD51" s="8">
        <v>0.31</v>
      </c>
      <c r="AE51" s="8">
        <v>0.28000000000000003</v>
      </c>
      <c r="AF51" s="8">
        <v>0.33</v>
      </c>
      <c r="AG51" s="8">
        <v>0.3</v>
      </c>
      <c r="AI51" s="17">
        <f t="shared" si="8"/>
        <v>0.9791666666666673</v>
      </c>
      <c r="AJ51" s="8">
        <f t="shared" si="19"/>
        <v>0.3</v>
      </c>
      <c r="AK51" s="8">
        <f t="shared" si="19"/>
        <v>0.3</v>
      </c>
      <c r="AL51" s="8">
        <f t="shared" si="19"/>
        <v>0.3</v>
      </c>
      <c r="AM51" s="8">
        <f t="shared" si="19"/>
        <v>0.3</v>
      </c>
      <c r="AN51" s="8">
        <f t="shared" si="19"/>
        <v>0.3</v>
      </c>
      <c r="AO51" s="8">
        <f t="shared" si="19"/>
        <v>0.3</v>
      </c>
      <c r="AP51" s="8">
        <f t="shared" si="19"/>
        <v>0.3</v>
      </c>
      <c r="AR51" s="17">
        <f t="shared" si="17"/>
        <v>0.9791666666666673</v>
      </c>
      <c r="AS51" s="8">
        <f t="shared" si="10"/>
        <v>1</v>
      </c>
      <c r="AT51" s="8">
        <f t="shared" si="10"/>
        <v>1</v>
      </c>
      <c r="AU51" s="8">
        <f t="shared" si="10"/>
        <v>1</v>
      </c>
      <c r="AV51" s="8">
        <f t="shared" si="10"/>
        <v>1</v>
      </c>
      <c r="AW51" s="8">
        <f t="shared" si="21"/>
        <v>1</v>
      </c>
      <c r="AX51" s="8">
        <f t="shared" si="21"/>
        <v>1</v>
      </c>
      <c r="AY51" s="8">
        <f t="shared" si="21"/>
        <v>1</v>
      </c>
      <c r="BA51" s="17">
        <f t="shared" si="18"/>
        <v>0.9791666666666673</v>
      </c>
      <c r="BB51" s="8">
        <f t="shared" si="20"/>
        <v>0.3</v>
      </c>
      <c r="BC51" s="8">
        <f t="shared" si="20"/>
        <v>0.3</v>
      </c>
      <c r="BD51" s="8">
        <f t="shared" si="20"/>
        <v>0.3</v>
      </c>
      <c r="BE51" s="8">
        <f t="shared" si="20"/>
        <v>0.3</v>
      </c>
      <c r="BF51" s="8">
        <f t="shared" si="20"/>
        <v>0.3</v>
      </c>
      <c r="BG51" s="8">
        <f t="shared" si="20"/>
        <v>0.3</v>
      </c>
      <c r="BH51" s="8">
        <f t="shared" si="20"/>
        <v>0.3</v>
      </c>
    </row>
    <row r="52" spans="5:60" x14ac:dyDescent="0.3">
      <c r="E52" s="11">
        <f>E51+"00:30"</f>
        <v>0.9791666666666673</v>
      </c>
      <c r="F52" s="8">
        <v>0.27</v>
      </c>
      <c r="G52" s="8">
        <v>0.35</v>
      </c>
      <c r="H52" s="8">
        <v>0.28999999999999998</v>
      </c>
      <c r="I52" s="8">
        <v>0.31</v>
      </c>
      <c r="J52" s="8">
        <v>0.35</v>
      </c>
      <c r="K52" s="8">
        <v>0.31</v>
      </c>
      <c r="L52" s="8">
        <v>0.3</v>
      </c>
      <c r="M52" s="8">
        <v>0.28000000000000003</v>
      </c>
      <c r="N52" s="8">
        <v>0.28999999999999998</v>
      </c>
      <c r="O52" s="8">
        <v>0.28000000000000003</v>
      </c>
      <c r="P52" s="8">
        <v>0.33</v>
      </c>
      <c r="Q52" s="8">
        <v>0.28999999999999998</v>
      </c>
      <c r="R52" s="8">
        <v>0.3</v>
      </c>
      <c r="S52" s="8">
        <v>0.28999999999999998</v>
      </c>
      <c r="T52" s="8">
        <v>0.32</v>
      </c>
      <c r="U52" s="8">
        <v>0.32</v>
      </c>
      <c r="V52" s="8">
        <v>0.3</v>
      </c>
      <c r="W52" s="8">
        <v>0.34</v>
      </c>
      <c r="X52" s="8">
        <v>0.31</v>
      </c>
      <c r="Y52" s="8">
        <v>0.35</v>
      </c>
      <c r="Z52" s="8">
        <v>0.33</v>
      </c>
      <c r="AA52" s="8">
        <v>0.32</v>
      </c>
      <c r="AB52" s="8">
        <v>0.26</v>
      </c>
      <c r="AC52" s="8">
        <v>0.35</v>
      </c>
      <c r="AD52" s="8">
        <v>0.32</v>
      </c>
      <c r="AE52" s="8">
        <v>0.25</v>
      </c>
      <c r="AF52" s="8">
        <v>0.32</v>
      </c>
      <c r="AG52" s="8">
        <v>0.25</v>
      </c>
      <c r="AI52" s="2" t="s">
        <v>11</v>
      </c>
      <c r="AJ52" s="26">
        <f t="shared" si="19"/>
        <v>0.3</v>
      </c>
      <c r="AK52" s="26">
        <f t="shared" si="19"/>
        <v>0.3</v>
      </c>
      <c r="AL52" s="26">
        <f t="shared" si="19"/>
        <v>0.3</v>
      </c>
      <c r="AM52" s="26">
        <f t="shared" si="19"/>
        <v>0.3</v>
      </c>
      <c r="AN52" s="26">
        <f t="shared" si="19"/>
        <v>0.3</v>
      </c>
      <c r="AO52" s="26">
        <f t="shared" si="19"/>
        <v>0.3</v>
      </c>
      <c r="AP52" s="26">
        <f t="shared" si="19"/>
        <v>0.3</v>
      </c>
      <c r="AQ52" s="29" cm="1">
        <f t="array" aca="1" ref="AQ52" ca="1">SUMPRODUCT(AJ52:AP52,'vol 2'!AJ52:AP52/SUM('vol 2'!AJ52:AP52))</f>
        <v>0.3</v>
      </c>
      <c r="AR52" s="2" t="s">
        <v>11</v>
      </c>
      <c r="AS52" s="31">
        <v>0.99794164907192728</v>
      </c>
      <c r="AT52" s="31">
        <v>1.0003800941635055</v>
      </c>
      <c r="AU52" s="31">
        <v>1.0002578754448332</v>
      </c>
      <c r="AV52" s="31">
        <v>1.0021891875425832</v>
      </c>
      <c r="AW52" s="31">
        <v>0.99991079735295108</v>
      </c>
      <c r="AX52" s="31">
        <v>0.99940095100381998</v>
      </c>
      <c r="AY52" s="31">
        <v>0.99999397466553697</v>
      </c>
      <c r="BA52" s="2" t="s">
        <v>11</v>
      </c>
      <c r="BB52" s="8">
        <f t="shared" si="20"/>
        <v>0.3</v>
      </c>
      <c r="BC52" s="8">
        <f t="shared" si="20"/>
        <v>0.3</v>
      </c>
      <c r="BD52" s="8">
        <f t="shared" si="20"/>
        <v>0.3</v>
      </c>
      <c r="BE52" s="8">
        <f t="shared" si="20"/>
        <v>0.3</v>
      </c>
      <c r="BF52" s="8">
        <f t="shared" si="20"/>
        <v>0.3</v>
      </c>
      <c r="BG52" s="8">
        <f t="shared" si="20"/>
        <v>0.3</v>
      </c>
      <c r="BH52" s="8">
        <f t="shared" si="20"/>
        <v>0.3</v>
      </c>
    </row>
    <row r="53" spans="5:60" x14ac:dyDescent="0.3">
      <c r="E53" s="21" t="s">
        <v>11</v>
      </c>
      <c r="F53" s="34">
        <f t="shared" ref="F53:K53" si="22">SUM(F5:F52)</f>
        <v>14.439999999999996</v>
      </c>
      <c r="G53" s="34">
        <f t="shared" si="22"/>
        <v>14.659999999999998</v>
      </c>
      <c r="H53" s="34">
        <f t="shared" si="22"/>
        <v>14.559999999999995</v>
      </c>
      <c r="I53" s="34">
        <f t="shared" si="22"/>
        <v>14.329999999999998</v>
      </c>
      <c r="J53" s="34">
        <f t="shared" si="22"/>
        <v>14.530000000000001</v>
      </c>
      <c r="K53" s="34">
        <f t="shared" si="22"/>
        <v>14.04</v>
      </c>
      <c r="L53" s="34">
        <f>SUM(L5:L52)/100</f>
        <v>0.14900000000000002</v>
      </c>
      <c r="M53" s="34">
        <f t="shared" ref="M53:AG53" si="23">SUM(M5:M52)/100</f>
        <v>0.1444</v>
      </c>
      <c r="N53" s="34">
        <f t="shared" si="23"/>
        <v>0.14699999999999994</v>
      </c>
      <c r="O53" s="34">
        <f t="shared" si="23"/>
        <v>0.14329999999999998</v>
      </c>
      <c r="P53" s="34">
        <f t="shared" si="23"/>
        <v>0.14649999999999999</v>
      </c>
      <c r="Q53" s="34">
        <f t="shared" si="23"/>
        <v>0.14199999999999996</v>
      </c>
      <c r="R53" s="34">
        <f t="shared" si="23"/>
        <v>0.1424</v>
      </c>
      <c r="S53" s="34">
        <f t="shared" si="23"/>
        <v>0.14369999999999994</v>
      </c>
      <c r="T53" s="34">
        <f t="shared" si="23"/>
        <v>0.14139999999999994</v>
      </c>
      <c r="U53" s="34">
        <f t="shared" si="23"/>
        <v>0.14149999999999996</v>
      </c>
      <c r="V53" s="34">
        <f t="shared" si="23"/>
        <v>0.13989999999999994</v>
      </c>
      <c r="W53" s="34">
        <f t="shared" si="23"/>
        <v>0.1447</v>
      </c>
      <c r="X53" s="34">
        <f t="shared" si="23"/>
        <v>0.14599999999999996</v>
      </c>
      <c r="Y53" s="34">
        <f t="shared" si="23"/>
        <v>0.14159999999999998</v>
      </c>
      <c r="Z53" s="34">
        <f t="shared" si="23"/>
        <v>0.14239999999999997</v>
      </c>
      <c r="AA53" s="34">
        <f t="shared" si="23"/>
        <v>0.14239999999999994</v>
      </c>
      <c r="AB53" s="34">
        <f t="shared" si="23"/>
        <v>0.1439</v>
      </c>
      <c r="AC53" s="34">
        <f t="shared" si="23"/>
        <v>0.1457</v>
      </c>
      <c r="AD53" s="34">
        <f t="shared" si="23"/>
        <v>0.1452</v>
      </c>
      <c r="AE53" s="34">
        <f t="shared" si="23"/>
        <v>0.14229999999999995</v>
      </c>
      <c r="AF53" s="34">
        <f t="shared" si="23"/>
        <v>0.14449999999999996</v>
      </c>
      <c r="AG53" s="34">
        <f t="shared" si="23"/>
        <v>0.14559999999999998</v>
      </c>
      <c r="AJ53" s="4"/>
      <c r="AK53" s="4"/>
      <c r="AL53" s="4"/>
      <c r="AM53" s="4"/>
      <c r="AN53" s="4"/>
      <c r="AO53" s="4"/>
      <c r="AP53" s="4"/>
      <c r="AS53" s="23"/>
      <c r="AT53" s="23"/>
      <c r="AU53" s="23"/>
      <c r="AV53" s="23"/>
      <c r="AW53" s="23"/>
      <c r="AX53" s="23"/>
      <c r="AY53" s="23"/>
      <c r="BA53" s="2" t="s">
        <v>13</v>
      </c>
      <c r="BB53" s="19">
        <f t="shared" si="20"/>
        <v>0.3</v>
      </c>
      <c r="BC53" s="19">
        <f t="shared" si="20"/>
        <v>0.3</v>
      </c>
      <c r="BD53" s="19">
        <f t="shared" si="20"/>
        <v>0.3</v>
      </c>
      <c r="BE53" s="19">
        <f t="shared" si="20"/>
        <v>0.3</v>
      </c>
      <c r="BF53" s="19">
        <f t="shared" si="20"/>
        <v>0.3</v>
      </c>
      <c r="BG53" s="19">
        <f t="shared" si="20"/>
        <v>0.3</v>
      </c>
      <c r="BH53" s="19">
        <f t="shared" si="20"/>
        <v>0.3</v>
      </c>
    </row>
    <row r="54" spans="5:60" x14ac:dyDescent="0.3">
      <c r="E54" s="24"/>
    </row>
    <row r="55" spans="5:60" x14ac:dyDescent="0.3">
      <c r="E55" s="24"/>
    </row>
    <row r="56" spans="5:60" x14ac:dyDescent="0.3">
      <c r="E56" s="24"/>
    </row>
    <row r="57" spans="5:60" x14ac:dyDescent="0.3">
      <c r="E57" s="24"/>
      <c r="AI57" s="2" t="s">
        <v>3</v>
      </c>
      <c r="AJ57" s="3" t="s">
        <v>4</v>
      </c>
      <c r="AK57" s="3" t="s">
        <v>5</v>
      </c>
      <c r="AL57" s="3" t="s">
        <v>6</v>
      </c>
      <c r="AM57" s="3" t="s">
        <v>7</v>
      </c>
      <c r="AN57" s="3" t="s">
        <v>8</v>
      </c>
      <c r="AO57" s="3" t="s">
        <v>9</v>
      </c>
      <c r="AP57" s="3" t="s">
        <v>10</v>
      </c>
      <c r="AR57" t="e">
        <f>AI56/AI$52</f>
        <v>#VALUE!</v>
      </c>
    </row>
    <row r="58" spans="5:60" x14ac:dyDescent="0.3">
      <c r="E58" s="24"/>
      <c r="AI58" s="6">
        <v>0</v>
      </c>
      <c r="AJ58" s="8" t="e">
        <f>#REF!/AJ$52</f>
        <v>#REF!</v>
      </c>
      <c r="AK58" s="8">
        <f t="shared" ref="AK58:AP73" si="24">AK4/AK$52</f>
        <v>1</v>
      </c>
      <c r="AL58" s="8">
        <f t="shared" si="24"/>
        <v>1</v>
      </c>
      <c r="AM58" s="8">
        <f t="shared" si="24"/>
        <v>1</v>
      </c>
      <c r="AN58" s="8">
        <f t="shared" si="24"/>
        <v>1</v>
      </c>
      <c r="AO58" s="8">
        <f t="shared" si="24"/>
        <v>1</v>
      </c>
      <c r="AP58" s="8">
        <f t="shared" si="24"/>
        <v>1</v>
      </c>
    </row>
    <row r="59" spans="5:60" x14ac:dyDescent="0.3">
      <c r="E59" s="24"/>
      <c r="AI59" s="6">
        <f>AI58+"00:30"</f>
        <v>2.0833333333333332E-2</v>
      </c>
      <c r="AJ59" s="8">
        <f>AJ4/AJ$52</f>
        <v>1</v>
      </c>
      <c r="AK59" s="8">
        <f t="shared" si="24"/>
        <v>1</v>
      </c>
      <c r="AL59" s="8">
        <f t="shared" si="24"/>
        <v>1</v>
      </c>
      <c r="AM59" s="8">
        <f t="shared" si="24"/>
        <v>1</v>
      </c>
      <c r="AN59" s="8">
        <f t="shared" si="24"/>
        <v>1</v>
      </c>
      <c r="AO59" s="8">
        <f t="shared" si="24"/>
        <v>1</v>
      </c>
      <c r="AP59" s="8">
        <f t="shared" si="24"/>
        <v>1</v>
      </c>
    </row>
    <row r="60" spans="5:60" x14ac:dyDescent="0.3">
      <c r="E60" s="24"/>
      <c r="AI60" s="6">
        <f t="shared" ref="AI60:AI82" si="25">AI59+"00:30"</f>
        <v>4.1666666666666664E-2</v>
      </c>
      <c r="AJ60" s="8">
        <f t="shared" ref="AJ60:AP75" si="26">AJ6/AJ$52</f>
        <v>1</v>
      </c>
      <c r="AK60" s="8">
        <f t="shared" si="24"/>
        <v>1</v>
      </c>
      <c r="AL60" s="8">
        <f t="shared" si="24"/>
        <v>1</v>
      </c>
      <c r="AM60" s="8">
        <f t="shared" si="24"/>
        <v>1</v>
      </c>
      <c r="AN60" s="8">
        <f t="shared" si="24"/>
        <v>1</v>
      </c>
      <c r="AO60" s="8">
        <f t="shared" si="24"/>
        <v>1</v>
      </c>
      <c r="AP60" s="8">
        <f t="shared" si="24"/>
        <v>1</v>
      </c>
    </row>
    <row r="61" spans="5:60" x14ac:dyDescent="0.3">
      <c r="E61" s="24"/>
      <c r="AI61" s="6">
        <f t="shared" si="25"/>
        <v>6.25E-2</v>
      </c>
      <c r="AJ61" s="8">
        <f t="shared" si="26"/>
        <v>1</v>
      </c>
      <c r="AK61" s="8">
        <f t="shared" si="24"/>
        <v>1</v>
      </c>
      <c r="AL61" s="8">
        <f t="shared" si="24"/>
        <v>1</v>
      </c>
      <c r="AM61" s="8">
        <f t="shared" si="24"/>
        <v>1</v>
      </c>
      <c r="AN61" s="8">
        <f t="shared" si="24"/>
        <v>1</v>
      </c>
      <c r="AO61" s="8">
        <f t="shared" si="24"/>
        <v>1</v>
      </c>
      <c r="AP61" s="8">
        <f t="shared" si="24"/>
        <v>1</v>
      </c>
    </row>
    <row r="62" spans="5:60" x14ac:dyDescent="0.3">
      <c r="E62" s="24"/>
      <c r="AI62" s="6">
        <f t="shared" si="25"/>
        <v>8.3333333333333329E-2</v>
      </c>
      <c r="AJ62" s="8">
        <f t="shared" si="26"/>
        <v>1</v>
      </c>
      <c r="AK62" s="8">
        <f t="shared" si="24"/>
        <v>1</v>
      </c>
      <c r="AL62" s="8">
        <f t="shared" si="24"/>
        <v>1</v>
      </c>
      <c r="AM62" s="8">
        <f t="shared" si="24"/>
        <v>1</v>
      </c>
      <c r="AN62" s="8">
        <f t="shared" si="24"/>
        <v>1</v>
      </c>
      <c r="AO62" s="8">
        <f t="shared" si="24"/>
        <v>1</v>
      </c>
      <c r="AP62" s="8">
        <f t="shared" si="24"/>
        <v>1</v>
      </c>
    </row>
    <row r="63" spans="5:60" x14ac:dyDescent="0.3">
      <c r="E63" s="24"/>
      <c r="AH63" s="25"/>
      <c r="AI63" s="6">
        <f t="shared" si="25"/>
        <v>0.10416666666666666</v>
      </c>
      <c r="AJ63" s="8">
        <f t="shared" si="26"/>
        <v>1</v>
      </c>
      <c r="AK63" s="8">
        <f t="shared" si="24"/>
        <v>1</v>
      </c>
      <c r="AL63" s="8">
        <f t="shared" si="24"/>
        <v>1</v>
      </c>
      <c r="AM63" s="8">
        <f t="shared" si="24"/>
        <v>1</v>
      </c>
      <c r="AN63" s="8">
        <f t="shared" si="24"/>
        <v>1</v>
      </c>
      <c r="AO63" s="8">
        <f t="shared" si="24"/>
        <v>1</v>
      </c>
      <c r="AP63" s="8">
        <f t="shared" si="24"/>
        <v>1</v>
      </c>
    </row>
    <row r="64" spans="5:60" x14ac:dyDescent="0.3">
      <c r="AI64" s="6">
        <f t="shared" si="25"/>
        <v>0.12499999999999999</v>
      </c>
      <c r="AJ64" s="8">
        <f t="shared" si="26"/>
        <v>1</v>
      </c>
      <c r="AK64" s="8">
        <f t="shared" si="24"/>
        <v>1</v>
      </c>
      <c r="AL64" s="8">
        <f t="shared" si="24"/>
        <v>1</v>
      </c>
      <c r="AM64" s="8">
        <f t="shared" si="24"/>
        <v>1</v>
      </c>
      <c r="AN64" s="8">
        <f t="shared" si="24"/>
        <v>1</v>
      </c>
      <c r="AO64" s="8">
        <f t="shared" si="24"/>
        <v>1</v>
      </c>
      <c r="AP64" s="8">
        <f t="shared" si="24"/>
        <v>1</v>
      </c>
    </row>
    <row r="65" spans="35:42" x14ac:dyDescent="0.3">
      <c r="AI65" s="6">
        <f t="shared" si="25"/>
        <v>0.14583333333333331</v>
      </c>
      <c r="AJ65" s="8">
        <f t="shared" si="26"/>
        <v>1</v>
      </c>
      <c r="AK65" s="8">
        <f t="shared" si="24"/>
        <v>1</v>
      </c>
      <c r="AL65" s="8">
        <f t="shared" si="24"/>
        <v>1</v>
      </c>
      <c r="AM65" s="8">
        <f t="shared" si="24"/>
        <v>1</v>
      </c>
      <c r="AN65" s="8">
        <f t="shared" si="24"/>
        <v>1</v>
      </c>
      <c r="AO65" s="8">
        <f t="shared" si="24"/>
        <v>1</v>
      </c>
      <c r="AP65" s="8">
        <f t="shared" si="24"/>
        <v>1</v>
      </c>
    </row>
    <row r="66" spans="35:42" x14ac:dyDescent="0.3">
      <c r="AI66" s="6">
        <f t="shared" si="25"/>
        <v>0.16666666666666666</v>
      </c>
      <c r="AJ66" s="8">
        <f t="shared" si="26"/>
        <v>1</v>
      </c>
      <c r="AK66" s="8">
        <f t="shared" si="24"/>
        <v>1</v>
      </c>
      <c r="AL66" s="8">
        <f t="shared" si="24"/>
        <v>1</v>
      </c>
      <c r="AM66" s="8">
        <f t="shared" si="24"/>
        <v>1</v>
      </c>
      <c r="AN66" s="8">
        <f t="shared" si="24"/>
        <v>1</v>
      </c>
      <c r="AO66" s="8">
        <f t="shared" si="24"/>
        <v>1</v>
      </c>
      <c r="AP66" s="8">
        <f t="shared" si="24"/>
        <v>1</v>
      </c>
    </row>
    <row r="67" spans="35:42" x14ac:dyDescent="0.3">
      <c r="AI67" s="6">
        <f t="shared" si="25"/>
        <v>0.1875</v>
      </c>
      <c r="AJ67" s="8">
        <f t="shared" si="26"/>
        <v>1</v>
      </c>
      <c r="AK67" s="8">
        <f t="shared" si="24"/>
        <v>1</v>
      </c>
      <c r="AL67" s="8">
        <f t="shared" si="24"/>
        <v>1</v>
      </c>
      <c r="AM67" s="8">
        <f t="shared" si="24"/>
        <v>1</v>
      </c>
      <c r="AN67" s="8">
        <f t="shared" si="24"/>
        <v>1</v>
      </c>
      <c r="AO67" s="8">
        <f t="shared" si="24"/>
        <v>1</v>
      </c>
      <c r="AP67" s="8">
        <f t="shared" si="24"/>
        <v>1</v>
      </c>
    </row>
    <row r="68" spans="35:42" x14ac:dyDescent="0.3">
      <c r="AI68" s="6">
        <f t="shared" si="25"/>
        <v>0.20833333333333334</v>
      </c>
      <c r="AJ68" s="8">
        <f t="shared" si="26"/>
        <v>1</v>
      </c>
      <c r="AK68" s="8">
        <f t="shared" si="24"/>
        <v>1</v>
      </c>
      <c r="AL68" s="8">
        <f t="shared" si="24"/>
        <v>1</v>
      </c>
      <c r="AM68" s="8">
        <f t="shared" si="24"/>
        <v>1</v>
      </c>
      <c r="AN68" s="8">
        <f t="shared" si="24"/>
        <v>1</v>
      </c>
      <c r="AO68" s="8">
        <f t="shared" si="24"/>
        <v>1</v>
      </c>
      <c r="AP68" s="8">
        <f t="shared" si="24"/>
        <v>1</v>
      </c>
    </row>
    <row r="69" spans="35:42" x14ac:dyDescent="0.3">
      <c r="AI69" s="6">
        <f t="shared" si="25"/>
        <v>0.22916666666666669</v>
      </c>
      <c r="AJ69" s="8">
        <f t="shared" si="26"/>
        <v>1</v>
      </c>
      <c r="AK69" s="8">
        <f t="shared" si="24"/>
        <v>1</v>
      </c>
      <c r="AL69" s="8">
        <f t="shared" si="24"/>
        <v>1</v>
      </c>
      <c r="AM69" s="8">
        <f t="shared" si="24"/>
        <v>1</v>
      </c>
      <c r="AN69" s="8">
        <f t="shared" si="24"/>
        <v>1</v>
      </c>
      <c r="AO69" s="8">
        <f t="shared" si="24"/>
        <v>1</v>
      </c>
      <c r="AP69" s="8">
        <f t="shared" si="24"/>
        <v>1</v>
      </c>
    </row>
    <row r="70" spans="35:42" x14ac:dyDescent="0.3">
      <c r="AI70" s="6">
        <f t="shared" si="25"/>
        <v>0.25</v>
      </c>
      <c r="AJ70" s="8">
        <f t="shared" si="26"/>
        <v>1</v>
      </c>
      <c r="AK70" s="8">
        <f t="shared" si="24"/>
        <v>1</v>
      </c>
      <c r="AL70" s="8">
        <f t="shared" si="24"/>
        <v>1</v>
      </c>
      <c r="AM70" s="8">
        <f t="shared" si="24"/>
        <v>1</v>
      </c>
      <c r="AN70" s="8">
        <f t="shared" si="24"/>
        <v>1</v>
      </c>
      <c r="AO70" s="8">
        <f t="shared" si="24"/>
        <v>1</v>
      </c>
      <c r="AP70" s="8">
        <f t="shared" si="24"/>
        <v>1</v>
      </c>
    </row>
    <row r="71" spans="35:42" x14ac:dyDescent="0.3">
      <c r="AI71" s="6">
        <f t="shared" si="25"/>
        <v>0.27083333333333331</v>
      </c>
      <c r="AJ71" s="8">
        <f t="shared" si="26"/>
        <v>1</v>
      </c>
      <c r="AK71" s="8">
        <f t="shared" si="24"/>
        <v>1</v>
      </c>
      <c r="AL71" s="8">
        <f t="shared" si="24"/>
        <v>1</v>
      </c>
      <c r="AM71" s="8">
        <f t="shared" si="24"/>
        <v>1</v>
      </c>
      <c r="AN71" s="8">
        <f t="shared" si="24"/>
        <v>1</v>
      </c>
      <c r="AO71" s="8">
        <f t="shared" si="24"/>
        <v>1</v>
      </c>
      <c r="AP71" s="8">
        <f t="shared" si="24"/>
        <v>1</v>
      </c>
    </row>
    <row r="72" spans="35:42" x14ac:dyDescent="0.3">
      <c r="AI72" s="6">
        <f t="shared" si="25"/>
        <v>0.29166666666666663</v>
      </c>
      <c r="AJ72" s="8">
        <f t="shared" si="26"/>
        <v>1</v>
      </c>
      <c r="AK72" s="8">
        <f t="shared" si="24"/>
        <v>1</v>
      </c>
      <c r="AL72" s="8">
        <f t="shared" si="24"/>
        <v>1</v>
      </c>
      <c r="AM72" s="8">
        <f t="shared" si="24"/>
        <v>1</v>
      </c>
      <c r="AN72" s="8">
        <f t="shared" si="24"/>
        <v>1</v>
      </c>
      <c r="AO72" s="8">
        <f t="shared" si="24"/>
        <v>1</v>
      </c>
      <c r="AP72" s="8">
        <f t="shared" si="24"/>
        <v>1</v>
      </c>
    </row>
    <row r="73" spans="35:42" x14ac:dyDescent="0.3">
      <c r="AI73" s="6">
        <f t="shared" si="25"/>
        <v>0.31249999999999994</v>
      </c>
      <c r="AJ73" s="8">
        <f t="shared" si="26"/>
        <v>1</v>
      </c>
      <c r="AK73" s="8">
        <f t="shared" si="24"/>
        <v>1</v>
      </c>
      <c r="AL73" s="8">
        <f t="shared" si="24"/>
        <v>1</v>
      </c>
      <c r="AM73" s="8">
        <f t="shared" si="24"/>
        <v>1</v>
      </c>
      <c r="AN73" s="8">
        <f t="shared" si="24"/>
        <v>1</v>
      </c>
      <c r="AO73" s="8">
        <f t="shared" si="24"/>
        <v>1</v>
      </c>
      <c r="AP73" s="8">
        <f t="shared" si="24"/>
        <v>1</v>
      </c>
    </row>
    <row r="74" spans="35:42" x14ac:dyDescent="0.3">
      <c r="AI74" s="6">
        <f t="shared" si="25"/>
        <v>0.33333333333333326</v>
      </c>
      <c r="AJ74" s="8">
        <f t="shared" si="26"/>
        <v>1</v>
      </c>
      <c r="AK74" s="8">
        <f t="shared" si="26"/>
        <v>1</v>
      </c>
      <c r="AL74" s="8">
        <f t="shared" si="26"/>
        <v>1</v>
      </c>
      <c r="AM74" s="8">
        <f t="shared" si="26"/>
        <v>1</v>
      </c>
      <c r="AN74" s="8">
        <f t="shared" si="26"/>
        <v>1</v>
      </c>
      <c r="AO74" s="8">
        <f t="shared" si="26"/>
        <v>1</v>
      </c>
      <c r="AP74" s="8">
        <f t="shared" si="26"/>
        <v>1</v>
      </c>
    </row>
    <row r="75" spans="35:42" x14ac:dyDescent="0.3">
      <c r="AI75" s="6">
        <f t="shared" si="25"/>
        <v>0.35416666666666657</v>
      </c>
      <c r="AJ75" s="8">
        <f t="shared" si="26"/>
        <v>1</v>
      </c>
      <c r="AK75" s="8">
        <f t="shared" si="26"/>
        <v>1</v>
      </c>
      <c r="AL75" s="8">
        <f t="shared" si="26"/>
        <v>1</v>
      </c>
      <c r="AM75" s="8">
        <f t="shared" si="26"/>
        <v>1</v>
      </c>
      <c r="AN75" s="8">
        <f t="shared" si="26"/>
        <v>1</v>
      </c>
      <c r="AO75" s="8">
        <f t="shared" si="26"/>
        <v>1</v>
      </c>
      <c r="AP75" s="8">
        <f t="shared" si="26"/>
        <v>1</v>
      </c>
    </row>
    <row r="76" spans="35:42" x14ac:dyDescent="0.3">
      <c r="AI76" s="6">
        <f t="shared" si="25"/>
        <v>0.37499999999999989</v>
      </c>
      <c r="AJ76" s="8">
        <f t="shared" ref="AJ76:AP82" si="27">AJ22/AJ$52</f>
        <v>1</v>
      </c>
      <c r="AK76" s="8">
        <f t="shared" si="27"/>
        <v>1</v>
      </c>
      <c r="AL76" s="8">
        <f t="shared" si="27"/>
        <v>1</v>
      </c>
      <c r="AM76" s="8">
        <f t="shared" si="27"/>
        <v>1</v>
      </c>
      <c r="AN76" s="8">
        <f t="shared" si="27"/>
        <v>1</v>
      </c>
      <c r="AO76" s="8">
        <f t="shared" si="27"/>
        <v>1</v>
      </c>
      <c r="AP76" s="8">
        <f t="shared" si="27"/>
        <v>1</v>
      </c>
    </row>
    <row r="77" spans="35:42" x14ac:dyDescent="0.3">
      <c r="AI77" s="6">
        <f t="shared" si="25"/>
        <v>0.3958333333333332</v>
      </c>
      <c r="AJ77" s="8">
        <f t="shared" si="27"/>
        <v>1</v>
      </c>
      <c r="AK77" s="8">
        <f t="shared" si="27"/>
        <v>1</v>
      </c>
      <c r="AL77" s="8">
        <f t="shared" si="27"/>
        <v>1</v>
      </c>
      <c r="AM77" s="8">
        <f t="shared" si="27"/>
        <v>1</v>
      </c>
      <c r="AN77" s="8">
        <f t="shared" si="27"/>
        <v>1</v>
      </c>
      <c r="AO77" s="8">
        <f t="shared" si="27"/>
        <v>1</v>
      </c>
      <c r="AP77" s="8">
        <f t="shared" si="27"/>
        <v>1</v>
      </c>
    </row>
    <row r="78" spans="35:42" x14ac:dyDescent="0.3">
      <c r="AI78" s="6">
        <f t="shared" si="25"/>
        <v>0.41666666666666652</v>
      </c>
      <c r="AJ78" s="8">
        <f t="shared" si="27"/>
        <v>1</v>
      </c>
      <c r="AK78" s="8">
        <f t="shared" si="27"/>
        <v>1</v>
      </c>
      <c r="AL78" s="8">
        <f t="shared" si="27"/>
        <v>1</v>
      </c>
      <c r="AM78" s="8">
        <f t="shared" si="27"/>
        <v>1</v>
      </c>
      <c r="AN78" s="8">
        <f t="shared" si="27"/>
        <v>1</v>
      </c>
      <c r="AO78" s="8">
        <f t="shared" si="27"/>
        <v>1</v>
      </c>
      <c r="AP78" s="8">
        <f t="shared" si="27"/>
        <v>1</v>
      </c>
    </row>
    <row r="79" spans="35:42" x14ac:dyDescent="0.3">
      <c r="AI79" s="6">
        <f t="shared" si="25"/>
        <v>0.43749999999999983</v>
      </c>
      <c r="AJ79" s="8">
        <f t="shared" si="27"/>
        <v>1</v>
      </c>
      <c r="AK79" s="8">
        <f t="shared" si="27"/>
        <v>1</v>
      </c>
      <c r="AL79" s="8">
        <f t="shared" si="27"/>
        <v>1</v>
      </c>
      <c r="AM79" s="8">
        <f t="shared" si="27"/>
        <v>1</v>
      </c>
      <c r="AN79" s="8">
        <f t="shared" si="27"/>
        <v>1</v>
      </c>
      <c r="AO79" s="8">
        <f t="shared" si="27"/>
        <v>1</v>
      </c>
      <c r="AP79" s="8">
        <f t="shared" si="27"/>
        <v>1</v>
      </c>
    </row>
    <row r="80" spans="35:42" x14ac:dyDescent="0.3">
      <c r="AI80" s="6">
        <f t="shared" si="25"/>
        <v>0.45833333333333315</v>
      </c>
      <c r="AJ80" s="8">
        <f t="shared" si="27"/>
        <v>1</v>
      </c>
      <c r="AK80" s="8">
        <f t="shared" si="27"/>
        <v>1</v>
      </c>
      <c r="AL80" s="8">
        <f t="shared" si="27"/>
        <v>1</v>
      </c>
      <c r="AM80" s="8">
        <f t="shared" si="27"/>
        <v>1</v>
      </c>
      <c r="AN80" s="8">
        <f t="shared" si="27"/>
        <v>1</v>
      </c>
      <c r="AO80" s="8">
        <f t="shared" si="27"/>
        <v>1</v>
      </c>
      <c r="AP80" s="8">
        <f t="shared" si="27"/>
        <v>1</v>
      </c>
    </row>
    <row r="81" spans="35:42" x14ac:dyDescent="0.3">
      <c r="AI81" s="6">
        <f t="shared" si="25"/>
        <v>0.47916666666666646</v>
      </c>
      <c r="AJ81" s="8">
        <f t="shared" si="27"/>
        <v>1</v>
      </c>
      <c r="AK81" s="8">
        <f t="shared" si="27"/>
        <v>1</v>
      </c>
      <c r="AL81" s="8">
        <f t="shared" si="27"/>
        <v>1</v>
      </c>
      <c r="AM81" s="8">
        <f t="shared" si="27"/>
        <v>1</v>
      </c>
      <c r="AN81" s="8">
        <f t="shared" si="27"/>
        <v>1</v>
      </c>
      <c r="AO81" s="8">
        <f t="shared" si="27"/>
        <v>1</v>
      </c>
      <c r="AP81" s="8">
        <f t="shared" si="27"/>
        <v>1</v>
      </c>
    </row>
    <row r="82" spans="35:42" x14ac:dyDescent="0.3">
      <c r="AI82" s="6">
        <f t="shared" si="25"/>
        <v>0.49999999999999978</v>
      </c>
      <c r="AJ82" s="8">
        <f t="shared" si="27"/>
        <v>1</v>
      </c>
      <c r="AK82" s="8">
        <f t="shared" si="27"/>
        <v>1</v>
      </c>
      <c r="AL82" s="8">
        <f t="shared" si="27"/>
        <v>1</v>
      </c>
      <c r="AM82" s="8">
        <f t="shared" si="27"/>
        <v>1</v>
      </c>
      <c r="AN82" s="8">
        <f t="shared" si="27"/>
        <v>1</v>
      </c>
      <c r="AO82" s="8">
        <f t="shared" si="27"/>
        <v>1</v>
      </c>
      <c r="AP82" s="8">
        <f t="shared" si="27"/>
        <v>1</v>
      </c>
    </row>
    <row r="83" spans="35:42" x14ac:dyDescent="0.3">
      <c r="AI83" s="2" t="s">
        <v>11</v>
      </c>
      <c r="AJ83" s="19" t="e">
        <f>SUM(AJ58:AJ82)</f>
        <v>#REF!</v>
      </c>
      <c r="AK83" s="19">
        <f t="shared" ref="AK83:AP83" si="28">SUM(AK58:AK82)</f>
        <v>25</v>
      </c>
      <c r="AL83" s="19">
        <f t="shared" si="28"/>
        <v>25</v>
      </c>
      <c r="AM83" s="19">
        <f t="shared" si="28"/>
        <v>25</v>
      </c>
      <c r="AN83" s="19">
        <f t="shared" si="28"/>
        <v>25</v>
      </c>
      <c r="AO83" s="19">
        <f t="shared" si="28"/>
        <v>25</v>
      </c>
      <c r="AP83" s="19">
        <f t="shared" si="28"/>
        <v>25</v>
      </c>
    </row>
    <row r="84" spans="35:42" x14ac:dyDescent="0.3">
      <c r="AI84" t="s">
        <v>12</v>
      </c>
      <c r="AJ84" s="23" t="e">
        <f>AJ83/SUM($AJ$52:$AP$52)</f>
        <v>#REF!</v>
      </c>
      <c r="AK84" s="23">
        <f t="shared" ref="AK84:AP84" si="29">AK83/SUM($AJ$52:$AP$52)</f>
        <v>11.904761904761905</v>
      </c>
      <c r="AL84" s="23">
        <f t="shared" si="29"/>
        <v>11.904761904761905</v>
      </c>
      <c r="AM84" s="23">
        <f t="shared" si="29"/>
        <v>11.904761904761905</v>
      </c>
      <c r="AN84" s="23">
        <f t="shared" si="29"/>
        <v>11.904761904761905</v>
      </c>
      <c r="AO84" s="23">
        <f t="shared" si="29"/>
        <v>11.904761904761905</v>
      </c>
      <c r="AP84" s="23">
        <f t="shared" si="29"/>
        <v>11.904761904761905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EFE3-642F-4EF4-BB32-22AC82E8BB7B}">
  <sheetPr codeName="Sheet5"/>
  <dimension ref="C2:CM57"/>
  <sheetViews>
    <sheetView showGridLines="0" topLeftCell="AI1" workbookViewId="0">
      <selection activeCell="U3" sqref="U3"/>
    </sheetView>
  </sheetViews>
  <sheetFormatPr defaultRowHeight="14.4" x14ac:dyDescent="0.3"/>
  <cols>
    <col min="3" max="3" width="9" bestFit="1" customWidth="1"/>
    <col min="4" max="10" width="9.21875" bestFit="1" customWidth="1"/>
    <col min="56" max="56" width="10.109375" bestFit="1" customWidth="1"/>
    <col min="84" max="84" width="13.6640625" bestFit="1" customWidth="1"/>
  </cols>
  <sheetData>
    <row r="2" spans="3:91" x14ac:dyDescent="0.3">
      <c r="AW2" s="46"/>
    </row>
    <row r="3" spans="3:91" x14ac:dyDescent="0.3">
      <c r="C3" t="s">
        <v>15</v>
      </c>
      <c r="D3" s="30">
        <f>SUM(D53:J53)</f>
        <v>20601.854166666664</v>
      </c>
      <c r="L3" t="s">
        <v>14</v>
      </c>
      <c r="M3" s="36">
        <f>SUMPRODUCT(M53:S53,D53:J53)/SUM(D53:J530)</f>
        <v>325.22202991608634</v>
      </c>
      <c r="U3" t="s">
        <v>39</v>
      </c>
      <c r="AD3" t="s">
        <v>16</v>
      </c>
      <c r="AM3" t="s">
        <v>18</v>
      </c>
      <c r="AV3" t="s">
        <v>19</v>
      </c>
      <c r="BE3" t="s">
        <v>30</v>
      </c>
      <c r="BN3" t="s">
        <v>31</v>
      </c>
      <c r="BW3" t="s">
        <v>33</v>
      </c>
      <c r="CF3" t="s">
        <v>32</v>
      </c>
    </row>
    <row r="4" spans="3:91" x14ac:dyDescent="0.3">
      <c r="C4" s="2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  <c r="L4" s="2" t="s">
        <v>3</v>
      </c>
      <c r="M4" s="3" t="s">
        <v>4</v>
      </c>
      <c r="N4" s="3" t="s">
        <v>5</v>
      </c>
      <c r="O4" s="3" t="s">
        <v>6</v>
      </c>
      <c r="P4" s="3" t="s">
        <v>7</v>
      </c>
      <c r="Q4" s="3" t="s">
        <v>8</v>
      </c>
      <c r="R4" s="3" t="s">
        <v>9</v>
      </c>
      <c r="S4" s="3" t="s">
        <v>10</v>
      </c>
      <c r="U4" s="2" t="s">
        <v>3</v>
      </c>
      <c r="V4" s="3" t="s">
        <v>4</v>
      </c>
      <c r="W4" s="3" t="s">
        <v>5</v>
      </c>
      <c r="X4" s="3" t="s">
        <v>6</v>
      </c>
      <c r="Y4" s="3" t="s">
        <v>7</v>
      </c>
      <c r="Z4" s="3" t="s">
        <v>8</v>
      </c>
      <c r="AA4" s="3" t="s">
        <v>9</v>
      </c>
      <c r="AB4" s="3" t="s">
        <v>10</v>
      </c>
      <c r="AD4" s="2" t="s">
        <v>3</v>
      </c>
      <c r="AE4" s="3" t="s">
        <v>4</v>
      </c>
      <c r="AF4" s="3" t="s">
        <v>5</v>
      </c>
      <c r="AG4" s="3" t="s">
        <v>6</v>
      </c>
      <c r="AH4" s="3" t="s">
        <v>7</v>
      </c>
      <c r="AI4" s="3" t="s">
        <v>8</v>
      </c>
      <c r="AJ4" s="3" t="s">
        <v>9</v>
      </c>
      <c r="AK4" s="3" t="s">
        <v>10</v>
      </c>
      <c r="AM4" s="2" t="s">
        <v>3</v>
      </c>
      <c r="AN4" s="3" t="s">
        <v>4</v>
      </c>
      <c r="AO4" s="3" t="s">
        <v>5</v>
      </c>
      <c r="AP4" s="3" t="s">
        <v>6</v>
      </c>
      <c r="AQ4" s="3" t="s">
        <v>7</v>
      </c>
      <c r="AR4" s="3" t="s">
        <v>8</v>
      </c>
      <c r="AS4" s="3" t="s">
        <v>9</v>
      </c>
      <c r="AT4" s="3" t="s">
        <v>10</v>
      </c>
      <c r="AV4" s="2" t="s">
        <v>3</v>
      </c>
      <c r="AW4" s="3" t="s">
        <v>4</v>
      </c>
      <c r="AX4" s="3" t="s">
        <v>5</v>
      </c>
      <c r="AY4" s="3" t="s">
        <v>6</v>
      </c>
      <c r="AZ4" s="3" t="s">
        <v>7</v>
      </c>
      <c r="BA4" s="3" t="s">
        <v>8</v>
      </c>
      <c r="BB4" s="3" t="s">
        <v>9</v>
      </c>
      <c r="BC4" s="3" t="s">
        <v>10</v>
      </c>
      <c r="BE4" s="2" t="s">
        <v>3</v>
      </c>
      <c r="BF4" s="3" t="s">
        <v>4</v>
      </c>
      <c r="BG4" s="3" t="s">
        <v>5</v>
      </c>
      <c r="BH4" s="3" t="s">
        <v>6</v>
      </c>
      <c r="BI4" s="3" t="s">
        <v>7</v>
      </c>
      <c r="BJ4" s="3" t="s">
        <v>8</v>
      </c>
      <c r="BK4" s="3" t="s">
        <v>9</v>
      </c>
      <c r="BL4" s="3" t="s">
        <v>10</v>
      </c>
      <c r="BN4" s="2" t="s">
        <v>3</v>
      </c>
      <c r="BO4" s="3" t="s">
        <v>4</v>
      </c>
      <c r="BP4" s="3" t="s">
        <v>5</v>
      </c>
      <c r="BQ4" s="3" t="s">
        <v>6</v>
      </c>
      <c r="BR4" s="3" t="s">
        <v>7</v>
      </c>
      <c r="BS4" s="3" t="s">
        <v>8</v>
      </c>
      <c r="BT4" s="3" t="s">
        <v>9</v>
      </c>
      <c r="BU4" s="3" t="s">
        <v>10</v>
      </c>
      <c r="BW4" s="2" t="s">
        <v>3</v>
      </c>
      <c r="BX4" s="3" t="s">
        <v>4</v>
      </c>
      <c r="BY4" s="3" t="s">
        <v>5</v>
      </c>
      <c r="BZ4" s="3" t="s">
        <v>6</v>
      </c>
      <c r="CA4" s="3" t="s">
        <v>7</v>
      </c>
      <c r="CB4" s="3" t="s">
        <v>8</v>
      </c>
      <c r="CC4" s="3" t="s">
        <v>9</v>
      </c>
      <c r="CD4" s="3" t="s">
        <v>10</v>
      </c>
      <c r="CF4" s="2" t="s">
        <v>3</v>
      </c>
      <c r="CG4" s="3" t="s">
        <v>4</v>
      </c>
      <c r="CH4" s="3" t="s">
        <v>5</v>
      </c>
      <c r="CI4" s="3" t="s">
        <v>6</v>
      </c>
      <c r="CJ4" s="3" t="s">
        <v>7</v>
      </c>
      <c r="CK4" s="3" t="s">
        <v>8</v>
      </c>
      <c r="CL4" s="3" t="s">
        <v>9</v>
      </c>
      <c r="CM4" s="3" t="s">
        <v>10</v>
      </c>
    </row>
    <row r="5" spans="3:91" x14ac:dyDescent="0.3">
      <c r="C5" s="6">
        <v>0</v>
      </c>
      <c r="D5" s="7">
        <v>40</v>
      </c>
      <c r="E5" s="7">
        <v>32</v>
      </c>
      <c r="F5" s="7">
        <v>37</v>
      </c>
      <c r="G5" s="7">
        <v>36</v>
      </c>
      <c r="H5" s="7">
        <v>33</v>
      </c>
      <c r="I5" s="7">
        <v>32</v>
      </c>
      <c r="J5" s="7">
        <v>35</v>
      </c>
      <c r="L5" s="6">
        <v>0</v>
      </c>
      <c r="M5" s="7">
        <v>321.75</v>
      </c>
      <c r="N5" s="7">
        <v>314.93333333333334</v>
      </c>
      <c r="O5" s="7">
        <v>323.50943396226415</v>
      </c>
      <c r="P5" s="7">
        <v>328.1010101010101</v>
      </c>
      <c r="Q5" s="7">
        <v>327.77</v>
      </c>
      <c r="R5" s="7">
        <v>314.19</v>
      </c>
      <c r="S5" s="7">
        <v>321.52525252525254</v>
      </c>
      <c r="U5" s="6">
        <v>0</v>
      </c>
      <c r="V5" s="8">
        <v>0.3</v>
      </c>
      <c r="W5" s="8">
        <v>0.3</v>
      </c>
      <c r="X5" s="8">
        <v>0.3</v>
      </c>
      <c r="Y5" s="8">
        <v>0.3</v>
      </c>
      <c r="Z5" s="8">
        <v>0.3</v>
      </c>
      <c r="AA5" s="8">
        <v>0.3</v>
      </c>
      <c r="AB5" s="8">
        <v>0.3</v>
      </c>
      <c r="AD5" s="6">
        <v>0</v>
      </c>
      <c r="AE5" s="8">
        <f>82%</f>
        <v>0.82</v>
      </c>
      <c r="AF5" s="8">
        <f>82%</f>
        <v>0.82</v>
      </c>
      <c r="AG5" s="8">
        <f>82%</f>
        <v>0.82</v>
      </c>
      <c r="AH5" s="8">
        <f>82%</f>
        <v>0.82</v>
      </c>
      <c r="AI5" s="8">
        <f>82%</f>
        <v>0.82</v>
      </c>
      <c r="AJ5" s="8">
        <f>82%</f>
        <v>0.82</v>
      </c>
      <c r="AK5" s="8">
        <f>82%</f>
        <v>0.82</v>
      </c>
      <c r="AM5" s="6">
        <v>0</v>
      </c>
      <c r="AN5" s="10">
        <f>(D5*M5)/(1800*AE5)</f>
        <v>8.7195121951219505</v>
      </c>
      <c r="AO5" s="10">
        <f>(E5*N5)/(1800*AF5)</f>
        <v>6.8278229448961154</v>
      </c>
      <c r="AP5" s="10">
        <f t="shared" ref="AP5:AP52" si="0">(F5*O5)/(1800*AG5)</f>
        <v>8.1096538323873819</v>
      </c>
      <c r="AQ5" s="10">
        <f t="shared" ref="AQ5:AQ52" si="1">(G5*P5)/(1800*AH5)</f>
        <v>8.0024636610002471</v>
      </c>
      <c r="AR5" s="10">
        <f t="shared" ref="AR5:AR52" si="2">(H5*Q5)/(1800*AI5)</f>
        <v>7.328191056910569</v>
      </c>
      <c r="AS5" s="10">
        <f t="shared" ref="AS5:AS52" si="3">(I5*R5)/(1800*AJ5)</f>
        <v>6.8117073170731706</v>
      </c>
      <c r="AT5" s="10">
        <f t="shared" ref="AT5:AT52" si="4">(J5*S5)/(1800*AK5)</f>
        <v>7.6242437929429805</v>
      </c>
      <c r="AV5" s="6">
        <v>0</v>
      </c>
      <c r="AW5" s="10">
        <f>Roster!I$73</f>
        <v>14</v>
      </c>
      <c r="AX5" s="10">
        <f>Roster!J$73</f>
        <v>15</v>
      </c>
      <c r="AY5" s="10">
        <f>Roster!K$73</f>
        <v>14</v>
      </c>
      <c r="AZ5" s="10">
        <f>Roster!L$73</f>
        <v>16</v>
      </c>
      <c r="BA5" s="10">
        <f>Roster!M$73</f>
        <v>16</v>
      </c>
      <c r="BB5" s="10">
        <f>Roster!N$73</f>
        <v>12</v>
      </c>
      <c r="BC5" s="10">
        <f>Roster!O$73</f>
        <v>18</v>
      </c>
      <c r="BE5" s="6">
        <v>0</v>
      </c>
      <c r="BF5" s="10">
        <f>AW5*(1-V5)</f>
        <v>9.7999999999999989</v>
      </c>
      <c r="BG5" s="10">
        <f t="shared" ref="BG5:BL20" si="5">AX5*(1-W5)</f>
        <v>10.5</v>
      </c>
      <c r="BH5" s="10">
        <f t="shared" si="5"/>
        <v>9.7999999999999989</v>
      </c>
      <c r="BI5" s="10">
        <f t="shared" si="5"/>
        <v>11.2</v>
      </c>
      <c r="BJ5" s="10">
        <f t="shared" si="5"/>
        <v>11.2</v>
      </c>
      <c r="BK5" s="10">
        <f t="shared" si="5"/>
        <v>8.3999999999999986</v>
      </c>
      <c r="BL5" s="10">
        <f t="shared" si="5"/>
        <v>12.6</v>
      </c>
      <c r="BN5" s="6">
        <v>0</v>
      </c>
      <c r="BO5" s="10">
        <f>(BF5*(1800*AE5))/M5</f>
        <v>44.956643356643355</v>
      </c>
      <c r="BP5" s="10">
        <f t="shared" ref="BP5:BU20" si="6">(BG5*(1800*AF5))/N5</f>
        <v>49.21041490262489</v>
      </c>
      <c r="BQ5" s="10">
        <f t="shared" si="6"/>
        <v>44.712142773824795</v>
      </c>
      <c r="BR5" s="10">
        <f t="shared" si="6"/>
        <v>50.384483714057019</v>
      </c>
      <c r="BS5" s="10">
        <f t="shared" si="6"/>
        <v>50.435366262928277</v>
      </c>
      <c r="BT5" s="10">
        <f t="shared" si="6"/>
        <v>39.461472357490685</v>
      </c>
      <c r="BU5" s="10">
        <f t="shared" si="6"/>
        <v>57.841802016901752</v>
      </c>
      <c r="BW5" s="6">
        <v>0</v>
      </c>
      <c r="BX5" s="10">
        <f>BF5-AN5</f>
        <v>1.0804878048780484</v>
      </c>
      <c r="BY5" s="10">
        <f t="shared" ref="BY5:CD20" si="7">BG5-AO5</f>
        <v>3.6721770551038846</v>
      </c>
      <c r="BZ5" s="10">
        <f t="shared" si="7"/>
        <v>1.690346167612617</v>
      </c>
      <c r="CA5" s="10">
        <f t="shared" si="7"/>
        <v>3.1975363389997522</v>
      </c>
      <c r="CB5" s="10">
        <f t="shared" si="7"/>
        <v>3.8718089430894302</v>
      </c>
      <c r="CC5" s="10">
        <f t="shared" si="7"/>
        <v>1.588292682926828</v>
      </c>
      <c r="CD5" s="10">
        <f t="shared" si="7"/>
        <v>4.9757562070570192</v>
      </c>
      <c r="CF5" s="6">
        <v>0</v>
      </c>
      <c r="CG5" s="10" t="e">
        <f>BO5-#REF!</f>
        <v>#REF!</v>
      </c>
      <c r="CH5" s="10">
        <f t="shared" ref="CH5:CM20" si="8">BP5-E5</f>
        <v>17.21041490262489</v>
      </c>
      <c r="CI5" s="10">
        <f t="shared" si="8"/>
        <v>7.7121427738247945</v>
      </c>
      <c r="CJ5" s="10">
        <f t="shared" si="8"/>
        <v>14.384483714057019</v>
      </c>
      <c r="CK5" s="10">
        <f t="shared" si="8"/>
        <v>17.435366262928277</v>
      </c>
      <c r="CL5" s="10">
        <f t="shared" si="8"/>
        <v>7.4614723574906847</v>
      </c>
      <c r="CM5" s="10">
        <f t="shared" si="8"/>
        <v>22.841802016901752</v>
      </c>
    </row>
    <row r="6" spans="3:91" x14ac:dyDescent="0.3">
      <c r="C6" s="6">
        <v>2.0833333333333332E-2</v>
      </c>
      <c r="D6" s="7">
        <v>40</v>
      </c>
      <c r="E6" s="7">
        <v>31</v>
      </c>
      <c r="F6" s="7">
        <v>38</v>
      </c>
      <c r="G6" s="7">
        <v>36</v>
      </c>
      <c r="H6" s="7">
        <v>39</v>
      </c>
      <c r="I6" s="7">
        <v>31</v>
      </c>
      <c r="J6" s="7">
        <v>36</v>
      </c>
      <c r="L6" s="6">
        <v>2.0833333333333332E-2</v>
      </c>
      <c r="M6" s="7">
        <v>321.980198019802</v>
      </c>
      <c r="N6" s="7">
        <v>327.06796116504853</v>
      </c>
      <c r="O6" s="7">
        <v>330.42424242424244</v>
      </c>
      <c r="P6" s="7">
        <v>325.39175257731961</v>
      </c>
      <c r="Q6" s="7">
        <v>318.28282828282829</v>
      </c>
      <c r="R6" s="7">
        <v>328.32432432432432</v>
      </c>
      <c r="S6" s="7">
        <v>327.17272727272729</v>
      </c>
      <c r="U6" s="6">
        <v>2.0833333333333332E-2</v>
      </c>
      <c r="V6" s="8">
        <v>0.3</v>
      </c>
      <c r="W6" s="8">
        <v>0.3</v>
      </c>
      <c r="X6" s="8">
        <v>0.3</v>
      </c>
      <c r="Y6" s="8">
        <v>0.3</v>
      </c>
      <c r="Z6" s="8">
        <v>0.3</v>
      </c>
      <c r="AA6" s="8">
        <v>0.3</v>
      </c>
      <c r="AB6" s="8">
        <v>0.3</v>
      </c>
      <c r="AD6" s="6">
        <v>2.0833333333333332E-2</v>
      </c>
      <c r="AE6" s="8">
        <f>82%</f>
        <v>0.82</v>
      </c>
      <c r="AF6" s="8">
        <f>82%</f>
        <v>0.82</v>
      </c>
      <c r="AG6" s="8">
        <f>82%</f>
        <v>0.82</v>
      </c>
      <c r="AH6" s="8">
        <f>82%</f>
        <v>0.82</v>
      </c>
      <c r="AI6" s="8">
        <f>82%</f>
        <v>0.82</v>
      </c>
      <c r="AJ6" s="8">
        <f>82%</f>
        <v>0.82</v>
      </c>
      <c r="AK6" s="8">
        <f>82%</f>
        <v>0.82</v>
      </c>
      <c r="AM6" s="6">
        <v>2.0833333333333332E-2</v>
      </c>
      <c r="AN6" s="10">
        <f t="shared" ref="AN6:AN7" si="9">(D6*M6)/(1800*AE6)</f>
        <v>8.7257506238428721</v>
      </c>
      <c r="AO6" s="10">
        <f>(E6*N6)/(1800*AF6)</f>
        <v>6.8693135475044071</v>
      </c>
      <c r="AP6" s="10">
        <f t="shared" si="0"/>
        <v>8.5068571897840197</v>
      </c>
      <c r="AQ6" s="10">
        <f t="shared" si="1"/>
        <v>7.9363842092029167</v>
      </c>
      <c r="AR6" s="10">
        <f t="shared" si="2"/>
        <v>8.4099121294243258</v>
      </c>
      <c r="AS6" s="10">
        <f t="shared" si="3"/>
        <v>6.895700578627407</v>
      </c>
      <c r="AT6" s="10">
        <f t="shared" si="4"/>
        <v>7.979822616407982</v>
      </c>
      <c r="AV6" s="6">
        <v>2.0833333333333332E-2</v>
      </c>
      <c r="AW6" s="10">
        <f>Roster!I$73</f>
        <v>14</v>
      </c>
      <c r="AX6" s="10">
        <f>Roster!J$73</f>
        <v>15</v>
      </c>
      <c r="AY6" s="10">
        <f>Roster!K$73</f>
        <v>14</v>
      </c>
      <c r="AZ6" s="10">
        <f>Roster!L$73</f>
        <v>16</v>
      </c>
      <c r="BA6" s="10">
        <f>Roster!M$73</f>
        <v>16</v>
      </c>
      <c r="BB6" s="10">
        <f>Roster!N$73</f>
        <v>12</v>
      </c>
      <c r="BC6" s="10">
        <f>Roster!O$73</f>
        <v>18</v>
      </c>
      <c r="BE6" s="6">
        <v>2.0833333333333332E-2</v>
      </c>
      <c r="BF6" s="10">
        <f t="shared" ref="BF6:BF52" si="10">AW6*(1-V6)</f>
        <v>9.7999999999999989</v>
      </c>
      <c r="BG6" s="10">
        <f t="shared" si="5"/>
        <v>10.5</v>
      </c>
      <c r="BH6" s="10">
        <f t="shared" si="5"/>
        <v>9.7999999999999989</v>
      </c>
      <c r="BI6" s="10">
        <f t="shared" si="5"/>
        <v>11.2</v>
      </c>
      <c r="BJ6" s="10">
        <f t="shared" si="5"/>
        <v>11.2</v>
      </c>
      <c r="BK6" s="10">
        <f t="shared" si="5"/>
        <v>8.3999999999999986</v>
      </c>
      <c r="BL6" s="10">
        <f t="shared" si="5"/>
        <v>12.6</v>
      </c>
      <c r="BN6" s="6">
        <v>2.0833333333333332E-2</v>
      </c>
      <c r="BO6" s="10">
        <f t="shared" ref="BO6:BO52" si="11">(BF6*(1800*AE6))/M6</f>
        <v>44.924501845018447</v>
      </c>
      <c r="BP6" s="10">
        <f t="shared" si="6"/>
        <v>47.384647352172884</v>
      </c>
      <c r="BQ6" s="10">
        <f t="shared" si="6"/>
        <v>43.776449009537778</v>
      </c>
      <c r="BR6" s="10">
        <f t="shared" si="6"/>
        <v>50.803992015968063</v>
      </c>
      <c r="BS6" s="10">
        <f t="shared" si="6"/>
        <v>51.938711520152332</v>
      </c>
      <c r="BT6" s="10">
        <f t="shared" si="6"/>
        <v>37.762660520250243</v>
      </c>
      <c r="BU6" s="10">
        <f t="shared" si="6"/>
        <v>56.843368807135505</v>
      </c>
      <c r="BW6" s="6">
        <v>2.0833333333333332E-2</v>
      </c>
      <c r="BX6" s="10">
        <f t="shared" ref="BX6:BX52" si="12">BF6-AN6</f>
        <v>1.0742493761571268</v>
      </c>
      <c r="BY6" s="10">
        <f t="shared" si="7"/>
        <v>3.6306864524955929</v>
      </c>
      <c r="BZ6" s="10">
        <f t="shared" si="7"/>
        <v>1.2931428102159792</v>
      </c>
      <c r="CA6" s="10">
        <f t="shared" si="7"/>
        <v>3.2636157907970826</v>
      </c>
      <c r="CB6" s="10">
        <f t="shared" si="7"/>
        <v>2.7900878705756735</v>
      </c>
      <c r="CC6" s="10">
        <f t="shared" si="7"/>
        <v>1.5042994213725915</v>
      </c>
      <c r="CD6" s="10">
        <f t="shared" si="7"/>
        <v>4.6201773835920177</v>
      </c>
      <c r="CF6" s="6">
        <v>2.0833333333333332E-2</v>
      </c>
      <c r="CG6" s="10">
        <f>BO6-D5</f>
        <v>4.9245018450184475</v>
      </c>
      <c r="CH6" s="10">
        <f t="shared" si="8"/>
        <v>16.384647352172884</v>
      </c>
      <c r="CI6" s="10">
        <f t="shared" si="8"/>
        <v>5.7764490095377781</v>
      </c>
      <c r="CJ6" s="10">
        <f t="shared" si="8"/>
        <v>14.803992015968063</v>
      </c>
      <c r="CK6" s="10">
        <f t="shared" si="8"/>
        <v>12.938711520152332</v>
      </c>
      <c r="CL6" s="10">
        <f t="shared" si="8"/>
        <v>6.7626605202502432</v>
      </c>
      <c r="CM6" s="10">
        <f t="shared" si="8"/>
        <v>20.843368807135505</v>
      </c>
    </row>
    <row r="7" spans="3:91" x14ac:dyDescent="0.3">
      <c r="C7" s="6">
        <v>4.1666666666666664E-2</v>
      </c>
      <c r="D7" s="7">
        <v>31</v>
      </c>
      <c r="E7" s="7">
        <v>33</v>
      </c>
      <c r="F7" s="7">
        <v>37</v>
      </c>
      <c r="G7" s="7">
        <v>30</v>
      </c>
      <c r="H7" s="7">
        <v>36</v>
      </c>
      <c r="I7" s="7">
        <v>38</v>
      </c>
      <c r="J7" s="7">
        <v>31</v>
      </c>
      <c r="L7" s="6">
        <v>4.1666666666666664E-2</v>
      </c>
      <c r="M7" s="7">
        <v>327.40384615384613</v>
      </c>
      <c r="N7" s="7">
        <v>331.01960784313724</v>
      </c>
      <c r="O7" s="7">
        <v>314.3</v>
      </c>
      <c r="P7" s="7">
        <v>328.6</v>
      </c>
      <c r="Q7" s="7">
        <v>308.33999999999997</v>
      </c>
      <c r="R7" s="7">
        <v>331.29896907216494</v>
      </c>
      <c r="S7" s="7">
        <v>329.97872340425533</v>
      </c>
      <c r="U7" s="6">
        <v>4.1666666666666664E-2</v>
      </c>
      <c r="V7" s="8">
        <v>0.3</v>
      </c>
      <c r="W7" s="8">
        <v>0.3</v>
      </c>
      <c r="X7" s="8">
        <v>0.3</v>
      </c>
      <c r="Y7" s="8">
        <v>0.3</v>
      </c>
      <c r="Z7" s="8">
        <v>0.3</v>
      </c>
      <c r="AA7" s="8">
        <v>0.3</v>
      </c>
      <c r="AB7" s="8">
        <v>0.3</v>
      </c>
      <c r="AD7" s="6">
        <v>4.1666666666666664E-2</v>
      </c>
      <c r="AE7" s="8">
        <f>82%</f>
        <v>0.82</v>
      </c>
      <c r="AF7" s="8">
        <f>82%</f>
        <v>0.82</v>
      </c>
      <c r="AG7" s="8">
        <f>82%</f>
        <v>0.82</v>
      </c>
      <c r="AH7" s="8">
        <f>82%</f>
        <v>0.82</v>
      </c>
      <c r="AI7" s="8">
        <f>82%</f>
        <v>0.82</v>
      </c>
      <c r="AJ7" s="8">
        <f>82%</f>
        <v>0.82</v>
      </c>
      <c r="AK7" s="8">
        <f>82%</f>
        <v>0.82</v>
      </c>
      <c r="AM7" s="6">
        <v>4.1666666666666664E-2</v>
      </c>
      <c r="AN7" s="10">
        <f t="shared" si="9"/>
        <v>6.876368042526579</v>
      </c>
      <c r="AO7" s="10">
        <f t="shared" ref="AO7:AO52" si="13">(E7*N7)/(1800*AF7)</f>
        <v>7.4008448908018485</v>
      </c>
      <c r="AP7" s="10">
        <f t="shared" si="0"/>
        <v>7.8787940379403798</v>
      </c>
      <c r="AQ7" s="10">
        <f t="shared" si="1"/>
        <v>6.678861788617886</v>
      </c>
      <c r="AR7" s="10">
        <f t="shared" si="2"/>
        <v>7.5204878048780488</v>
      </c>
      <c r="AS7" s="10">
        <f t="shared" si="3"/>
        <v>8.5293772525354115</v>
      </c>
      <c r="AT7" s="10">
        <f t="shared" si="4"/>
        <v>6.9304474427722997</v>
      </c>
      <c r="AV7" s="6">
        <v>4.1666666666666664E-2</v>
      </c>
      <c r="AW7" s="10">
        <f>Roster!I$73</f>
        <v>14</v>
      </c>
      <c r="AX7" s="10">
        <f>Roster!J$73</f>
        <v>15</v>
      </c>
      <c r="AY7" s="10">
        <f>Roster!K$73</f>
        <v>14</v>
      </c>
      <c r="AZ7" s="10">
        <f>Roster!L$73</f>
        <v>16</v>
      </c>
      <c r="BA7" s="10">
        <f>Roster!M$73</f>
        <v>16</v>
      </c>
      <c r="BB7" s="10">
        <f>Roster!N$73</f>
        <v>12</v>
      </c>
      <c r="BC7" s="10">
        <f>Roster!O$73</f>
        <v>18</v>
      </c>
      <c r="BE7" s="6">
        <v>4.1666666666666664E-2</v>
      </c>
      <c r="BF7" s="10">
        <f t="shared" si="10"/>
        <v>9.7999999999999989</v>
      </c>
      <c r="BG7" s="10">
        <f t="shared" si="5"/>
        <v>10.5</v>
      </c>
      <c r="BH7" s="10">
        <f t="shared" si="5"/>
        <v>9.7999999999999989</v>
      </c>
      <c r="BI7" s="10">
        <f t="shared" si="5"/>
        <v>11.2</v>
      </c>
      <c r="BJ7" s="10">
        <f t="shared" si="5"/>
        <v>11.2</v>
      </c>
      <c r="BK7" s="10">
        <f t="shared" si="5"/>
        <v>8.3999999999999986</v>
      </c>
      <c r="BL7" s="10">
        <f t="shared" si="5"/>
        <v>12.6</v>
      </c>
      <c r="BN7" s="6">
        <v>4.1666666666666664E-2</v>
      </c>
      <c r="BO7" s="10">
        <f t="shared" si="11"/>
        <v>44.180299559471365</v>
      </c>
      <c r="BP7" s="10">
        <f t="shared" si="6"/>
        <v>46.818978793981756</v>
      </c>
      <c r="BQ7" s="10">
        <f t="shared" si="6"/>
        <v>46.022271714922041</v>
      </c>
      <c r="BR7" s="10">
        <f t="shared" si="6"/>
        <v>50.307973219720026</v>
      </c>
      <c r="BS7" s="10">
        <f t="shared" si="6"/>
        <v>53.613543490951557</v>
      </c>
      <c r="BT7" s="10">
        <f t="shared" si="6"/>
        <v>37.423599701269602</v>
      </c>
      <c r="BU7" s="10">
        <f t="shared" si="6"/>
        <v>56.359997420852402</v>
      </c>
      <c r="BW7" s="6">
        <v>4.1666666666666664E-2</v>
      </c>
      <c r="BX7" s="10">
        <f t="shared" si="12"/>
        <v>2.92363195747342</v>
      </c>
      <c r="BY7" s="10">
        <f t="shared" si="7"/>
        <v>3.0991551091981515</v>
      </c>
      <c r="BZ7" s="10">
        <f t="shared" si="7"/>
        <v>1.9212059620596191</v>
      </c>
      <c r="CA7" s="10">
        <f t="shared" si="7"/>
        <v>4.5211382113821132</v>
      </c>
      <c r="CB7" s="10">
        <f t="shared" si="7"/>
        <v>3.6795121951219505</v>
      </c>
      <c r="CC7" s="10">
        <f t="shared" si="7"/>
        <v>-0.12937725253541288</v>
      </c>
      <c r="CD7" s="10">
        <f t="shared" si="7"/>
        <v>5.6695525572276999</v>
      </c>
      <c r="CF7" s="6">
        <v>4.1666666666666664E-2</v>
      </c>
      <c r="CG7" s="10">
        <f t="shared" ref="CG7:CG52" si="14">BO7-D7</f>
        <v>13.180299559471365</v>
      </c>
      <c r="CH7" s="10">
        <f t="shared" si="8"/>
        <v>13.818978793981756</v>
      </c>
      <c r="CI7" s="10">
        <f t="shared" si="8"/>
        <v>9.0222717149220415</v>
      </c>
      <c r="CJ7" s="10">
        <f t="shared" si="8"/>
        <v>20.307973219720026</v>
      </c>
      <c r="CK7" s="10">
        <f t="shared" si="8"/>
        <v>17.613543490951557</v>
      </c>
      <c r="CL7" s="10">
        <f t="shared" si="8"/>
        <v>-0.57640029873039822</v>
      </c>
      <c r="CM7" s="10">
        <f t="shared" si="8"/>
        <v>25.359997420852402</v>
      </c>
    </row>
    <row r="8" spans="3:91" x14ac:dyDescent="0.3">
      <c r="C8" s="6">
        <v>6.25E-2</v>
      </c>
      <c r="D8" s="7">
        <v>31</v>
      </c>
      <c r="E8" s="7">
        <v>33</v>
      </c>
      <c r="F8" s="7">
        <v>34</v>
      </c>
      <c r="G8" s="7">
        <v>37</v>
      </c>
      <c r="H8" s="7">
        <v>37</v>
      </c>
      <c r="I8" s="7">
        <v>31</v>
      </c>
      <c r="J8" s="7">
        <v>40</v>
      </c>
      <c r="L8" s="6">
        <v>6.25E-2</v>
      </c>
      <c r="M8" s="7">
        <v>326.54716981132077</v>
      </c>
      <c r="N8" s="7">
        <v>319.06185567010311</v>
      </c>
      <c r="O8" s="7">
        <v>323.16216216216219</v>
      </c>
      <c r="P8" s="7">
        <v>323.00961538461536</v>
      </c>
      <c r="Q8" s="7">
        <v>321.90526315789475</v>
      </c>
      <c r="R8" s="7">
        <v>334.73333333333335</v>
      </c>
      <c r="S8" s="7">
        <v>332.84112149532712</v>
      </c>
      <c r="U8" s="6">
        <v>6.25E-2</v>
      </c>
      <c r="V8" s="8">
        <v>0.3</v>
      </c>
      <c r="W8" s="8">
        <v>0.3</v>
      </c>
      <c r="X8" s="8">
        <v>0.3</v>
      </c>
      <c r="Y8" s="8">
        <v>0.3</v>
      </c>
      <c r="Z8" s="8">
        <v>0.3</v>
      </c>
      <c r="AA8" s="8">
        <v>0.3</v>
      </c>
      <c r="AB8" s="8">
        <v>0.3</v>
      </c>
      <c r="AD8" s="6">
        <v>6.25E-2</v>
      </c>
      <c r="AE8" s="8">
        <f>82%</f>
        <v>0.82</v>
      </c>
      <c r="AF8" s="8">
        <f>82%</f>
        <v>0.82</v>
      </c>
      <c r="AG8" s="8">
        <f>82%</f>
        <v>0.82</v>
      </c>
      <c r="AH8" s="8">
        <f>82%</f>
        <v>0.82</v>
      </c>
      <c r="AI8" s="8">
        <f>82%</f>
        <v>0.82</v>
      </c>
      <c r="AJ8" s="8">
        <f>82%</f>
        <v>0.82</v>
      </c>
      <c r="AK8" s="8">
        <f>82%</f>
        <v>0.82</v>
      </c>
      <c r="AM8" s="6">
        <v>6.25E-2</v>
      </c>
      <c r="AN8" s="10">
        <f t="shared" ref="AN8:AN52" si="15">(D8*M8)/(1800*AE8)</f>
        <v>6.858375517717441</v>
      </c>
      <c r="AO8" s="10">
        <f t="shared" si="13"/>
        <v>7.1334967731120615</v>
      </c>
      <c r="AP8" s="10">
        <f t="shared" si="0"/>
        <v>7.4441148465538722</v>
      </c>
      <c r="AQ8" s="10">
        <f t="shared" si="1"/>
        <v>8.0971245048988933</v>
      </c>
      <c r="AR8" s="10">
        <f t="shared" si="2"/>
        <v>8.0694408786193126</v>
      </c>
      <c r="AS8" s="10">
        <f t="shared" si="3"/>
        <v>7.0303071364046978</v>
      </c>
      <c r="AT8" s="10">
        <f t="shared" si="4"/>
        <v>9.0200845933692992</v>
      </c>
      <c r="AV8" s="6">
        <v>6.25E-2</v>
      </c>
      <c r="AW8" s="10">
        <f>Roster!I$73</f>
        <v>14</v>
      </c>
      <c r="AX8" s="10">
        <f>Roster!J$73</f>
        <v>15</v>
      </c>
      <c r="AY8" s="10">
        <f>Roster!K$73</f>
        <v>14</v>
      </c>
      <c r="AZ8" s="10">
        <f>Roster!L$73</f>
        <v>16</v>
      </c>
      <c r="BA8" s="10">
        <f>Roster!M$73</f>
        <v>16</v>
      </c>
      <c r="BB8" s="10">
        <f>Roster!N$73</f>
        <v>12</v>
      </c>
      <c r="BC8" s="10">
        <f>Roster!O$73</f>
        <v>18</v>
      </c>
      <c r="BE8" s="6">
        <v>6.25E-2</v>
      </c>
      <c r="BF8" s="10">
        <f t="shared" si="10"/>
        <v>9.7999999999999989</v>
      </c>
      <c r="BG8" s="10">
        <f t="shared" si="5"/>
        <v>10.5</v>
      </c>
      <c r="BH8" s="10">
        <f t="shared" si="5"/>
        <v>9.7999999999999989</v>
      </c>
      <c r="BI8" s="10">
        <f t="shared" si="5"/>
        <v>11.2</v>
      </c>
      <c r="BJ8" s="10">
        <f t="shared" si="5"/>
        <v>11.2</v>
      </c>
      <c r="BK8" s="10">
        <f t="shared" si="5"/>
        <v>8.3999999999999986</v>
      </c>
      <c r="BL8" s="10">
        <f t="shared" si="5"/>
        <v>12.6</v>
      </c>
      <c r="BN8" s="6">
        <v>6.25E-2</v>
      </c>
      <c r="BO8" s="10">
        <f t="shared" si="11"/>
        <v>44.296203848153922</v>
      </c>
      <c r="BP8" s="10">
        <f t="shared" si="6"/>
        <v>48.573653429836178</v>
      </c>
      <c r="BQ8" s="10">
        <f t="shared" si="6"/>
        <v>44.760190683281756</v>
      </c>
      <c r="BR8" s="10">
        <f t="shared" si="6"/>
        <v>51.178662221296108</v>
      </c>
      <c r="BS8" s="10">
        <f t="shared" si="6"/>
        <v>51.354239560511431</v>
      </c>
      <c r="BT8" s="10">
        <f t="shared" si="6"/>
        <v>37.039633539135622</v>
      </c>
      <c r="BU8" s="10">
        <f t="shared" si="6"/>
        <v>55.875307463357103</v>
      </c>
      <c r="BW8" s="6">
        <v>6.25E-2</v>
      </c>
      <c r="BX8" s="10">
        <f t="shared" si="12"/>
        <v>2.9416244822825579</v>
      </c>
      <c r="BY8" s="10">
        <f t="shared" si="7"/>
        <v>3.3665032268879385</v>
      </c>
      <c r="BZ8" s="10">
        <f t="shared" si="7"/>
        <v>2.3558851534461267</v>
      </c>
      <c r="CA8" s="10">
        <f t="shared" si="7"/>
        <v>3.1028754951011059</v>
      </c>
      <c r="CB8" s="10">
        <f t="shared" si="7"/>
        <v>3.1305591213806867</v>
      </c>
      <c r="CC8" s="10">
        <f t="shared" si="7"/>
        <v>1.3696928635953007</v>
      </c>
      <c r="CD8" s="10">
        <f t="shared" si="7"/>
        <v>3.5799154066307004</v>
      </c>
      <c r="CF8" s="6">
        <v>6.25E-2</v>
      </c>
      <c r="CG8" s="10">
        <f t="shared" si="14"/>
        <v>13.296203848153922</v>
      </c>
      <c r="CH8" s="10">
        <f t="shared" si="8"/>
        <v>15.573653429836178</v>
      </c>
      <c r="CI8" s="10">
        <f t="shared" si="8"/>
        <v>10.760190683281756</v>
      </c>
      <c r="CJ8" s="10">
        <f t="shared" si="8"/>
        <v>14.178662221296108</v>
      </c>
      <c r="CK8" s="10">
        <f t="shared" si="8"/>
        <v>14.354239560511431</v>
      </c>
      <c r="CL8" s="10">
        <f t="shared" si="8"/>
        <v>6.0396335391356217</v>
      </c>
      <c r="CM8" s="10">
        <f t="shared" si="8"/>
        <v>15.875307463357103</v>
      </c>
    </row>
    <row r="9" spans="3:91" x14ac:dyDescent="0.3">
      <c r="C9" s="6">
        <v>8.3333333333333329E-2</v>
      </c>
      <c r="D9" s="7">
        <v>36</v>
      </c>
      <c r="E9" s="7">
        <v>34</v>
      </c>
      <c r="F9" s="7">
        <v>39</v>
      </c>
      <c r="G9" s="7">
        <v>38</v>
      </c>
      <c r="H9" s="7">
        <v>39</v>
      </c>
      <c r="I9" s="7">
        <v>35</v>
      </c>
      <c r="J9" s="7">
        <v>40</v>
      </c>
      <c r="L9" s="6">
        <v>8.3333333333333329E-2</v>
      </c>
      <c r="M9" s="7">
        <v>326.73737373737373</v>
      </c>
      <c r="N9" s="7">
        <v>321.33333333333331</v>
      </c>
      <c r="O9" s="7">
        <v>321.61855670103091</v>
      </c>
      <c r="P9" s="7">
        <v>328.10309278350513</v>
      </c>
      <c r="Q9" s="7">
        <v>331.32710280373834</v>
      </c>
      <c r="R9" s="7">
        <v>335.20652173913044</v>
      </c>
      <c r="S9" s="7">
        <v>325.10000000000002</v>
      </c>
      <c r="U9" s="6">
        <v>8.3333333333333329E-2</v>
      </c>
      <c r="V9" s="8">
        <v>0.3</v>
      </c>
      <c r="W9" s="8">
        <v>0.3</v>
      </c>
      <c r="X9" s="8">
        <v>0.3</v>
      </c>
      <c r="Y9" s="8">
        <v>0.3</v>
      </c>
      <c r="Z9" s="8">
        <v>0.3</v>
      </c>
      <c r="AA9" s="8">
        <v>0.3</v>
      </c>
      <c r="AB9" s="8">
        <v>0.3</v>
      </c>
      <c r="AD9" s="6">
        <v>8.3333333333333329E-2</v>
      </c>
      <c r="AE9" s="8">
        <f>82%</f>
        <v>0.82</v>
      </c>
      <c r="AF9" s="8">
        <f>82%</f>
        <v>0.82</v>
      </c>
      <c r="AG9" s="8">
        <f>82%</f>
        <v>0.82</v>
      </c>
      <c r="AH9" s="8">
        <f>82%</f>
        <v>0.82</v>
      </c>
      <c r="AI9" s="8">
        <f>82%</f>
        <v>0.82</v>
      </c>
      <c r="AJ9" s="8">
        <f>82%</f>
        <v>0.82</v>
      </c>
      <c r="AK9" s="8">
        <f>82%</f>
        <v>0.82</v>
      </c>
      <c r="AM9" s="6">
        <v>8.3333333333333329E-2</v>
      </c>
      <c r="AN9" s="10">
        <f t="shared" si="15"/>
        <v>7.9692042374969203</v>
      </c>
      <c r="AO9" s="10">
        <f t="shared" si="13"/>
        <v>7.4019873532068647</v>
      </c>
      <c r="AP9" s="10">
        <f t="shared" si="0"/>
        <v>8.4980512949459381</v>
      </c>
      <c r="AQ9" s="10">
        <f t="shared" si="1"/>
        <v>8.4470985946972874</v>
      </c>
      <c r="AR9" s="10">
        <f t="shared" si="2"/>
        <v>8.7545779196109734</v>
      </c>
      <c r="AS9" s="10">
        <f t="shared" si="3"/>
        <v>7.9486641333804648</v>
      </c>
      <c r="AT9" s="10">
        <f t="shared" si="4"/>
        <v>8.8102981029810294</v>
      </c>
      <c r="AV9" s="6">
        <v>8.3333333333333329E-2</v>
      </c>
      <c r="AW9" s="10">
        <f>Roster!I$73</f>
        <v>14</v>
      </c>
      <c r="AX9" s="10">
        <f>Roster!J$73</f>
        <v>15</v>
      </c>
      <c r="AY9" s="10">
        <f>Roster!K$73</f>
        <v>14</v>
      </c>
      <c r="AZ9" s="10">
        <f>Roster!L$73</f>
        <v>16</v>
      </c>
      <c r="BA9" s="10">
        <f>Roster!M$73</f>
        <v>16</v>
      </c>
      <c r="BB9" s="10">
        <f>Roster!N$73</f>
        <v>12</v>
      </c>
      <c r="BC9" s="10">
        <f>Roster!O$73</f>
        <v>18</v>
      </c>
      <c r="BE9" s="6">
        <v>8.3333333333333329E-2</v>
      </c>
      <c r="BF9" s="10">
        <f t="shared" si="10"/>
        <v>9.7999999999999989</v>
      </c>
      <c r="BG9" s="10">
        <f t="shared" si="5"/>
        <v>10.5</v>
      </c>
      <c r="BH9" s="10">
        <f t="shared" si="5"/>
        <v>9.7999999999999989</v>
      </c>
      <c r="BI9" s="10">
        <f t="shared" si="5"/>
        <v>11.2</v>
      </c>
      <c r="BJ9" s="10">
        <f t="shared" si="5"/>
        <v>11.2</v>
      </c>
      <c r="BK9" s="10">
        <f t="shared" si="5"/>
        <v>8.3999999999999986</v>
      </c>
      <c r="BL9" s="10">
        <f t="shared" si="5"/>
        <v>12.6</v>
      </c>
      <c r="BN9" s="6">
        <v>8.3333333333333329E-2</v>
      </c>
      <c r="BO9" s="10">
        <f t="shared" si="11"/>
        <v>44.27041765851547</v>
      </c>
      <c r="BP9" s="10">
        <f t="shared" si="6"/>
        <v>48.23029045643154</v>
      </c>
      <c r="BQ9" s="10">
        <f t="shared" si="6"/>
        <v>44.975016828541207</v>
      </c>
      <c r="BR9" s="10">
        <f t="shared" si="6"/>
        <v>50.384163891158181</v>
      </c>
      <c r="BS9" s="10">
        <f t="shared" si="6"/>
        <v>49.893895972018505</v>
      </c>
      <c r="BT9" s="10">
        <f t="shared" si="6"/>
        <v>36.987347190246112</v>
      </c>
      <c r="BU9" s="10">
        <f t="shared" si="6"/>
        <v>57.205782836050439</v>
      </c>
      <c r="BW9" s="6">
        <v>8.3333333333333329E-2</v>
      </c>
      <c r="BX9" s="10">
        <f t="shared" si="12"/>
        <v>1.8307957625030786</v>
      </c>
      <c r="BY9" s="10">
        <f t="shared" si="7"/>
        <v>3.0980126467931353</v>
      </c>
      <c r="BZ9" s="10">
        <f t="shared" si="7"/>
        <v>1.3019487050540608</v>
      </c>
      <c r="CA9" s="10">
        <f t="shared" si="7"/>
        <v>2.7529014053027119</v>
      </c>
      <c r="CB9" s="10">
        <f t="shared" si="7"/>
        <v>2.4454220803890259</v>
      </c>
      <c r="CC9" s="10">
        <f t="shared" si="7"/>
        <v>0.45133586661953373</v>
      </c>
      <c r="CD9" s="10">
        <f t="shared" si="7"/>
        <v>3.7897018970189702</v>
      </c>
      <c r="CF9" s="6">
        <v>8.3333333333333329E-2</v>
      </c>
      <c r="CG9" s="10">
        <f t="shared" si="14"/>
        <v>8.2704176585154698</v>
      </c>
      <c r="CH9" s="10">
        <f t="shared" si="8"/>
        <v>14.23029045643154</v>
      </c>
      <c r="CI9" s="10">
        <f t="shared" si="8"/>
        <v>5.9750168285412073</v>
      </c>
      <c r="CJ9" s="10">
        <f t="shared" si="8"/>
        <v>12.384163891158181</v>
      </c>
      <c r="CK9" s="10">
        <f t="shared" si="8"/>
        <v>10.893895972018505</v>
      </c>
      <c r="CL9" s="10">
        <f t="shared" si="8"/>
        <v>1.9873471902461119</v>
      </c>
      <c r="CM9" s="10">
        <f t="shared" si="8"/>
        <v>17.205782836050439</v>
      </c>
    </row>
    <row r="10" spans="3:91" x14ac:dyDescent="0.3">
      <c r="C10" s="6">
        <v>0.10416666666666666</v>
      </c>
      <c r="D10" s="7">
        <v>31</v>
      </c>
      <c r="E10" s="7">
        <v>35</v>
      </c>
      <c r="F10" s="7">
        <v>37</v>
      </c>
      <c r="G10" s="7">
        <v>35</v>
      </c>
      <c r="H10" s="7">
        <v>36</v>
      </c>
      <c r="I10" s="7">
        <v>30</v>
      </c>
      <c r="J10" s="7">
        <v>34</v>
      </c>
      <c r="L10" s="6">
        <v>0.10416666666666666</v>
      </c>
      <c r="M10" s="7">
        <v>324.69</v>
      </c>
      <c r="N10" s="7">
        <v>324.52475247524751</v>
      </c>
      <c r="O10" s="7">
        <v>326.94949494949498</v>
      </c>
      <c r="P10" s="7">
        <v>322.4736842105263</v>
      </c>
      <c r="Q10" s="7">
        <v>329</v>
      </c>
      <c r="R10" s="7">
        <v>321.91176470588238</v>
      </c>
      <c r="S10" s="7">
        <v>320.8235294117647</v>
      </c>
      <c r="U10" s="6">
        <v>0.10416666666666666</v>
      </c>
      <c r="V10" s="8">
        <v>0.3</v>
      </c>
      <c r="W10" s="8">
        <v>0.3</v>
      </c>
      <c r="X10" s="8">
        <v>0.3</v>
      </c>
      <c r="Y10" s="8">
        <v>0.3</v>
      </c>
      <c r="Z10" s="8">
        <v>0.3</v>
      </c>
      <c r="AA10" s="8">
        <v>0.3</v>
      </c>
      <c r="AB10" s="8">
        <v>0.3</v>
      </c>
      <c r="AD10" s="6">
        <v>0.10416666666666666</v>
      </c>
      <c r="AE10" s="8">
        <f>82%</f>
        <v>0.82</v>
      </c>
      <c r="AF10" s="8">
        <f>82%</f>
        <v>0.82</v>
      </c>
      <c r="AG10" s="8">
        <f>82%</f>
        <v>0.82</v>
      </c>
      <c r="AH10" s="8">
        <f>82%</f>
        <v>0.82</v>
      </c>
      <c r="AI10" s="8">
        <f>82%</f>
        <v>0.82</v>
      </c>
      <c r="AJ10" s="8">
        <f>82%</f>
        <v>0.82</v>
      </c>
      <c r="AK10" s="8">
        <f>82%</f>
        <v>0.82</v>
      </c>
      <c r="AM10" s="6">
        <v>0.10416666666666666</v>
      </c>
      <c r="AN10" s="10">
        <f t="shared" si="15"/>
        <v>6.819369918699187</v>
      </c>
      <c r="AO10" s="10">
        <f t="shared" si="13"/>
        <v>7.6953701467707738</v>
      </c>
      <c r="AP10" s="10">
        <f t="shared" si="0"/>
        <v>8.1958884235307004</v>
      </c>
      <c r="AQ10" s="10">
        <f t="shared" si="1"/>
        <v>7.6467337041791463</v>
      </c>
      <c r="AR10" s="10">
        <f t="shared" si="2"/>
        <v>8.0243902439024382</v>
      </c>
      <c r="AS10" s="10">
        <f t="shared" si="3"/>
        <v>6.5429220468675284</v>
      </c>
      <c r="AT10" s="10">
        <f t="shared" si="4"/>
        <v>7.3902439024390247</v>
      </c>
      <c r="AV10" s="6">
        <v>0.10416666666666666</v>
      </c>
      <c r="AW10" s="10">
        <f>Roster!I$73</f>
        <v>14</v>
      </c>
      <c r="AX10" s="10">
        <f>Roster!J$73</f>
        <v>15</v>
      </c>
      <c r="AY10" s="10">
        <f>Roster!K$73</f>
        <v>14</v>
      </c>
      <c r="AZ10" s="10">
        <f>Roster!L$73</f>
        <v>16</v>
      </c>
      <c r="BA10" s="10">
        <f>Roster!M$73</f>
        <v>16</v>
      </c>
      <c r="BB10" s="10">
        <f>Roster!N$73</f>
        <v>12</v>
      </c>
      <c r="BC10" s="10">
        <f>Roster!O$73</f>
        <v>18</v>
      </c>
      <c r="BE10" s="6">
        <v>0.10416666666666666</v>
      </c>
      <c r="BF10" s="10">
        <f t="shared" si="10"/>
        <v>9.7999999999999989</v>
      </c>
      <c r="BG10" s="10">
        <f t="shared" si="5"/>
        <v>10.5</v>
      </c>
      <c r="BH10" s="10">
        <f t="shared" si="5"/>
        <v>9.7999999999999989</v>
      </c>
      <c r="BI10" s="10">
        <f t="shared" si="5"/>
        <v>11.2</v>
      </c>
      <c r="BJ10" s="10">
        <f t="shared" si="5"/>
        <v>11.2</v>
      </c>
      <c r="BK10" s="10">
        <f t="shared" si="5"/>
        <v>8.3999999999999986</v>
      </c>
      <c r="BL10" s="10">
        <f t="shared" si="5"/>
        <v>12.6</v>
      </c>
      <c r="BN10" s="6">
        <v>0.10416666666666666</v>
      </c>
      <c r="BO10" s="10">
        <f t="shared" si="11"/>
        <v>44.549570359419754</v>
      </c>
      <c r="BP10" s="10">
        <f t="shared" si="6"/>
        <v>47.755987430210212</v>
      </c>
      <c r="BQ10" s="10">
        <f t="shared" si="6"/>
        <v>44.241695501730099</v>
      </c>
      <c r="BR10" s="10">
        <f t="shared" si="6"/>
        <v>51.26371796964257</v>
      </c>
      <c r="BS10" s="10">
        <f t="shared" si="6"/>
        <v>50.246808510638303</v>
      </c>
      <c r="BT10" s="10">
        <f t="shared" si="6"/>
        <v>38.514901781635437</v>
      </c>
      <c r="BU10" s="10">
        <f t="shared" si="6"/>
        <v>57.968316831683168</v>
      </c>
      <c r="BW10" s="6">
        <v>0.10416666666666666</v>
      </c>
      <c r="BX10" s="10">
        <f t="shared" si="12"/>
        <v>2.980630081300812</v>
      </c>
      <c r="BY10" s="10">
        <f t="shared" si="7"/>
        <v>2.8046298532292262</v>
      </c>
      <c r="BZ10" s="10">
        <f t="shared" si="7"/>
        <v>1.6041115764692986</v>
      </c>
      <c r="CA10" s="10">
        <f t="shared" si="7"/>
        <v>3.553266295820853</v>
      </c>
      <c r="CB10" s="10">
        <f t="shared" si="7"/>
        <v>3.1756097560975611</v>
      </c>
      <c r="CC10" s="10">
        <f t="shared" si="7"/>
        <v>1.8570779531324701</v>
      </c>
      <c r="CD10" s="10">
        <f t="shared" si="7"/>
        <v>5.2097560975609749</v>
      </c>
      <c r="CF10" s="6">
        <v>0.10416666666666666</v>
      </c>
      <c r="CG10" s="10">
        <f t="shared" si="14"/>
        <v>13.549570359419754</v>
      </c>
      <c r="CH10" s="10">
        <f t="shared" si="8"/>
        <v>12.755987430210212</v>
      </c>
      <c r="CI10" s="10">
        <f t="shared" si="8"/>
        <v>7.2416955017300992</v>
      </c>
      <c r="CJ10" s="10">
        <f t="shared" si="8"/>
        <v>16.26371796964257</v>
      </c>
      <c r="CK10" s="10">
        <f t="shared" si="8"/>
        <v>14.246808510638303</v>
      </c>
      <c r="CL10" s="10">
        <f t="shared" si="8"/>
        <v>8.5149017816354373</v>
      </c>
      <c r="CM10" s="10">
        <f t="shared" si="8"/>
        <v>23.968316831683168</v>
      </c>
    </row>
    <row r="11" spans="3:91" x14ac:dyDescent="0.3">
      <c r="C11" s="6">
        <v>0.12499999999999999</v>
      </c>
      <c r="D11" s="7">
        <v>33</v>
      </c>
      <c r="E11" s="7">
        <v>33</v>
      </c>
      <c r="F11" s="7">
        <v>33</v>
      </c>
      <c r="G11" s="7">
        <v>34</v>
      </c>
      <c r="H11" s="7">
        <v>37</v>
      </c>
      <c r="I11" s="7">
        <v>36</v>
      </c>
      <c r="J11" s="7">
        <v>35</v>
      </c>
      <c r="L11" s="6">
        <v>0.12499999999999999</v>
      </c>
      <c r="M11" s="7">
        <v>333.59047619047618</v>
      </c>
      <c r="N11" s="7">
        <v>323.30769230769232</v>
      </c>
      <c r="O11" s="7">
        <v>314.55208333333331</v>
      </c>
      <c r="P11" s="7">
        <v>337.42553191489361</v>
      </c>
      <c r="Q11" s="7">
        <v>321.39639639639637</v>
      </c>
      <c r="R11" s="7">
        <v>322.0612244897959</v>
      </c>
      <c r="S11" s="7">
        <v>322.94623655913978</v>
      </c>
      <c r="U11" s="6">
        <v>0.12499999999999999</v>
      </c>
      <c r="V11" s="8">
        <v>0.3</v>
      </c>
      <c r="W11" s="8">
        <v>0.3</v>
      </c>
      <c r="X11" s="8">
        <v>0.3</v>
      </c>
      <c r="Y11" s="8">
        <v>0.3</v>
      </c>
      <c r="Z11" s="8">
        <v>0.3</v>
      </c>
      <c r="AA11" s="8">
        <v>0.3</v>
      </c>
      <c r="AB11" s="8">
        <v>0.3</v>
      </c>
      <c r="AD11" s="6">
        <v>0.12499999999999999</v>
      </c>
      <c r="AE11" s="8">
        <f>82%</f>
        <v>0.82</v>
      </c>
      <c r="AF11" s="8">
        <f>82%</f>
        <v>0.82</v>
      </c>
      <c r="AG11" s="8">
        <f>82%</f>
        <v>0.82</v>
      </c>
      <c r="AH11" s="8">
        <f>82%</f>
        <v>0.82</v>
      </c>
      <c r="AI11" s="8">
        <f>82%</f>
        <v>0.82</v>
      </c>
      <c r="AJ11" s="8">
        <f>82%</f>
        <v>0.82</v>
      </c>
      <c r="AK11" s="8">
        <f>82%</f>
        <v>0.82</v>
      </c>
      <c r="AM11" s="6">
        <v>0.12499999999999999</v>
      </c>
      <c r="AN11" s="10">
        <f t="shared" si="15"/>
        <v>7.4583236546651186</v>
      </c>
      <c r="AO11" s="10">
        <f t="shared" si="13"/>
        <v>7.2284240150093808</v>
      </c>
      <c r="AP11" s="10">
        <f t="shared" si="0"/>
        <v>7.032668529810298</v>
      </c>
      <c r="AQ11" s="10">
        <f t="shared" si="1"/>
        <v>7.7726748544081179</v>
      </c>
      <c r="AR11" s="10">
        <f t="shared" si="2"/>
        <v>8.0566847335140022</v>
      </c>
      <c r="AS11" s="10">
        <f t="shared" si="3"/>
        <v>7.8551518168242893</v>
      </c>
      <c r="AT11" s="10">
        <f t="shared" si="4"/>
        <v>7.6579392138007396</v>
      </c>
      <c r="AV11" s="6">
        <v>0.12499999999999999</v>
      </c>
      <c r="AW11" s="10">
        <f>Roster!I$73</f>
        <v>14</v>
      </c>
      <c r="AX11" s="10">
        <f>Roster!J$73</f>
        <v>15</v>
      </c>
      <c r="AY11" s="10">
        <f>Roster!K$73</f>
        <v>14</v>
      </c>
      <c r="AZ11" s="10">
        <f>Roster!L$73</f>
        <v>16</v>
      </c>
      <c r="BA11" s="10">
        <f>Roster!M$73</f>
        <v>16</v>
      </c>
      <c r="BB11" s="10">
        <f>Roster!N$73</f>
        <v>12</v>
      </c>
      <c r="BC11" s="10">
        <f>Roster!O$73</f>
        <v>18</v>
      </c>
      <c r="BE11" s="6">
        <v>0.12499999999999999</v>
      </c>
      <c r="BF11" s="10">
        <f t="shared" si="10"/>
        <v>9.7999999999999989</v>
      </c>
      <c r="BG11" s="10">
        <f t="shared" si="5"/>
        <v>10.5</v>
      </c>
      <c r="BH11" s="10">
        <f t="shared" si="5"/>
        <v>9.7999999999999989</v>
      </c>
      <c r="BI11" s="10">
        <f t="shared" si="5"/>
        <v>11.2</v>
      </c>
      <c r="BJ11" s="10">
        <f t="shared" si="5"/>
        <v>11.2</v>
      </c>
      <c r="BK11" s="10">
        <f t="shared" si="5"/>
        <v>8.3999999999999986</v>
      </c>
      <c r="BL11" s="10">
        <f t="shared" si="5"/>
        <v>12.6</v>
      </c>
      <c r="BN11" s="6">
        <v>0.12499999999999999</v>
      </c>
      <c r="BO11" s="10">
        <f t="shared" si="11"/>
        <v>43.360950124189912</v>
      </c>
      <c r="BP11" s="10">
        <f t="shared" si="6"/>
        <v>47.935760171306207</v>
      </c>
      <c r="BQ11" s="10">
        <f t="shared" si="6"/>
        <v>45.985389277080507</v>
      </c>
      <c r="BR11" s="10">
        <f t="shared" si="6"/>
        <v>48.99214326250079</v>
      </c>
      <c r="BS11" s="10">
        <f t="shared" si="6"/>
        <v>51.435548703573936</v>
      </c>
      <c r="BT11" s="10">
        <f t="shared" si="6"/>
        <v>38.497028071731826</v>
      </c>
      <c r="BU11" s="10">
        <f t="shared" si="6"/>
        <v>57.58729439968036</v>
      </c>
      <c r="BW11" s="6">
        <v>0.12499999999999999</v>
      </c>
      <c r="BX11" s="10">
        <f t="shared" si="12"/>
        <v>2.3416763453348803</v>
      </c>
      <c r="BY11" s="10">
        <f t="shared" si="7"/>
        <v>3.2715759849906192</v>
      </c>
      <c r="BZ11" s="10">
        <f t="shared" si="7"/>
        <v>2.7673314701897009</v>
      </c>
      <c r="CA11" s="10">
        <f t="shared" si="7"/>
        <v>3.4273251455918814</v>
      </c>
      <c r="CB11" s="10">
        <f t="shared" si="7"/>
        <v>3.1433152664859971</v>
      </c>
      <c r="CC11" s="10">
        <f t="shared" si="7"/>
        <v>0.54484818317570927</v>
      </c>
      <c r="CD11" s="10">
        <f t="shared" si="7"/>
        <v>4.94206078619926</v>
      </c>
      <c r="CF11" s="6">
        <v>0.12499999999999999</v>
      </c>
      <c r="CG11" s="10">
        <f t="shared" si="14"/>
        <v>10.360950124189912</v>
      </c>
      <c r="CH11" s="10">
        <f t="shared" si="8"/>
        <v>14.935760171306207</v>
      </c>
      <c r="CI11" s="10">
        <f t="shared" si="8"/>
        <v>12.985389277080507</v>
      </c>
      <c r="CJ11" s="10">
        <f t="shared" si="8"/>
        <v>14.99214326250079</v>
      </c>
      <c r="CK11" s="10">
        <f t="shared" si="8"/>
        <v>14.435548703573936</v>
      </c>
      <c r="CL11" s="10">
        <f t="shared" si="8"/>
        <v>2.4970280717318261</v>
      </c>
      <c r="CM11" s="10">
        <f t="shared" si="8"/>
        <v>22.58729439968036</v>
      </c>
    </row>
    <row r="12" spans="3:91" x14ac:dyDescent="0.3">
      <c r="C12" s="6">
        <v>0.14583333333333331</v>
      </c>
      <c r="D12" s="7">
        <v>51</v>
      </c>
      <c r="E12" s="7">
        <v>30</v>
      </c>
      <c r="F12" s="7">
        <v>47</v>
      </c>
      <c r="G12" s="7">
        <v>52</v>
      </c>
      <c r="H12" s="7">
        <v>39</v>
      </c>
      <c r="I12" s="7">
        <v>44</v>
      </c>
      <c r="J12" s="7">
        <v>49</v>
      </c>
      <c r="L12" s="6">
        <v>0.14583333333333331</v>
      </c>
      <c r="M12" s="7">
        <v>316.77669902912623</v>
      </c>
      <c r="N12" s="7">
        <v>328.9009900990099</v>
      </c>
      <c r="O12" s="7">
        <v>318.20481927710841</v>
      </c>
      <c r="P12" s="7">
        <v>320.9158878504673</v>
      </c>
      <c r="Q12" s="7">
        <v>315.53465346534654</v>
      </c>
      <c r="R12" s="7">
        <v>306.54205607476638</v>
      </c>
      <c r="S12" s="7">
        <v>330.85</v>
      </c>
      <c r="U12" s="6">
        <v>0.14583333333333331</v>
      </c>
      <c r="V12" s="8">
        <v>0.3</v>
      </c>
      <c r="W12" s="8">
        <v>0.3</v>
      </c>
      <c r="X12" s="8">
        <v>0.3</v>
      </c>
      <c r="Y12" s="8">
        <v>0.3</v>
      </c>
      <c r="Z12" s="8">
        <v>0.3</v>
      </c>
      <c r="AA12" s="8">
        <v>0.3</v>
      </c>
      <c r="AB12" s="8">
        <v>0.3</v>
      </c>
      <c r="AD12" s="6">
        <v>0.14583333333333331</v>
      </c>
      <c r="AE12" s="8">
        <f>82%</f>
        <v>0.82</v>
      </c>
      <c r="AF12" s="8">
        <f>82%</f>
        <v>0.82</v>
      </c>
      <c r="AG12" s="8">
        <f>82%</f>
        <v>0.82</v>
      </c>
      <c r="AH12" s="8">
        <f>82%</f>
        <v>0.82</v>
      </c>
      <c r="AI12" s="8">
        <f>82%</f>
        <v>0.82</v>
      </c>
      <c r="AJ12" s="8">
        <f>82%</f>
        <v>0.82</v>
      </c>
      <c r="AK12" s="8">
        <f>82%</f>
        <v>0.82</v>
      </c>
      <c r="AM12" s="6">
        <v>0.14583333333333331</v>
      </c>
      <c r="AN12" s="10">
        <f t="shared" si="15"/>
        <v>10.945536348567369</v>
      </c>
      <c r="AO12" s="10">
        <f t="shared" si="13"/>
        <v>6.684979473557112</v>
      </c>
      <c r="AP12" s="10">
        <f t="shared" si="0"/>
        <v>10.132538283214156</v>
      </c>
      <c r="AQ12" s="10">
        <f t="shared" si="1"/>
        <v>11.30597978876985</v>
      </c>
      <c r="AR12" s="10">
        <f t="shared" si="2"/>
        <v>8.3372977541656592</v>
      </c>
      <c r="AS12" s="10">
        <f t="shared" si="3"/>
        <v>9.1381100726895141</v>
      </c>
      <c r="AT12" s="10">
        <f t="shared" si="4"/>
        <v>10.983502710027102</v>
      </c>
      <c r="AV12" s="6">
        <v>0.14583333333333331</v>
      </c>
      <c r="AW12" s="10">
        <f>Roster!I$73</f>
        <v>14</v>
      </c>
      <c r="AX12" s="10">
        <f>Roster!J$73</f>
        <v>15</v>
      </c>
      <c r="AY12" s="10">
        <f>Roster!K$73</f>
        <v>14</v>
      </c>
      <c r="AZ12" s="10">
        <f>Roster!L$73</f>
        <v>16</v>
      </c>
      <c r="BA12" s="10">
        <f>Roster!M$73</f>
        <v>16</v>
      </c>
      <c r="BB12" s="10">
        <f>Roster!N$73</f>
        <v>12</v>
      </c>
      <c r="BC12" s="10">
        <f>Roster!O$73</f>
        <v>18</v>
      </c>
      <c r="BE12" s="6">
        <v>0.14583333333333331</v>
      </c>
      <c r="BF12" s="10">
        <f t="shared" si="10"/>
        <v>9.7999999999999989</v>
      </c>
      <c r="BG12" s="10">
        <f t="shared" si="5"/>
        <v>10.5</v>
      </c>
      <c r="BH12" s="10">
        <f t="shared" si="5"/>
        <v>9.7999999999999989</v>
      </c>
      <c r="BI12" s="10">
        <f t="shared" si="5"/>
        <v>11.2</v>
      </c>
      <c r="BJ12" s="10">
        <f t="shared" si="5"/>
        <v>11.2</v>
      </c>
      <c r="BK12" s="10">
        <f t="shared" si="5"/>
        <v>8.3999999999999986</v>
      </c>
      <c r="BL12" s="10">
        <f t="shared" si="5"/>
        <v>12.6</v>
      </c>
      <c r="BN12" s="6">
        <v>0.14583333333333331</v>
      </c>
      <c r="BO12" s="10">
        <f t="shared" si="11"/>
        <v>45.662449429937475</v>
      </c>
      <c r="BP12" s="10">
        <f t="shared" si="6"/>
        <v>47.120563532917906</v>
      </c>
      <c r="BQ12" s="10">
        <f t="shared" si="6"/>
        <v>45.457513914656772</v>
      </c>
      <c r="BR12" s="10">
        <f t="shared" si="6"/>
        <v>51.512563340905118</v>
      </c>
      <c r="BS12" s="10">
        <f t="shared" si="6"/>
        <v>52.391075967240894</v>
      </c>
      <c r="BT12" s="10">
        <f t="shared" si="6"/>
        <v>40.445999999999991</v>
      </c>
      <c r="BU12" s="10">
        <f t="shared" si="6"/>
        <v>56.21157624301042</v>
      </c>
      <c r="BW12" s="6">
        <v>0.14583333333333331</v>
      </c>
      <c r="BX12" s="10">
        <f t="shared" si="12"/>
        <v>-1.1455363485673704</v>
      </c>
      <c r="BY12" s="10">
        <f t="shared" si="7"/>
        <v>3.815020526442888</v>
      </c>
      <c r="BZ12" s="10">
        <f t="shared" si="7"/>
        <v>-0.33253828321415746</v>
      </c>
      <c r="CA12" s="10">
        <f t="shared" si="7"/>
        <v>-0.10597978876985081</v>
      </c>
      <c r="CB12" s="10">
        <f t="shared" si="7"/>
        <v>2.8627022458343401</v>
      </c>
      <c r="CC12" s="10">
        <f t="shared" si="7"/>
        <v>-0.73811007268951556</v>
      </c>
      <c r="CD12" s="10">
        <f t="shared" si="7"/>
        <v>1.616497289972898</v>
      </c>
      <c r="CF12" s="6">
        <v>0.14583333333333331</v>
      </c>
      <c r="CG12" s="10">
        <f t="shared" si="14"/>
        <v>-5.3375505700625254</v>
      </c>
      <c r="CH12" s="10">
        <f t="shared" si="8"/>
        <v>17.120563532917906</v>
      </c>
      <c r="CI12" s="10">
        <f t="shared" si="8"/>
        <v>-1.5424860853432278</v>
      </c>
      <c r="CJ12" s="10">
        <f t="shared" si="8"/>
        <v>-0.48743665909488243</v>
      </c>
      <c r="CK12" s="10">
        <f t="shared" si="8"/>
        <v>13.391075967240894</v>
      </c>
      <c r="CL12" s="10">
        <f t="shared" si="8"/>
        <v>-3.5540000000000092</v>
      </c>
      <c r="CM12" s="10">
        <f t="shared" si="8"/>
        <v>7.2115762430104198</v>
      </c>
    </row>
    <row r="13" spans="3:91" x14ac:dyDescent="0.3">
      <c r="C13" s="6">
        <v>0.16666666666666666</v>
      </c>
      <c r="D13" s="7">
        <v>58</v>
      </c>
      <c r="E13" s="7">
        <v>42</v>
      </c>
      <c r="F13" s="7">
        <v>55</v>
      </c>
      <c r="G13" s="7">
        <v>46</v>
      </c>
      <c r="H13" s="7">
        <v>42</v>
      </c>
      <c r="I13" s="7">
        <v>43</v>
      </c>
      <c r="J13" s="7">
        <v>50</v>
      </c>
      <c r="L13" s="6">
        <v>0.16666666666666666</v>
      </c>
      <c r="M13" s="7">
        <v>324.88118811881191</v>
      </c>
      <c r="N13" s="7">
        <v>332.64646464646466</v>
      </c>
      <c r="O13" s="7">
        <v>317.44660194174759</v>
      </c>
      <c r="P13" s="7">
        <v>337.07216494845363</v>
      </c>
      <c r="Q13" s="7">
        <v>334.44897959183675</v>
      </c>
      <c r="R13" s="7">
        <v>322.60377358490564</v>
      </c>
      <c r="S13" s="7">
        <v>318.31775700934577</v>
      </c>
      <c r="U13" s="6">
        <v>0.16666666666666666</v>
      </c>
      <c r="V13" s="8">
        <v>0.3</v>
      </c>
      <c r="W13" s="8">
        <v>0.3</v>
      </c>
      <c r="X13" s="8">
        <v>0.3</v>
      </c>
      <c r="Y13" s="8">
        <v>0.3</v>
      </c>
      <c r="Z13" s="8">
        <v>0.3</v>
      </c>
      <c r="AA13" s="8">
        <v>0.3</v>
      </c>
      <c r="AB13" s="8">
        <v>0.3</v>
      </c>
      <c r="AD13" s="6">
        <v>0.16666666666666666</v>
      </c>
      <c r="AE13" s="8">
        <f>82%</f>
        <v>0.82</v>
      </c>
      <c r="AF13" s="8">
        <f>82%</f>
        <v>0.82</v>
      </c>
      <c r="AG13" s="8">
        <f>82%</f>
        <v>0.82</v>
      </c>
      <c r="AH13" s="8">
        <f>82%</f>
        <v>0.82</v>
      </c>
      <c r="AI13" s="8">
        <f>82%</f>
        <v>0.82</v>
      </c>
      <c r="AJ13" s="8">
        <f>82%</f>
        <v>0.82</v>
      </c>
      <c r="AK13" s="8">
        <f>82%</f>
        <v>0.82</v>
      </c>
      <c r="AM13" s="6">
        <v>0.16666666666666666</v>
      </c>
      <c r="AN13" s="10">
        <f t="shared" si="15"/>
        <v>12.766333950468217</v>
      </c>
      <c r="AO13" s="10">
        <f t="shared" si="13"/>
        <v>9.4655498070132218</v>
      </c>
      <c r="AP13" s="10">
        <f t="shared" si="0"/>
        <v>11.828972294577316</v>
      </c>
      <c r="AQ13" s="10">
        <f t="shared" si="1"/>
        <v>10.504959070209258</v>
      </c>
      <c r="AR13" s="10">
        <f t="shared" si="2"/>
        <v>9.5168408826945416</v>
      </c>
      <c r="AS13" s="10">
        <f t="shared" si="3"/>
        <v>9.3983484174464387</v>
      </c>
      <c r="AT13" s="10">
        <f t="shared" si="4"/>
        <v>10.783121849910087</v>
      </c>
      <c r="AV13" s="6">
        <v>0.16666666666666666</v>
      </c>
      <c r="AW13" s="10">
        <f>Roster!I$73</f>
        <v>14</v>
      </c>
      <c r="AX13" s="10">
        <f>Roster!J$73</f>
        <v>15</v>
      </c>
      <c r="AY13" s="10">
        <f>Roster!K$73</f>
        <v>14</v>
      </c>
      <c r="AZ13" s="10">
        <f>Roster!L$73</f>
        <v>16</v>
      </c>
      <c r="BA13" s="10">
        <f>Roster!M$73</f>
        <v>16</v>
      </c>
      <c r="BB13" s="10">
        <f>Roster!N$73</f>
        <v>12</v>
      </c>
      <c r="BC13" s="10">
        <f>Roster!O$73</f>
        <v>18</v>
      </c>
      <c r="BE13" s="6">
        <v>0.16666666666666666</v>
      </c>
      <c r="BF13" s="10">
        <f t="shared" si="10"/>
        <v>9.7999999999999989</v>
      </c>
      <c r="BG13" s="10">
        <f t="shared" si="5"/>
        <v>10.5</v>
      </c>
      <c r="BH13" s="10">
        <f t="shared" si="5"/>
        <v>9.7999999999999989</v>
      </c>
      <c r="BI13" s="10">
        <f t="shared" si="5"/>
        <v>11.2</v>
      </c>
      <c r="BJ13" s="10">
        <f t="shared" si="5"/>
        <v>11.2</v>
      </c>
      <c r="BK13" s="10">
        <f t="shared" si="5"/>
        <v>8.3999999999999986</v>
      </c>
      <c r="BL13" s="10">
        <f t="shared" si="5"/>
        <v>12.6</v>
      </c>
      <c r="BN13" s="6">
        <v>0.16666666666666666</v>
      </c>
      <c r="BO13" s="10">
        <f t="shared" si="11"/>
        <v>44.523353548898299</v>
      </c>
      <c r="BP13" s="10">
        <f t="shared" si="6"/>
        <v>46.590003643872222</v>
      </c>
      <c r="BQ13" s="10">
        <f t="shared" si="6"/>
        <v>45.566088631984584</v>
      </c>
      <c r="BR13" s="10">
        <f t="shared" si="6"/>
        <v>49.043503792512844</v>
      </c>
      <c r="BS13" s="10">
        <f t="shared" si="6"/>
        <v>49.428166951427876</v>
      </c>
      <c r="BT13" s="10">
        <f t="shared" si="6"/>
        <v>38.432284477716685</v>
      </c>
      <c r="BU13" s="10">
        <f t="shared" si="6"/>
        <v>58.424638872577802</v>
      </c>
      <c r="BW13" s="6">
        <v>0.16666666666666666</v>
      </c>
      <c r="BX13" s="10">
        <f t="shared" si="12"/>
        <v>-2.9663339504682185</v>
      </c>
      <c r="BY13" s="10">
        <f t="shared" si="7"/>
        <v>1.0344501929867782</v>
      </c>
      <c r="BZ13" s="10">
        <f t="shared" si="7"/>
        <v>-2.0289722945773168</v>
      </c>
      <c r="CA13" s="10">
        <f t="shared" si="7"/>
        <v>0.69504092979074095</v>
      </c>
      <c r="CB13" s="10">
        <f t="shared" si="7"/>
        <v>1.6831591173054576</v>
      </c>
      <c r="CC13" s="10">
        <f t="shared" si="7"/>
        <v>-0.9983484174464401</v>
      </c>
      <c r="CD13" s="10">
        <f t="shared" si="7"/>
        <v>1.8168781500899129</v>
      </c>
      <c r="CF13" s="6">
        <v>0.16666666666666666</v>
      </c>
      <c r="CG13" s="10">
        <f t="shared" si="14"/>
        <v>-13.476646451101701</v>
      </c>
      <c r="CH13" s="10">
        <f t="shared" si="8"/>
        <v>4.5900036438722225</v>
      </c>
      <c r="CI13" s="10">
        <f t="shared" si="8"/>
        <v>-9.4339113680154156</v>
      </c>
      <c r="CJ13" s="10">
        <f t="shared" si="8"/>
        <v>3.0435037925128441</v>
      </c>
      <c r="CK13" s="10">
        <f t="shared" si="8"/>
        <v>7.4281669514278761</v>
      </c>
      <c r="CL13" s="10">
        <f t="shared" si="8"/>
        <v>-4.567715522283315</v>
      </c>
      <c r="CM13" s="10">
        <f t="shared" si="8"/>
        <v>8.4246388725778019</v>
      </c>
    </row>
    <row r="14" spans="3:91" x14ac:dyDescent="0.3">
      <c r="C14" s="6">
        <v>0.1875</v>
      </c>
      <c r="D14" s="7">
        <v>58</v>
      </c>
      <c r="E14" s="7">
        <v>54</v>
      </c>
      <c r="F14" s="7">
        <v>32</v>
      </c>
      <c r="G14" s="7">
        <v>55</v>
      </c>
      <c r="H14" s="7">
        <v>42</v>
      </c>
      <c r="I14" s="7">
        <v>33</v>
      </c>
      <c r="J14" s="7">
        <v>50</v>
      </c>
      <c r="L14" s="6">
        <v>0.1875</v>
      </c>
      <c r="M14" s="7">
        <v>338.05747126436779</v>
      </c>
      <c r="N14" s="7">
        <v>321.85714285714283</v>
      </c>
      <c r="O14" s="7">
        <v>321.60952380952381</v>
      </c>
      <c r="P14" s="7">
        <v>319.97777777777776</v>
      </c>
      <c r="Q14" s="7">
        <v>338.1682242990654</v>
      </c>
      <c r="R14" s="7">
        <v>317.02325581395348</v>
      </c>
      <c r="S14" s="7">
        <v>328.35416666666669</v>
      </c>
      <c r="U14" s="6">
        <v>0.1875</v>
      </c>
      <c r="V14" s="8">
        <v>0.3</v>
      </c>
      <c r="W14" s="8">
        <v>0.3</v>
      </c>
      <c r="X14" s="8">
        <v>0.3</v>
      </c>
      <c r="Y14" s="8">
        <v>0.3</v>
      </c>
      <c r="Z14" s="8">
        <v>0.3</v>
      </c>
      <c r="AA14" s="8">
        <v>0.3</v>
      </c>
      <c r="AB14" s="8">
        <v>0.3</v>
      </c>
      <c r="AD14" s="6">
        <v>0.1875</v>
      </c>
      <c r="AE14" s="8">
        <f>82%</f>
        <v>0.82</v>
      </c>
      <c r="AF14" s="8">
        <f>82%</f>
        <v>0.82</v>
      </c>
      <c r="AG14" s="8">
        <f>82%</f>
        <v>0.82</v>
      </c>
      <c r="AH14" s="8">
        <f>82%</f>
        <v>0.82</v>
      </c>
      <c r="AI14" s="8">
        <f>82%</f>
        <v>0.82</v>
      </c>
      <c r="AJ14" s="8">
        <f>82%</f>
        <v>0.82</v>
      </c>
      <c r="AK14" s="8">
        <f>82%</f>
        <v>0.82</v>
      </c>
      <c r="AM14" s="6">
        <v>0.1875</v>
      </c>
      <c r="AN14" s="10">
        <f t="shared" si="15"/>
        <v>13.284101174345077</v>
      </c>
      <c r="AO14" s="10">
        <f t="shared" si="13"/>
        <v>11.775261324041811</v>
      </c>
      <c r="AP14" s="10">
        <f t="shared" si="0"/>
        <v>6.972564201832494</v>
      </c>
      <c r="AQ14" s="10">
        <f t="shared" si="1"/>
        <v>11.923291177356218</v>
      </c>
      <c r="AR14" s="10">
        <f t="shared" si="2"/>
        <v>9.6226730491603973</v>
      </c>
      <c r="AS14" s="10">
        <f t="shared" si="3"/>
        <v>7.0879183210436763</v>
      </c>
      <c r="AT14" s="10">
        <f t="shared" si="4"/>
        <v>11.123108626919604</v>
      </c>
      <c r="AV14" s="6">
        <v>0.1875</v>
      </c>
      <c r="AW14" s="10">
        <f>Roster!I$73</f>
        <v>14</v>
      </c>
      <c r="AX14" s="10">
        <f>Roster!J$73</f>
        <v>15</v>
      </c>
      <c r="AY14" s="10">
        <f>Roster!K$73</f>
        <v>14</v>
      </c>
      <c r="AZ14" s="10">
        <f>Roster!L$73</f>
        <v>16</v>
      </c>
      <c r="BA14" s="10">
        <f>Roster!M$73</f>
        <v>16</v>
      </c>
      <c r="BB14" s="10">
        <f>Roster!N$73</f>
        <v>12</v>
      </c>
      <c r="BC14" s="10">
        <f>Roster!O$73</f>
        <v>18</v>
      </c>
      <c r="BE14" s="6">
        <v>0.1875</v>
      </c>
      <c r="BF14" s="10">
        <f t="shared" si="10"/>
        <v>9.7999999999999989</v>
      </c>
      <c r="BG14" s="10">
        <f t="shared" si="5"/>
        <v>10.5</v>
      </c>
      <c r="BH14" s="10">
        <f t="shared" si="5"/>
        <v>9.7999999999999989</v>
      </c>
      <c r="BI14" s="10">
        <f t="shared" si="5"/>
        <v>11.2</v>
      </c>
      <c r="BJ14" s="10">
        <f t="shared" si="5"/>
        <v>11.2</v>
      </c>
      <c r="BK14" s="10">
        <f t="shared" si="5"/>
        <v>8.3999999999999986</v>
      </c>
      <c r="BL14" s="10">
        <f t="shared" si="5"/>
        <v>12.6</v>
      </c>
      <c r="BN14" s="6">
        <v>0.1875</v>
      </c>
      <c r="BO14" s="10">
        <f t="shared" si="11"/>
        <v>42.78799088776308</v>
      </c>
      <c r="BP14" s="10">
        <f t="shared" si="6"/>
        <v>48.151797603195746</v>
      </c>
      <c r="BQ14" s="10">
        <f t="shared" si="6"/>
        <v>44.976280020136812</v>
      </c>
      <c r="BR14" s="10">
        <f t="shared" si="6"/>
        <v>51.663587749149251</v>
      </c>
      <c r="BS14" s="10">
        <f t="shared" si="6"/>
        <v>48.884545655538368</v>
      </c>
      <c r="BT14" s="10">
        <f t="shared" si="6"/>
        <v>39.108802816901402</v>
      </c>
      <c r="BU14" s="10">
        <f t="shared" si="6"/>
        <v>56.638842713025817</v>
      </c>
      <c r="BW14" s="6">
        <v>0.1875</v>
      </c>
      <c r="BX14" s="10">
        <f t="shared" si="12"/>
        <v>-3.4841011743450778</v>
      </c>
      <c r="BY14" s="10">
        <f t="shared" si="7"/>
        <v>-1.2752613240418107</v>
      </c>
      <c r="BZ14" s="10">
        <f t="shared" si="7"/>
        <v>2.8274357981675049</v>
      </c>
      <c r="CA14" s="10">
        <f t="shared" si="7"/>
        <v>-0.72329117735621828</v>
      </c>
      <c r="CB14" s="10">
        <f t="shared" si="7"/>
        <v>1.5773269508396019</v>
      </c>
      <c r="CC14" s="10">
        <f t="shared" si="7"/>
        <v>1.3120816789563223</v>
      </c>
      <c r="CD14" s="10">
        <f t="shared" si="7"/>
        <v>1.4768913730803952</v>
      </c>
      <c r="CF14" s="6">
        <v>0.1875</v>
      </c>
      <c r="CG14" s="10">
        <f t="shared" si="14"/>
        <v>-15.21200911223692</v>
      </c>
      <c r="CH14" s="10">
        <f t="shared" si="8"/>
        <v>-5.848202396804254</v>
      </c>
      <c r="CI14" s="10">
        <f t="shared" si="8"/>
        <v>12.976280020136812</v>
      </c>
      <c r="CJ14" s="10">
        <f t="shared" si="8"/>
        <v>-3.3364122508507492</v>
      </c>
      <c r="CK14" s="10">
        <f t="shared" si="8"/>
        <v>6.8845456555383677</v>
      </c>
      <c r="CL14" s="10">
        <f t="shared" si="8"/>
        <v>6.1088028169014024</v>
      </c>
      <c r="CM14" s="10">
        <f t="shared" si="8"/>
        <v>6.6388427130258165</v>
      </c>
    </row>
    <row r="15" spans="3:91" x14ac:dyDescent="0.3">
      <c r="C15" s="6">
        <v>0.20833333333333334</v>
      </c>
      <c r="D15" s="7">
        <v>60</v>
      </c>
      <c r="E15" s="7">
        <v>50</v>
      </c>
      <c r="F15" s="7">
        <v>42</v>
      </c>
      <c r="G15" s="7">
        <v>36</v>
      </c>
      <c r="H15" s="7">
        <v>45</v>
      </c>
      <c r="I15" s="7">
        <v>46</v>
      </c>
      <c r="J15" s="7">
        <v>43</v>
      </c>
      <c r="L15" s="6">
        <v>0.20833333333333334</v>
      </c>
      <c r="M15" s="7">
        <v>335.54838709677421</v>
      </c>
      <c r="N15" s="7">
        <v>327.8901098901099</v>
      </c>
      <c r="O15" s="7">
        <v>332.1782178217822</v>
      </c>
      <c r="P15" s="7">
        <v>339.58163265306121</v>
      </c>
      <c r="Q15" s="7">
        <v>329.85227272727275</v>
      </c>
      <c r="R15" s="7">
        <v>319.86458333333331</v>
      </c>
      <c r="S15" s="7">
        <v>316.90625</v>
      </c>
      <c r="U15" s="6">
        <v>0.20833333333333334</v>
      </c>
      <c r="V15" s="8">
        <v>0.3</v>
      </c>
      <c r="W15" s="8">
        <v>0.3</v>
      </c>
      <c r="X15" s="8">
        <v>0.3</v>
      </c>
      <c r="Y15" s="8">
        <v>0.3</v>
      </c>
      <c r="Z15" s="8">
        <v>0.3</v>
      </c>
      <c r="AA15" s="8">
        <v>0.3</v>
      </c>
      <c r="AB15" s="8">
        <v>0.3</v>
      </c>
      <c r="AD15" s="6">
        <v>0.20833333333333334</v>
      </c>
      <c r="AE15" s="8">
        <f>82%</f>
        <v>0.82</v>
      </c>
      <c r="AF15" s="8">
        <f>82%</f>
        <v>0.82</v>
      </c>
      <c r="AG15" s="8">
        <f>82%</f>
        <v>0.82</v>
      </c>
      <c r="AH15" s="8">
        <f>82%</f>
        <v>0.82</v>
      </c>
      <c r="AI15" s="8">
        <f>82%</f>
        <v>0.82</v>
      </c>
      <c r="AJ15" s="8">
        <f>82%</f>
        <v>0.82</v>
      </c>
      <c r="AK15" s="8">
        <f>82%</f>
        <v>0.82</v>
      </c>
      <c r="AM15" s="6">
        <v>0.20833333333333334</v>
      </c>
      <c r="AN15" s="10">
        <f t="shared" si="15"/>
        <v>13.640178337267242</v>
      </c>
      <c r="AO15" s="10">
        <f t="shared" si="13"/>
        <v>11.107388546412936</v>
      </c>
      <c r="AP15" s="10">
        <f t="shared" si="0"/>
        <v>9.4522257103759166</v>
      </c>
      <c r="AQ15" s="10">
        <f t="shared" si="1"/>
        <v>8.2824788451966143</v>
      </c>
      <c r="AR15" s="10">
        <f t="shared" si="2"/>
        <v>10.056471729490022</v>
      </c>
      <c r="AS15" s="10">
        <f t="shared" si="3"/>
        <v>9.9686794263775962</v>
      </c>
      <c r="AT15" s="10">
        <f t="shared" si="4"/>
        <v>9.2323636517615171</v>
      </c>
      <c r="AV15" s="6">
        <v>0.20833333333333334</v>
      </c>
      <c r="AW15" s="10">
        <f>Roster!I$73</f>
        <v>14</v>
      </c>
      <c r="AX15" s="10">
        <f>Roster!J$73</f>
        <v>15</v>
      </c>
      <c r="AY15" s="10">
        <f>Roster!K$73</f>
        <v>14</v>
      </c>
      <c r="AZ15" s="10">
        <f>Roster!L$73</f>
        <v>16</v>
      </c>
      <c r="BA15" s="10">
        <f>Roster!M$73</f>
        <v>16</v>
      </c>
      <c r="BB15" s="10">
        <f>Roster!N$73</f>
        <v>12</v>
      </c>
      <c r="BC15" s="10">
        <f>Roster!O$73</f>
        <v>18</v>
      </c>
      <c r="BE15" s="6">
        <v>0.20833333333333334</v>
      </c>
      <c r="BF15" s="10">
        <f t="shared" si="10"/>
        <v>9.7999999999999989</v>
      </c>
      <c r="BG15" s="10">
        <f t="shared" si="5"/>
        <v>10.5</v>
      </c>
      <c r="BH15" s="10">
        <f t="shared" si="5"/>
        <v>9.7999999999999989</v>
      </c>
      <c r="BI15" s="10">
        <f t="shared" si="5"/>
        <v>11.2</v>
      </c>
      <c r="BJ15" s="10">
        <f t="shared" si="5"/>
        <v>11.2</v>
      </c>
      <c r="BK15" s="10">
        <f t="shared" si="5"/>
        <v>8.3999999999999986</v>
      </c>
      <c r="BL15" s="10">
        <f t="shared" si="5"/>
        <v>12.6</v>
      </c>
      <c r="BN15" s="6">
        <v>0.20833333333333334</v>
      </c>
      <c r="BO15" s="10">
        <f t="shared" si="11"/>
        <v>43.10794078061911</v>
      </c>
      <c r="BP15" s="10">
        <f t="shared" si="6"/>
        <v>47.26583551176352</v>
      </c>
      <c r="BQ15" s="10">
        <f t="shared" si="6"/>
        <v>43.545299552906108</v>
      </c>
      <c r="BR15" s="10">
        <f t="shared" si="6"/>
        <v>48.681078157396563</v>
      </c>
      <c r="BS15" s="10">
        <f t="shared" si="6"/>
        <v>50.116980742067732</v>
      </c>
      <c r="BT15" s="10">
        <f t="shared" si="6"/>
        <v>38.76140293744097</v>
      </c>
      <c r="BU15" s="10">
        <f t="shared" si="6"/>
        <v>58.684863425697657</v>
      </c>
      <c r="BW15" s="6">
        <v>0.20833333333333334</v>
      </c>
      <c r="BX15" s="10">
        <f t="shared" si="12"/>
        <v>-3.8401783372672433</v>
      </c>
      <c r="BY15" s="10">
        <f t="shared" si="7"/>
        <v>-0.60738854641293649</v>
      </c>
      <c r="BZ15" s="10">
        <f t="shared" si="7"/>
        <v>0.3477742896240823</v>
      </c>
      <c r="CA15" s="10">
        <f t="shared" si="7"/>
        <v>2.917521154803385</v>
      </c>
      <c r="CB15" s="10">
        <f t="shared" si="7"/>
        <v>1.143528270509977</v>
      </c>
      <c r="CC15" s="10">
        <f t="shared" si="7"/>
        <v>-1.5686794263775976</v>
      </c>
      <c r="CD15" s="10">
        <f t="shared" si="7"/>
        <v>3.3676363482384826</v>
      </c>
      <c r="CF15" s="6">
        <v>0.20833333333333334</v>
      </c>
      <c r="CG15" s="10">
        <f t="shared" si="14"/>
        <v>-16.89205921938089</v>
      </c>
      <c r="CH15" s="10">
        <f t="shared" si="8"/>
        <v>-2.7341644882364804</v>
      </c>
      <c r="CI15" s="10">
        <f t="shared" si="8"/>
        <v>1.5452995529061084</v>
      </c>
      <c r="CJ15" s="10">
        <f t="shared" si="8"/>
        <v>12.681078157396563</v>
      </c>
      <c r="CK15" s="10">
        <f t="shared" si="8"/>
        <v>5.1169807420677316</v>
      </c>
      <c r="CL15" s="10">
        <f t="shared" si="8"/>
        <v>-7.2385970625590303</v>
      </c>
      <c r="CM15" s="10">
        <f t="shared" si="8"/>
        <v>15.684863425697657</v>
      </c>
    </row>
    <row r="16" spans="3:91" x14ac:dyDescent="0.3">
      <c r="C16" s="6">
        <v>0.22916666666666669</v>
      </c>
      <c r="D16" s="7">
        <v>44</v>
      </c>
      <c r="E16" s="7">
        <v>60</v>
      </c>
      <c r="F16" s="7">
        <v>55</v>
      </c>
      <c r="G16" s="7">
        <v>36</v>
      </c>
      <c r="H16" s="7">
        <v>36</v>
      </c>
      <c r="I16" s="7">
        <v>31</v>
      </c>
      <c r="J16" s="7">
        <v>60</v>
      </c>
      <c r="L16" s="6">
        <v>0.22916666666666669</v>
      </c>
      <c r="M16" s="7">
        <v>327.77</v>
      </c>
      <c r="N16" s="7">
        <v>325.69306930693068</v>
      </c>
      <c r="O16" s="7">
        <v>331.29245283018867</v>
      </c>
      <c r="P16" s="7">
        <v>314.96039603960395</v>
      </c>
      <c r="Q16" s="7">
        <v>325.52941176470586</v>
      </c>
      <c r="R16" s="7">
        <v>326.74468085106383</v>
      </c>
      <c r="S16" s="7">
        <v>321.11827956989248</v>
      </c>
      <c r="U16" s="6">
        <v>0.22916666666666669</v>
      </c>
      <c r="V16" s="8">
        <v>0.3</v>
      </c>
      <c r="W16" s="8">
        <v>0.3</v>
      </c>
      <c r="X16" s="8">
        <v>0.3</v>
      </c>
      <c r="Y16" s="8">
        <v>0.3</v>
      </c>
      <c r="Z16" s="8">
        <v>0.3</v>
      </c>
      <c r="AA16" s="8">
        <v>0.3</v>
      </c>
      <c r="AB16" s="8">
        <v>0.3</v>
      </c>
      <c r="AD16" s="6">
        <v>0.22916666666666669</v>
      </c>
      <c r="AE16" s="8">
        <f>82%</f>
        <v>0.82</v>
      </c>
      <c r="AF16" s="8">
        <f>82%</f>
        <v>0.82</v>
      </c>
      <c r="AG16" s="8">
        <f>82%</f>
        <v>0.82</v>
      </c>
      <c r="AH16" s="8">
        <f>82%</f>
        <v>0.82</v>
      </c>
      <c r="AI16" s="8">
        <f>82%</f>
        <v>0.82</v>
      </c>
      <c r="AJ16" s="8">
        <f>82%</f>
        <v>0.82</v>
      </c>
      <c r="AK16" s="8">
        <f>82%</f>
        <v>0.82</v>
      </c>
      <c r="AM16" s="6">
        <v>0.22916666666666669</v>
      </c>
      <c r="AN16" s="10">
        <f t="shared" si="15"/>
        <v>9.7709214092140915</v>
      </c>
      <c r="AO16" s="10">
        <f t="shared" si="13"/>
        <v>13.239555662883362</v>
      </c>
      <c r="AP16" s="10">
        <f t="shared" si="0"/>
        <v>12.344908472669632</v>
      </c>
      <c r="AQ16" s="10">
        <f t="shared" si="1"/>
        <v>7.6819608790147305</v>
      </c>
      <c r="AR16" s="10">
        <f t="shared" si="2"/>
        <v>7.9397417503586798</v>
      </c>
      <c r="AS16" s="10">
        <f t="shared" si="3"/>
        <v>6.8625237848123168</v>
      </c>
      <c r="AT16" s="10">
        <f t="shared" si="4"/>
        <v>13.053588600402133</v>
      </c>
      <c r="AV16" s="6">
        <v>0.22916666666666669</v>
      </c>
      <c r="AW16" s="10">
        <f>Roster!I$73</f>
        <v>14</v>
      </c>
      <c r="AX16" s="10">
        <f>Roster!J$73</f>
        <v>15</v>
      </c>
      <c r="AY16" s="10">
        <f>Roster!K$73</f>
        <v>14</v>
      </c>
      <c r="AZ16" s="10">
        <f>Roster!L$73</f>
        <v>16</v>
      </c>
      <c r="BA16" s="10">
        <f>Roster!M$73</f>
        <v>16</v>
      </c>
      <c r="BB16" s="10">
        <f>Roster!N$73</f>
        <v>12</v>
      </c>
      <c r="BC16" s="10">
        <f>Roster!O$73</f>
        <v>18</v>
      </c>
      <c r="BE16" s="6">
        <v>0.22916666666666669</v>
      </c>
      <c r="BF16" s="10">
        <f t="shared" si="10"/>
        <v>9.7999999999999989</v>
      </c>
      <c r="BG16" s="10">
        <f t="shared" si="5"/>
        <v>10.5</v>
      </c>
      <c r="BH16" s="10">
        <f t="shared" si="5"/>
        <v>9.7999999999999989</v>
      </c>
      <c r="BI16" s="10">
        <f t="shared" si="5"/>
        <v>11.2</v>
      </c>
      <c r="BJ16" s="10">
        <f t="shared" si="5"/>
        <v>11.2</v>
      </c>
      <c r="BK16" s="10">
        <f t="shared" si="5"/>
        <v>8.3999999999999986</v>
      </c>
      <c r="BL16" s="10">
        <f t="shared" si="5"/>
        <v>12.6</v>
      </c>
      <c r="BN16" s="6">
        <v>0.22916666666666669</v>
      </c>
      <c r="BO16" s="10">
        <f t="shared" si="11"/>
        <v>44.130945480062238</v>
      </c>
      <c r="BP16" s="10">
        <f t="shared" si="6"/>
        <v>47.584678522571821</v>
      </c>
      <c r="BQ16" s="10">
        <f t="shared" si="6"/>
        <v>43.661725090412048</v>
      </c>
      <c r="BR16" s="10">
        <f t="shared" si="6"/>
        <v>52.486598975197261</v>
      </c>
      <c r="BS16" s="10">
        <f t="shared" si="6"/>
        <v>50.782508131550422</v>
      </c>
      <c r="BT16" s="10">
        <f t="shared" si="6"/>
        <v>37.94522367649931</v>
      </c>
      <c r="BU16" s="10">
        <f t="shared" si="6"/>
        <v>57.915108491829621</v>
      </c>
      <c r="BW16" s="6">
        <v>0.22916666666666669</v>
      </c>
      <c r="BX16" s="10">
        <f t="shared" si="12"/>
        <v>2.9078590785907465E-2</v>
      </c>
      <c r="BY16" s="10">
        <f t="shared" si="7"/>
        <v>-2.7395556628833617</v>
      </c>
      <c r="BZ16" s="10">
        <f t="shared" si="7"/>
        <v>-2.5449084726696327</v>
      </c>
      <c r="CA16" s="10">
        <f t="shared" si="7"/>
        <v>3.5180391209852688</v>
      </c>
      <c r="CB16" s="10">
        <f t="shared" si="7"/>
        <v>3.2602582496413195</v>
      </c>
      <c r="CC16" s="10">
        <f t="shared" si="7"/>
        <v>1.5374762151876817</v>
      </c>
      <c r="CD16" s="10">
        <f t="shared" si="7"/>
        <v>-0.45358860040213322</v>
      </c>
      <c r="CF16" s="6">
        <v>0.22916666666666669</v>
      </c>
      <c r="CG16" s="10">
        <f t="shared" si="14"/>
        <v>0.13094548006223761</v>
      </c>
      <c r="CH16" s="10">
        <f t="shared" si="8"/>
        <v>-12.415321477428179</v>
      </c>
      <c r="CI16" s="10">
        <f t="shared" si="8"/>
        <v>-11.338274909587952</v>
      </c>
      <c r="CJ16" s="10">
        <f t="shared" si="8"/>
        <v>16.486598975197261</v>
      </c>
      <c r="CK16" s="10">
        <f t="shared" si="8"/>
        <v>14.782508131550422</v>
      </c>
      <c r="CL16" s="10">
        <f t="shared" si="8"/>
        <v>6.9452236764993103</v>
      </c>
      <c r="CM16" s="10">
        <f t="shared" si="8"/>
        <v>-2.0848915081703794</v>
      </c>
    </row>
    <row r="17" spans="3:91" x14ac:dyDescent="0.3">
      <c r="C17" s="6">
        <v>0.25</v>
      </c>
      <c r="D17" s="7">
        <v>31</v>
      </c>
      <c r="E17" s="7">
        <v>51</v>
      </c>
      <c r="F17" s="7">
        <v>47</v>
      </c>
      <c r="G17" s="7">
        <v>35</v>
      </c>
      <c r="H17" s="7">
        <v>44</v>
      </c>
      <c r="I17" s="7">
        <v>45</v>
      </c>
      <c r="J17" s="7">
        <v>56</v>
      </c>
      <c r="L17" s="6">
        <v>0.25</v>
      </c>
      <c r="M17" s="7">
        <v>335.85294117647061</v>
      </c>
      <c r="N17" s="7">
        <v>311.83050847457628</v>
      </c>
      <c r="O17" s="7">
        <v>325.20754716981133</v>
      </c>
      <c r="P17" s="7">
        <v>318.4727272727273</v>
      </c>
      <c r="Q17" s="7">
        <v>323.57547169811323</v>
      </c>
      <c r="R17" s="7">
        <v>345.52083333333331</v>
      </c>
      <c r="S17" s="7">
        <v>318.1320754716981</v>
      </c>
      <c r="U17" s="6">
        <v>0.25</v>
      </c>
      <c r="V17" s="8">
        <v>0.3</v>
      </c>
      <c r="W17" s="8">
        <v>0.3</v>
      </c>
      <c r="X17" s="8">
        <v>0.3</v>
      </c>
      <c r="Y17" s="8">
        <v>0.3</v>
      </c>
      <c r="Z17" s="8">
        <v>0.3</v>
      </c>
      <c r="AA17" s="8">
        <v>0.3</v>
      </c>
      <c r="AB17" s="8">
        <v>0.3</v>
      </c>
      <c r="AD17" s="6">
        <v>0.25</v>
      </c>
      <c r="AE17" s="8">
        <f>82%</f>
        <v>0.82</v>
      </c>
      <c r="AF17" s="8">
        <f>82%</f>
        <v>0.82</v>
      </c>
      <c r="AG17" s="8">
        <f>82%</f>
        <v>0.82</v>
      </c>
      <c r="AH17" s="8">
        <f>82%</f>
        <v>0.82</v>
      </c>
      <c r="AI17" s="8">
        <f>82%</f>
        <v>0.82</v>
      </c>
      <c r="AJ17" s="8">
        <f>82%</f>
        <v>0.82</v>
      </c>
      <c r="AK17" s="8">
        <f>82%</f>
        <v>0.82</v>
      </c>
      <c r="AM17" s="6">
        <v>0.25</v>
      </c>
      <c r="AN17" s="10">
        <f t="shared" si="15"/>
        <v>7.0538219352781768</v>
      </c>
      <c r="AO17" s="10">
        <f t="shared" si="13"/>
        <v>10.774631390381701</v>
      </c>
      <c r="AP17" s="10">
        <f t="shared" si="0"/>
        <v>10.355524876003479</v>
      </c>
      <c r="AQ17" s="10">
        <f t="shared" si="1"/>
        <v>7.5518600640551865</v>
      </c>
      <c r="AR17" s="10">
        <f t="shared" si="2"/>
        <v>9.6458812701334562</v>
      </c>
      <c r="AS17" s="10">
        <f t="shared" si="3"/>
        <v>10.534171747967479</v>
      </c>
      <c r="AT17" s="10">
        <f t="shared" si="4"/>
        <v>12.070051643912665</v>
      </c>
      <c r="AV17" s="6">
        <v>0.25</v>
      </c>
      <c r="AW17" s="10">
        <f>Roster!I$71</f>
        <v>14</v>
      </c>
      <c r="AX17" s="10">
        <f>Roster!J$71</f>
        <v>14</v>
      </c>
      <c r="AY17" s="10">
        <f>Roster!K$71</f>
        <v>18</v>
      </c>
      <c r="AZ17" s="10">
        <f>Roster!L$71</f>
        <v>19</v>
      </c>
      <c r="BA17" s="10">
        <f>Roster!M$71</f>
        <v>13</v>
      </c>
      <c r="BB17" s="10">
        <f>Roster!N$71</f>
        <v>14</v>
      </c>
      <c r="BC17" s="10">
        <f>Roster!O$71</f>
        <v>17</v>
      </c>
      <c r="BE17" s="6">
        <v>0.25</v>
      </c>
      <c r="BF17" s="10">
        <f t="shared" si="10"/>
        <v>9.7999999999999989</v>
      </c>
      <c r="BG17" s="10">
        <f t="shared" si="5"/>
        <v>9.7999999999999989</v>
      </c>
      <c r="BH17" s="10">
        <f t="shared" si="5"/>
        <v>12.6</v>
      </c>
      <c r="BI17" s="10">
        <f t="shared" si="5"/>
        <v>13.299999999999999</v>
      </c>
      <c r="BJ17" s="10">
        <f t="shared" si="5"/>
        <v>9.1</v>
      </c>
      <c r="BK17" s="10">
        <f t="shared" si="5"/>
        <v>9.7999999999999989</v>
      </c>
      <c r="BL17" s="10">
        <f t="shared" si="5"/>
        <v>11.899999999999999</v>
      </c>
      <c r="BN17" s="6">
        <v>0.25</v>
      </c>
      <c r="BO17" s="10">
        <f t="shared" si="11"/>
        <v>43.068850162010676</v>
      </c>
      <c r="BP17" s="10">
        <f t="shared" si="6"/>
        <v>46.386737688879222</v>
      </c>
      <c r="BQ17" s="10">
        <f t="shared" si="6"/>
        <v>57.186864701786952</v>
      </c>
      <c r="BR17" s="10">
        <f t="shared" si="6"/>
        <v>61.640443023521343</v>
      </c>
      <c r="BS17" s="10">
        <f t="shared" si="6"/>
        <v>41.509944896352664</v>
      </c>
      <c r="BT17" s="10">
        <f t="shared" si="6"/>
        <v>41.863756406391317</v>
      </c>
      <c r="BU17" s="10">
        <f t="shared" si="6"/>
        <v>55.21103137417709</v>
      </c>
      <c r="BW17" s="6">
        <v>0.25</v>
      </c>
      <c r="BX17" s="10">
        <f t="shared" si="12"/>
        <v>2.7461780647218221</v>
      </c>
      <c r="BY17" s="10">
        <f t="shared" si="7"/>
        <v>-0.97463139038170254</v>
      </c>
      <c r="BZ17" s="10">
        <f t="shared" si="7"/>
        <v>2.244475123996521</v>
      </c>
      <c r="CA17" s="10">
        <f t="shared" si="7"/>
        <v>5.7481399359448124</v>
      </c>
      <c r="CB17" s="10">
        <f t="shared" si="7"/>
        <v>-0.54588127013345655</v>
      </c>
      <c r="CC17" s="10">
        <f t="shared" si="7"/>
        <v>-0.73417174796747986</v>
      </c>
      <c r="CD17" s="10">
        <f t="shared" si="7"/>
        <v>-0.17005164391266625</v>
      </c>
      <c r="CF17" s="6">
        <v>0.25</v>
      </c>
      <c r="CG17" s="10">
        <f t="shared" si="14"/>
        <v>12.068850162010676</v>
      </c>
      <c r="CH17" s="10">
        <f t="shared" si="8"/>
        <v>-4.6132623111207778</v>
      </c>
      <c r="CI17" s="10">
        <f t="shared" si="8"/>
        <v>10.186864701786952</v>
      </c>
      <c r="CJ17" s="10">
        <f t="shared" si="8"/>
        <v>26.640443023521343</v>
      </c>
      <c r="CK17" s="10">
        <f t="shared" si="8"/>
        <v>-2.490055103647336</v>
      </c>
      <c r="CL17" s="10">
        <f t="shared" si="8"/>
        <v>-3.1362435936086825</v>
      </c>
      <c r="CM17" s="10">
        <f t="shared" si="8"/>
        <v>-0.7889686258229105</v>
      </c>
    </row>
    <row r="18" spans="3:91" x14ac:dyDescent="0.3">
      <c r="C18" s="6">
        <v>0.27083333333333331</v>
      </c>
      <c r="D18" s="7">
        <v>60</v>
      </c>
      <c r="E18" s="7">
        <v>33</v>
      </c>
      <c r="F18" s="7">
        <v>36</v>
      </c>
      <c r="G18" s="7">
        <v>47</v>
      </c>
      <c r="H18" s="7">
        <v>39</v>
      </c>
      <c r="I18" s="7">
        <v>52</v>
      </c>
      <c r="J18" s="7">
        <v>48</v>
      </c>
      <c r="L18" s="6">
        <v>0.27083333333333331</v>
      </c>
      <c r="M18" s="7">
        <v>318.57894736842104</v>
      </c>
      <c r="N18" s="7">
        <v>336.94897959183675</v>
      </c>
      <c r="O18" s="7">
        <v>323.25263157894739</v>
      </c>
      <c r="P18" s="7">
        <v>324.18269230769232</v>
      </c>
      <c r="Q18" s="7">
        <v>319.02352941176468</v>
      </c>
      <c r="R18" s="7">
        <v>311.44444444444446</v>
      </c>
      <c r="S18" s="7">
        <v>319.15178571428572</v>
      </c>
      <c r="U18" s="6">
        <v>0.27083333333333331</v>
      </c>
      <c r="V18" s="8">
        <v>0.3</v>
      </c>
      <c r="W18" s="8">
        <v>0.3</v>
      </c>
      <c r="X18" s="8">
        <v>0.3</v>
      </c>
      <c r="Y18" s="8">
        <v>0.3</v>
      </c>
      <c r="Z18" s="8">
        <v>0.3</v>
      </c>
      <c r="AA18" s="8">
        <v>0.3</v>
      </c>
      <c r="AB18" s="8">
        <v>0.3</v>
      </c>
      <c r="AD18" s="6">
        <v>0.27083333333333331</v>
      </c>
      <c r="AE18" s="8">
        <f>82%</f>
        <v>0.82</v>
      </c>
      <c r="AF18" s="8">
        <f>82%</f>
        <v>0.82</v>
      </c>
      <c r="AG18" s="8">
        <f>82%</f>
        <v>0.82</v>
      </c>
      <c r="AH18" s="8">
        <f>82%</f>
        <v>0.82</v>
      </c>
      <c r="AI18" s="8">
        <f>82%</f>
        <v>0.82</v>
      </c>
      <c r="AJ18" s="8">
        <f>82%</f>
        <v>0.82</v>
      </c>
      <c r="AK18" s="8">
        <f>82%</f>
        <v>0.82</v>
      </c>
      <c r="AM18" s="6">
        <v>0.27083333333333331</v>
      </c>
      <c r="AN18" s="10">
        <f t="shared" si="15"/>
        <v>12.950363714163458</v>
      </c>
      <c r="AO18" s="10">
        <f t="shared" si="13"/>
        <v>7.5334121453459435</v>
      </c>
      <c r="AP18" s="10">
        <f t="shared" si="0"/>
        <v>7.8842105263157896</v>
      </c>
      <c r="AQ18" s="10">
        <f t="shared" si="1"/>
        <v>10.322890608713779</v>
      </c>
      <c r="AR18" s="10">
        <f t="shared" si="2"/>
        <v>8.4294835007173603</v>
      </c>
      <c r="AS18" s="10">
        <f t="shared" si="3"/>
        <v>10.972297500752786</v>
      </c>
      <c r="AT18" s="10">
        <f t="shared" si="4"/>
        <v>10.378919860627178</v>
      </c>
      <c r="AV18" s="6">
        <v>0.27083333333333331</v>
      </c>
      <c r="AW18" s="10">
        <f>Roster!I$71</f>
        <v>14</v>
      </c>
      <c r="AX18" s="10">
        <f>Roster!J$71</f>
        <v>14</v>
      </c>
      <c r="AY18" s="10">
        <f>Roster!K$71</f>
        <v>18</v>
      </c>
      <c r="AZ18" s="10">
        <f>Roster!L$71</f>
        <v>19</v>
      </c>
      <c r="BA18" s="10">
        <f>Roster!M$71</f>
        <v>13</v>
      </c>
      <c r="BB18" s="10">
        <f>Roster!N$71</f>
        <v>14</v>
      </c>
      <c r="BC18" s="10">
        <f>Roster!O$71</f>
        <v>17</v>
      </c>
      <c r="BE18" s="6">
        <v>0.27083333333333331</v>
      </c>
      <c r="BF18" s="10">
        <f t="shared" si="10"/>
        <v>9.7999999999999989</v>
      </c>
      <c r="BG18" s="10">
        <f t="shared" si="5"/>
        <v>9.7999999999999989</v>
      </c>
      <c r="BH18" s="10">
        <f t="shared" si="5"/>
        <v>12.6</v>
      </c>
      <c r="BI18" s="10">
        <f t="shared" si="5"/>
        <v>13.299999999999999</v>
      </c>
      <c r="BJ18" s="10">
        <f t="shared" si="5"/>
        <v>9.1</v>
      </c>
      <c r="BK18" s="10">
        <f t="shared" si="5"/>
        <v>9.7999999999999989</v>
      </c>
      <c r="BL18" s="10">
        <f t="shared" si="5"/>
        <v>11.899999999999999</v>
      </c>
      <c r="BN18" s="6">
        <v>0.27083333333333331</v>
      </c>
      <c r="BO18" s="10">
        <f t="shared" si="11"/>
        <v>45.40413018338014</v>
      </c>
      <c r="BP18" s="10">
        <f t="shared" si="6"/>
        <v>42.928754428999724</v>
      </c>
      <c r="BQ18" s="10">
        <f t="shared" si="6"/>
        <v>57.532710280373827</v>
      </c>
      <c r="BR18" s="10">
        <f t="shared" si="6"/>
        <v>60.554744179148742</v>
      </c>
      <c r="BS18" s="10">
        <f t="shared" si="6"/>
        <v>42.102223697311651</v>
      </c>
      <c r="BT18" s="10">
        <f t="shared" si="6"/>
        <v>46.444238316089901</v>
      </c>
      <c r="BU18" s="10">
        <f t="shared" si="6"/>
        <v>55.03462861938732</v>
      </c>
      <c r="BW18" s="6">
        <v>0.27083333333333331</v>
      </c>
      <c r="BX18" s="10">
        <f t="shared" si="12"/>
        <v>-3.1503637141634595</v>
      </c>
      <c r="BY18" s="10">
        <f t="shared" si="7"/>
        <v>2.2665878546540554</v>
      </c>
      <c r="BZ18" s="10">
        <f t="shared" si="7"/>
        <v>4.7157894736842101</v>
      </c>
      <c r="CA18" s="10">
        <f t="shared" si="7"/>
        <v>2.9771093912862199</v>
      </c>
      <c r="CB18" s="10">
        <f t="shared" si="7"/>
        <v>0.67051649928263934</v>
      </c>
      <c r="CC18" s="10">
        <f t="shared" si="7"/>
        <v>-1.1722975007527872</v>
      </c>
      <c r="CD18" s="10">
        <f t="shared" si="7"/>
        <v>1.5210801393728204</v>
      </c>
      <c r="CF18" s="6">
        <v>0.27083333333333331</v>
      </c>
      <c r="CG18" s="10">
        <f t="shared" si="14"/>
        <v>-14.59586981661986</v>
      </c>
      <c r="CH18" s="10">
        <f t="shared" si="8"/>
        <v>9.9287544289997243</v>
      </c>
      <c r="CI18" s="10">
        <f t="shared" si="8"/>
        <v>21.532710280373827</v>
      </c>
      <c r="CJ18" s="10">
        <f t="shared" si="8"/>
        <v>13.554744179148742</v>
      </c>
      <c r="CK18" s="10">
        <f t="shared" si="8"/>
        <v>3.1022236973116506</v>
      </c>
      <c r="CL18" s="10">
        <f t="shared" si="8"/>
        <v>-5.5557616839100987</v>
      </c>
      <c r="CM18" s="10">
        <f t="shared" si="8"/>
        <v>7.0346286193873198</v>
      </c>
    </row>
    <row r="19" spans="3:91" x14ac:dyDescent="0.3">
      <c r="C19" s="6">
        <v>0.29166666666666663</v>
      </c>
      <c r="D19" s="7">
        <v>60</v>
      </c>
      <c r="E19" s="7">
        <v>49</v>
      </c>
      <c r="F19" s="7">
        <v>50</v>
      </c>
      <c r="G19" s="7">
        <v>49</v>
      </c>
      <c r="H19" s="7">
        <v>56</v>
      </c>
      <c r="I19" s="7">
        <v>32</v>
      </c>
      <c r="J19" s="7">
        <v>54</v>
      </c>
      <c r="L19" s="6">
        <v>0.29166666666666663</v>
      </c>
      <c r="M19" s="7">
        <v>318.44086021505376</v>
      </c>
      <c r="N19" s="7">
        <v>332.86666666666667</v>
      </c>
      <c r="O19" s="7">
        <v>320.36</v>
      </c>
      <c r="P19" s="7">
        <v>329.25531914893617</v>
      </c>
      <c r="Q19" s="7">
        <v>322.59139784946234</v>
      </c>
      <c r="R19" s="7">
        <v>335.70454545454544</v>
      </c>
      <c r="S19" s="7">
        <v>322.69565217391306</v>
      </c>
      <c r="U19" s="6">
        <v>0.29166666666666663</v>
      </c>
      <c r="V19" s="8">
        <v>0.3</v>
      </c>
      <c r="W19" s="8">
        <v>0.3</v>
      </c>
      <c r="X19" s="8">
        <v>0.3</v>
      </c>
      <c r="Y19" s="8">
        <v>0.3</v>
      </c>
      <c r="Z19" s="8">
        <v>0.3</v>
      </c>
      <c r="AA19" s="8">
        <v>0.3</v>
      </c>
      <c r="AB19" s="8">
        <v>0.3</v>
      </c>
      <c r="AD19" s="6">
        <v>0.29166666666666663</v>
      </c>
      <c r="AE19" s="8">
        <f>82%</f>
        <v>0.82</v>
      </c>
      <c r="AF19" s="8">
        <f>82%</f>
        <v>0.82</v>
      </c>
      <c r="AG19" s="8">
        <f>82%</f>
        <v>0.82</v>
      </c>
      <c r="AH19" s="8">
        <f>82%</f>
        <v>0.82</v>
      </c>
      <c r="AI19" s="8">
        <f>82%</f>
        <v>0.82</v>
      </c>
      <c r="AJ19" s="8">
        <f>82%</f>
        <v>0.82</v>
      </c>
      <c r="AK19" s="8">
        <f>82%</f>
        <v>0.82</v>
      </c>
      <c r="AM19" s="6">
        <v>0.29166666666666663</v>
      </c>
      <c r="AN19" s="10">
        <f t="shared" si="15"/>
        <v>12.944750415246089</v>
      </c>
      <c r="AO19" s="10">
        <f t="shared" si="13"/>
        <v>11.050451671183378</v>
      </c>
      <c r="AP19" s="10">
        <f t="shared" si="0"/>
        <v>10.85230352303523</v>
      </c>
      <c r="AQ19" s="10">
        <f t="shared" si="1"/>
        <v>10.930562763074439</v>
      </c>
      <c r="AR19" s="10">
        <f t="shared" si="2"/>
        <v>12.23924002680887</v>
      </c>
      <c r="AS19" s="10">
        <f t="shared" si="3"/>
        <v>7.2781473269278143</v>
      </c>
      <c r="AT19" s="10">
        <f t="shared" si="4"/>
        <v>11.805938494167551</v>
      </c>
      <c r="AV19" s="6">
        <v>0.29166666666666663</v>
      </c>
      <c r="AW19" s="10">
        <f>Roster!I$71</f>
        <v>14</v>
      </c>
      <c r="AX19" s="10">
        <f>Roster!J$71</f>
        <v>14</v>
      </c>
      <c r="AY19" s="10">
        <f>Roster!K$71</f>
        <v>18</v>
      </c>
      <c r="AZ19" s="10">
        <f>Roster!L$71</f>
        <v>19</v>
      </c>
      <c r="BA19" s="10">
        <f>Roster!M$71</f>
        <v>13</v>
      </c>
      <c r="BB19" s="10">
        <f>Roster!N$71</f>
        <v>14</v>
      </c>
      <c r="BC19" s="10">
        <f>Roster!O$71</f>
        <v>17</v>
      </c>
      <c r="BE19" s="6">
        <v>0.29166666666666663</v>
      </c>
      <c r="BF19" s="10">
        <f t="shared" si="10"/>
        <v>9.7999999999999989</v>
      </c>
      <c r="BG19" s="10">
        <f t="shared" si="5"/>
        <v>9.7999999999999989</v>
      </c>
      <c r="BH19" s="10">
        <f t="shared" si="5"/>
        <v>12.6</v>
      </c>
      <c r="BI19" s="10">
        <f t="shared" si="5"/>
        <v>13.299999999999999</v>
      </c>
      <c r="BJ19" s="10">
        <f t="shared" si="5"/>
        <v>9.1</v>
      </c>
      <c r="BK19" s="10">
        <f t="shared" si="5"/>
        <v>9.7999999999999989</v>
      </c>
      <c r="BL19" s="10">
        <f t="shared" si="5"/>
        <v>11.899999999999999</v>
      </c>
      <c r="BN19" s="6">
        <v>0.29166666666666663</v>
      </c>
      <c r="BO19" s="10">
        <f t="shared" si="11"/>
        <v>45.4238190106365</v>
      </c>
      <c r="BP19" s="10">
        <f t="shared" si="6"/>
        <v>43.45523733226517</v>
      </c>
      <c r="BQ19" s="10">
        <f t="shared" si="6"/>
        <v>58.052191284804586</v>
      </c>
      <c r="BR19" s="10">
        <f t="shared" si="6"/>
        <v>59.621815831987071</v>
      </c>
      <c r="BS19" s="10">
        <f t="shared" si="6"/>
        <v>41.636572114262862</v>
      </c>
      <c r="BT19" s="10">
        <f t="shared" si="6"/>
        <v>43.087888430031818</v>
      </c>
      <c r="BU19" s="10">
        <f t="shared" si="6"/>
        <v>54.430234438156823</v>
      </c>
      <c r="BW19" s="6">
        <v>0.29166666666666663</v>
      </c>
      <c r="BX19" s="10">
        <f t="shared" si="12"/>
        <v>-3.1447504152460901</v>
      </c>
      <c r="BY19" s="10">
        <f t="shared" si="7"/>
        <v>-1.2504516711833791</v>
      </c>
      <c r="BZ19" s="10">
        <f t="shared" si="7"/>
        <v>1.7476964769647694</v>
      </c>
      <c r="CA19" s="10">
        <f t="shared" si="7"/>
        <v>2.3694372369255596</v>
      </c>
      <c r="CB19" s="10">
        <f t="shared" si="7"/>
        <v>-3.1392400268088707</v>
      </c>
      <c r="CC19" s="10">
        <f t="shared" si="7"/>
        <v>2.5218526730721846</v>
      </c>
      <c r="CD19" s="10">
        <f t="shared" si="7"/>
        <v>9.4061505832447878E-2</v>
      </c>
      <c r="CF19" s="6">
        <v>0.29166666666666663</v>
      </c>
      <c r="CG19" s="10">
        <f t="shared" si="14"/>
        <v>-14.5761809893635</v>
      </c>
      <c r="CH19" s="10">
        <f t="shared" si="8"/>
        <v>-5.5447626677348296</v>
      </c>
      <c r="CI19" s="10">
        <f t="shared" si="8"/>
        <v>8.0521912848045858</v>
      </c>
      <c r="CJ19" s="10">
        <f t="shared" si="8"/>
        <v>10.621815831987071</v>
      </c>
      <c r="CK19" s="10">
        <f t="shared" si="8"/>
        <v>-14.363427885737138</v>
      </c>
      <c r="CL19" s="10">
        <f t="shared" si="8"/>
        <v>11.087888430031818</v>
      </c>
      <c r="CM19" s="10">
        <f t="shared" si="8"/>
        <v>0.43023443815682327</v>
      </c>
    </row>
    <row r="20" spans="3:91" x14ac:dyDescent="0.3">
      <c r="C20" s="6">
        <v>0.31249999999999994</v>
      </c>
      <c r="D20" s="7">
        <v>31</v>
      </c>
      <c r="E20" s="7">
        <v>48</v>
      </c>
      <c r="F20" s="7">
        <v>35</v>
      </c>
      <c r="G20" s="7">
        <v>57</v>
      </c>
      <c r="H20" s="7">
        <v>50</v>
      </c>
      <c r="I20" s="7">
        <v>57</v>
      </c>
      <c r="J20" s="7">
        <v>59</v>
      </c>
      <c r="L20" s="6">
        <v>0.31249999999999994</v>
      </c>
      <c r="M20" s="7">
        <v>310.05769230769232</v>
      </c>
      <c r="N20" s="7">
        <v>332.18446601941747</v>
      </c>
      <c r="O20" s="7">
        <v>332.69306930693068</v>
      </c>
      <c r="P20" s="7">
        <v>316.60000000000002</v>
      </c>
      <c r="Q20" s="7">
        <v>316.62</v>
      </c>
      <c r="R20" s="7">
        <v>321.8095238095238</v>
      </c>
      <c r="S20" s="7">
        <v>319.35416666666669</v>
      </c>
      <c r="U20" s="6">
        <v>0.31249999999999994</v>
      </c>
      <c r="V20" s="8">
        <v>0.3</v>
      </c>
      <c r="W20" s="8">
        <v>0.3</v>
      </c>
      <c r="X20" s="8">
        <v>0.3</v>
      </c>
      <c r="Y20" s="8">
        <v>0.3</v>
      </c>
      <c r="Z20" s="8">
        <v>0.3</v>
      </c>
      <c r="AA20" s="8">
        <v>0.3</v>
      </c>
      <c r="AB20" s="8">
        <v>0.3</v>
      </c>
      <c r="AD20" s="6">
        <v>0.31249999999999994</v>
      </c>
      <c r="AE20" s="8">
        <f>82%</f>
        <v>0.82</v>
      </c>
      <c r="AF20" s="8">
        <f>82%</f>
        <v>0.82</v>
      </c>
      <c r="AG20" s="8">
        <f>82%</f>
        <v>0.82</v>
      </c>
      <c r="AH20" s="8">
        <f>82%</f>
        <v>0.82</v>
      </c>
      <c r="AI20" s="8">
        <f>82%</f>
        <v>0.82</v>
      </c>
      <c r="AJ20" s="8">
        <f>82%</f>
        <v>0.82</v>
      </c>
      <c r="AK20" s="8">
        <f>82%</f>
        <v>0.82</v>
      </c>
      <c r="AM20" s="6">
        <v>0.31249999999999994</v>
      </c>
      <c r="AN20" s="10">
        <f t="shared" si="15"/>
        <v>6.5120518032103405</v>
      </c>
      <c r="AO20" s="10">
        <f t="shared" si="13"/>
        <v>10.802746862420081</v>
      </c>
      <c r="AP20" s="10">
        <f t="shared" si="0"/>
        <v>7.8890632965735588</v>
      </c>
      <c r="AQ20" s="10">
        <f t="shared" si="1"/>
        <v>12.226422764227642</v>
      </c>
      <c r="AR20" s="10">
        <f t="shared" si="2"/>
        <v>10.725609756097562</v>
      </c>
      <c r="AS20" s="10">
        <f t="shared" si="3"/>
        <v>12.427603561749901</v>
      </c>
      <c r="AT20" s="10">
        <f t="shared" si="4"/>
        <v>12.765512082204157</v>
      </c>
      <c r="AV20" s="6">
        <v>0.31249999999999994</v>
      </c>
      <c r="AW20" s="10">
        <f>Roster!I$71</f>
        <v>14</v>
      </c>
      <c r="AX20" s="10">
        <f>Roster!J$71</f>
        <v>14</v>
      </c>
      <c r="AY20" s="10">
        <f>Roster!K$71</f>
        <v>18</v>
      </c>
      <c r="AZ20" s="10">
        <f>Roster!L$71</f>
        <v>19</v>
      </c>
      <c r="BA20" s="10">
        <f>Roster!M$71</f>
        <v>13</v>
      </c>
      <c r="BB20" s="10">
        <f>Roster!N$71</f>
        <v>14</v>
      </c>
      <c r="BC20" s="10">
        <f>Roster!O$71</f>
        <v>17</v>
      </c>
      <c r="BE20" s="6">
        <v>0.31249999999999994</v>
      </c>
      <c r="BF20" s="10">
        <f t="shared" si="10"/>
        <v>9.7999999999999989</v>
      </c>
      <c r="BG20" s="10">
        <f t="shared" si="5"/>
        <v>9.7999999999999989</v>
      </c>
      <c r="BH20" s="10">
        <f t="shared" si="5"/>
        <v>12.6</v>
      </c>
      <c r="BI20" s="10">
        <f t="shared" si="5"/>
        <v>13.299999999999999</v>
      </c>
      <c r="BJ20" s="10">
        <f t="shared" si="5"/>
        <v>9.1</v>
      </c>
      <c r="BK20" s="10">
        <f t="shared" si="5"/>
        <v>9.7999999999999989</v>
      </c>
      <c r="BL20" s="10">
        <f t="shared" si="5"/>
        <v>11.899999999999999</v>
      </c>
      <c r="BN20" s="6">
        <v>0.31249999999999994</v>
      </c>
      <c r="BO20" s="10">
        <f t="shared" si="11"/>
        <v>46.651963034174777</v>
      </c>
      <c r="BP20" s="10">
        <f t="shared" si="6"/>
        <v>43.544480491012713</v>
      </c>
      <c r="BQ20" s="10">
        <f t="shared" si="6"/>
        <v>55.900172608773282</v>
      </c>
      <c r="BR20" s="10">
        <f t="shared" si="6"/>
        <v>62.005053695514839</v>
      </c>
      <c r="BS20" s="10">
        <f t="shared" si="6"/>
        <v>42.421830585559981</v>
      </c>
      <c r="BT20" s="10">
        <f t="shared" si="6"/>
        <v>44.948327907664989</v>
      </c>
      <c r="BU20" s="10">
        <f t="shared" si="6"/>
        <v>54.999752103855428</v>
      </c>
      <c r="BW20" s="6">
        <v>0.31249999999999994</v>
      </c>
      <c r="BX20" s="10">
        <f t="shared" si="12"/>
        <v>3.2879481967896584</v>
      </c>
      <c r="BY20" s="10">
        <f t="shared" si="7"/>
        <v>-1.0027468624200822</v>
      </c>
      <c r="BZ20" s="10">
        <f t="shared" si="7"/>
        <v>4.7109367034264409</v>
      </c>
      <c r="CA20" s="10">
        <f t="shared" si="7"/>
        <v>1.0735772357723565</v>
      </c>
      <c r="CB20" s="10">
        <f t="shared" si="7"/>
        <v>-1.6256097560975622</v>
      </c>
      <c r="CC20" s="10">
        <f t="shared" si="7"/>
        <v>-2.6276035617499023</v>
      </c>
      <c r="CD20" s="10">
        <f t="shared" si="7"/>
        <v>-0.86551208220415887</v>
      </c>
      <c r="CF20" s="6">
        <v>0.31249999999999994</v>
      </c>
      <c r="CG20" s="10">
        <f t="shared" si="14"/>
        <v>15.651963034174777</v>
      </c>
      <c r="CH20" s="10">
        <f t="shared" si="8"/>
        <v>-4.4555195089872868</v>
      </c>
      <c r="CI20" s="10">
        <f t="shared" si="8"/>
        <v>20.900172608773282</v>
      </c>
      <c r="CJ20" s="10">
        <f t="shared" si="8"/>
        <v>5.0050536955148388</v>
      </c>
      <c r="CK20" s="10">
        <f t="shared" si="8"/>
        <v>-7.5781694144400191</v>
      </c>
      <c r="CL20" s="10">
        <f t="shared" si="8"/>
        <v>-12.051672092335011</v>
      </c>
      <c r="CM20" s="10">
        <f t="shared" si="8"/>
        <v>-4.0002478961445718</v>
      </c>
    </row>
    <row r="21" spans="3:91" x14ac:dyDescent="0.3">
      <c r="C21" s="6">
        <v>0.33333333333333326</v>
      </c>
      <c r="D21" s="7">
        <v>39</v>
      </c>
      <c r="E21" s="7">
        <v>47</v>
      </c>
      <c r="F21" s="7">
        <v>48</v>
      </c>
      <c r="G21" s="7">
        <v>56</v>
      </c>
      <c r="H21" s="7">
        <v>52</v>
      </c>
      <c r="I21" s="7">
        <v>48</v>
      </c>
      <c r="J21" s="7">
        <v>39</v>
      </c>
      <c r="L21" s="6">
        <v>0.33333333333333326</v>
      </c>
      <c r="M21" s="7">
        <v>322.126213592233</v>
      </c>
      <c r="N21" s="7">
        <v>332.82</v>
      </c>
      <c r="O21" s="7">
        <v>320.0204081632653</v>
      </c>
      <c r="P21" s="7">
        <v>334.7216494845361</v>
      </c>
      <c r="Q21" s="7">
        <v>336.5090909090909</v>
      </c>
      <c r="R21" s="7">
        <v>317.64423076923077</v>
      </c>
      <c r="S21" s="7">
        <v>323.89</v>
      </c>
      <c r="U21" s="6">
        <v>0.33333333333333326</v>
      </c>
      <c r="V21" s="8">
        <v>0.3</v>
      </c>
      <c r="W21" s="8">
        <v>0.3</v>
      </c>
      <c r="X21" s="8">
        <v>0.3</v>
      </c>
      <c r="Y21" s="8">
        <v>0.3</v>
      </c>
      <c r="Z21" s="8">
        <v>0.3</v>
      </c>
      <c r="AA21" s="8">
        <v>0.3</v>
      </c>
      <c r="AB21" s="8">
        <v>0.3</v>
      </c>
      <c r="AD21" s="6">
        <v>0.33333333333333326</v>
      </c>
      <c r="AE21" s="8">
        <f>82%</f>
        <v>0.82</v>
      </c>
      <c r="AF21" s="8">
        <f>82%</f>
        <v>0.82</v>
      </c>
      <c r="AG21" s="8">
        <f>82%</f>
        <v>0.82</v>
      </c>
      <c r="AH21" s="8">
        <f>82%</f>
        <v>0.82</v>
      </c>
      <c r="AI21" s="8">
        <f>82%</f>
        <v>0.82</v>
      </c>
      <c r="AJ21" s="8">
        <f>82%</f>
        <v>0.82</v>
      </c>
      <c r="AK21" s="8">
        <f>82%</f>
        <v>0.82</v>
      </c>
      <c r="AM21" s="6">
        <v>0.33333333333333326</v>
      </c>
      <c r="AN21" s="10">
        <f t="shared" si="15"/>
        <v>8.5114649932907085</v>
      </c>
      <c r="AO21" s="10">
        <f t="shared" si="13"/>
        <v>10.597926829268292</v>
      </c>
      <c r="AP21" s="10">
        <f t="shared" si="0"/>
        <v>10.40716774514684</v>
      </c>
      <c r="AQ21" s="10">
        <f t="shared" si="1"/>
        <v>12.699466376107061</v>
      </c>
      <c r="AR21" s="10">
        <f t="shared" si="2"/>
        <v>11.855333826065532</v>
      </c>
      <c r="AS21" s="10">
        <f t="shared" si="3"/>
        <v>10.329893683552221</v>
      </c>
      <c r="AT21" s="10">
        <f t="shared" si="4"/>
        <v>8.5580691056910556</v>
      </c>
      <c r="AV21" s="6">
        <v>0.33333333333333326</v>
      </c>
      <c r="AW21" s="10">
        <f>Roster!I$71</f>
        <v>14</v>
      </c>
      <c r="AX21" s="10">
        <f>Roster!J$71</f>
        <v>14</v>
      </c>
      <c r="AY21" s="10">
        <f>Roster!K$71</f>
        <v>18</v>
      </c>
      <c r="AZ21" s="10">
        <f>Roster!L$71</f>
        <v>19</v>
      </c>
      <c r="BA21" s="10">
        <f>Roster!M$71</f>
        <v>13</v>
      </c>
      <c r="BB21" s="10">
        <f>Roster!N$71</f>
        <v>14</v>
      </c>
      <c r="BC21" s="10">
        <f>Roster!O$71</f>
        <v>17</v>
      </c>
      <c r="BE21" s="6">
        <v>0.33333333333333326</v>
      </c>
      <c r="BF21" s="10">
        <f t="shared" si="10"/>
        <v>9.7999999999999989</v>
      </c>
      <c r="BG21" s="10">
        <f t="shared" ref="BG21:BG52" si="16">AX21*(1-W21)</f>
        <v>9.7999999999999989</v>
      </c>
      <c r="BH21" s="10">
        <f t="shared" ref="BH21:BH52" si="17">AY21*(1-X21)</f>
        <v>12.6</v>
      </c>
      <c r="BI21" s="10">
        <f t="shared" ref="BI21:BI52" si="18">AZ21*(1-Y21)</f>
        <v>13.299999999999999</v>
      </c>
      <c r="BJ21" s="10">
        <f t="shared" ref="BJ21:BJ52" si="19">BA21*(1-Z21)</f>
        <v>9.1</v>
      </c>
      <c r="BK21" s="10">
        <f t="shared" ref="BK21:BK52" si="20">BB21*(1-AA21)</f>
        <v>9.7999999999999989</v>
      </c>
      <c r="BL21" s="10">
        <f t="shared" ref="BL21:BL52" si="21">BC21*(1-AB21)</f>
        <v>11.899999999999999</v>
      </c>
      <c r="BN21" s="6">
        <v>0.33333333333333326</v>
      </c>
      <c r="BO21" s="10">
        <f t="shared" si="11"/>
        <v>44.904138159679313</v>
      </c>
      <c r="BP21" s="10">
        <f t="shared" ref="BP21:BP52" si="22">(BG21*(1800*AF21))/N21</f>
        <v>43.461330448891289</v>
      </c>
      <c r="BQ21" s="10">
        <f t="shared" ref="BQ21:BQ52" si="23">(BH21*(1800*AG21))/O21</f>
        <v>58.113793763152856</v>
      </c>
      <c r="BR21" s="10">
        <f t="shared" ref="BR21:BR52" si="24">(BI21*(1800*AH21))/P21</f>
        <v>58.64813354687692</v>
      </c>
      <c r="BS21" s="10">
        <f t="shared" ref="BS21:BS52" si="25">(BJ21*(1800*AI21))/Q21</f>
        <v>39.914523449319212</v>
      </c>
      <c r="BT21" s="10">
        <f t="shared" ref="BT21:BT52" si="26">(BK21*(1800*AJ21))/R21</f>
        <v>45.537738761919172</v>
      </c>
      <c r="BU21" s="10">
        <f t="shared" ref="BU21:BU52" si="27">(BL21*(1800*AK21))/S21</f>
        <v>54.229522368705418</v>
      </c>
      <c r="BW21" s="6">
        <v>0.33333333333333326</v>
      </c>
      <c r="BX21" s="10">
        <f t="shared" si="12"/>
        <v>1.2885350067092904</v>
      </c>
      <c r="BY21" s="10">
        <f t="shared" ref="BY21:BY52" si="28">BG21-AO21</f>
        <v>-0.7979268292682935</v>
      </c>
      <c r="BZ21" s="10">
        <f t="shared" ref="BZ21:BZ52" si="29">BH21-AP21</f>
        <v>2.19283225485316</v>
      </c>
      <c r="CA21" s="10">
        <f t="shared" ref="CA21:CA52" si="30">BI21-AQ21</f>
        <v>0.60053362389293774</v>
      </c>
      <c r="CB21" s="10">
        <f t="shared" ref="CB21:CB52" si="31">BJ21-AR21</f>
        <v>-2.7553338260655327</v>
      </c>
      <c r="CC21" s="10">
        <f t="shared" ref="CC21:CC52" si="32">BK21-AS21</f>
        <v>-0.52989368355222233</v>
      </c>
      <c r="CD21" s="10">
        <f t="shared" ref="CD21:CD52" si="33">BL21-AT21</f>
        <v>3.341930894308943</v>
      </c>
      <c r="CF21" s="6">
        <v>0.33333333333333326</v>
      </c>
      <c r="CG21" s="10">
        <f t="shared" si="14"/>
        <v>5.904138159679313</v>
      </c>
      <c r="CH21" s="10">
        <f t="shared" ref="CH21:CH52" si="34">BP21-E21</f>
        <v>-3.5386695511087112</v>
      </c>
      <c r="CI21" s="10">
        <f t="shared" ref="CI21:CI52" si="35">BQ21-F21</f>
        <v>10.113793763152856</v>
      </c>
      <c r="CJ21" s="10">
        <f t="shared" ref="CJ21:CJ52" si="36">BR21-G21</f>
        <v>2.6481335468769203</v>
      </c>
      <c r="CK21" s="10">
        <f t="shared" ref="CK21:CK52" si="37">BS21-H21</f>
        <v>-12.085476550680788</v>
      </c>
      <c r="CL21" s="10">
        <f t="shared" ref="CL21:CL52" si="38">BT21-I21</f>
        <v>-2.4622612380808278</v>
      </c>
      <c r="CM21" s="10">
        <f t="shared" ref="CM21:CM52" si="39">BU21-J21</f>
        <v>15.229522368705418</v>
      </c>
    </row>
    <row r="22" spans="3:91" x14ac:dyDescent="0.3">
      <c r="C22" s="6">
        <v>0.35416666666666657</v>
      </c>
      <c r="D22" s="7">
        <v>47</v>
      </c>
      <c r="E22" s="7">
        <v>50</v>
      </c>
      <c r="F22" s="7">
        <v>42</v>
      </c>
      <c r="G22" s="7">
        <v>43</v>
      </c>
      <c r="H22" s="7">
        <v>36</v>
      </c>
      <c r="I22" s="7">
        <v>59</v>
      </c>
      <c r="J22" s="7">
        <v>35</v>
      </c>
      <c r="L22" s="6">
        <v>0.35416666666666657</v>
      </c>
      <c r="M22" s="7">
        <v>318.66055045871559</v>
      </c>
      <c r="N22" s="7">
        <v>321.24038461538464</v>
      </c>
      <c r="O22" s="7">
        <v>320.03370786516854</v>
      </c>
      <c r="P22" s="7">
        <v>331.36734693877548</v>
      </c>
      <c r="Q22" s="7">
        <v>329.02752293577981</v>
      </c>
      <c r="R22" s="7">
        <v>323.4375</v>
      </c>
      <c r="S22" s="7">
        <v>325.50526315789472</v>
      </c>
      <c r="U22" s="6">
        <v>0.35416666666666657</v>
      </c>
      <c r="V22" s="8">
        <v>0.3</v>
      </c>
      <c r="W22" s="8">
        <v>0.3</v>
      </c>
      <c r="X22" s="8">
        <v>0.3</v>
      </c>
      <c r="Y22" s="8">
        <v>0.3</v>
      </c>
      <c r="Z22" s="8">
        <v>0.3</v>
      </c>
      <c r="AA22" s="8">
        <v>0.3</v>
      </c>
      <c r="AB22" s="8">
        <v>0.3</v>
      </c>
      <c r="AD22" s="6">
        <v>0.35416666666666657</v>
      </c>
      <c r="AE22" s="8">
        <f>82%</f>
        <v>0.82</v>
      </c>
      <c r="AF22" s="8">
        <f>82%</f>
        <v>0.82</v>
      </c>
      <c r="AG22" s="8">
        <f>82%</f>
        <v>0.82</v>
      </c>
      <c r="AH22" s="8">
        <f>82%</f>
        <v>0.82</v>
      </c>
      <c r="AI22" s="8">
        <f>82%</f>
        <v>0.82</v>
      </c>
      <c r="AJ22" s="8">
        <f>82%</f>
        <v>0.82</v>
      </c>
      <c r="AK22" s="8">
        <f>82%</f>
        <v>0.82</v>
      </c>
      <c r="AM22" s="6">
        <v>0.35416666666666657</v>
      </c>
      <c r="AN22" s="10">
        <f t="shared" si="15"/>
        <v>10.147050048482136</v>
      </c>
      <c r="AO22" s="10">
        <f t="shared" si="13"/>
        <v>10.882126850114656</v>
      </c>
      <c r="AP22" s="10">
        <f t="shared" si="0"/>
        <v>9.1066502238056088</v>
      </c>
      <c r="AQ22" s="10">
        <f t="shared" si="1"/>
        <v>9.6536557712515894</v>
      </c>
      <c r="AR22" s="10">
        <f t="shared" si="2"/>
        <v>8.0250615350190202</v>
      </c>
      <c r="AS22" s="10">
        <f t="shared" si="3"/>
        <v>12.928734756097562</v>
      </c>
      <c r="AT22" s="10">
        <f t="shared" si="4"/>
        <v>7.7186207388389665</v>
      </c>
      <c r="AV22" s="6">
        <v>0.35416666666666657</v>
      </c>
      <c r="AW22" s="10">
        <f>Roster!I$71</f>
        <v>14</v>
      </c>
      <c r="AX22" s="10">
        <f>Roster!J$71</f>
        <v>14</v>
      </c>
      <c r="AY22" s="10">
        <f>Roster!K$71</f>
        <v>18</v>
      </c>
      <c r="AZ22" s="10">
        <f>Roster!L$71</f>
        <v>19</v>
      </c>
      <c r="BA22" s="10">
        <f>Roster!M$71</f>
        <v>13</v>
      </c>
      <c r="BB22" s="10">
        <f>Roster!N$71</f>
        <v>14</v>
      </c>
      <c r="BC22" s="10">
        <f>Roster!O$71</f>
        <v>17</v>
      </c>
      <c r="BE22" s="6">
        <v>0.35416666666666657</v>
      </c>
      <c r="BF22" s="10">
        <f t="shared" si="10"/>
        <v>9.7999999999999989</v>
      </c>
      <c r="BG22" s="10">
        <f t="shared" si="16"/>
        <v>9.7999999999999989</v>
      </c>
      <c r="BH22" s="10">
        <f t="shared" si="17"/>
        <v>12.6</v>
      </c>
      <c r="BI22" s="10">
        <f t="shared" si="18"/>
        <v>13.299999999999999</v>
      </c>
      <c r="BJ22" s="10">
        <f t="shared" si="19"/>
        <v>9.1</v>
      </c>
      <c r="BK22" s="10">
        <f t="shared" si="20"/>
        <v>9.7999999999999989</v>
      </c>
      <c r="BL22" s="10">
        <f t="shared" si="21"/>
        <v>11.899999999999999</v>
      </c>
      <c r="BN22" s="6">
        <v>0.35416666666666657</v>
      </c>
      <c r="BO22" s="10">
        <f t="shared" si="11"/>
        <v>45.392503022974608</v>
      </c>
      <c r="BP22" s="10">
        <f t="shared" si="22"/>
        <v>45.027962525068091</v>
      </c>
      <c r="BQ22" s="10">
        <f t="shared" si="23"/>
        <v>58.111378717129512</v>
      </c>
      <c r="BR22" s="10">
        <f t="shared" si="24"/>
        <v>59.241805752294148</v>
      </c>
      <c r="BS22" s="10">
        <f t="shared" si="25"/>
        <v>40.822116886013831</v>
      </c>
      <c r="BT22" s="10">
        <f t="shared" si="26"/>
        <v>44.722086956521736</v>
      </c>
      <c r="BU22" s="10">
        <f t="shared" si="27"/>
        <v>53.960417811984605</v>
      </c>
      <c r="BW22" s="6">
        <v>0.35416666666666657</v>
      </c>
      <c r="BX22" s="10">
        <f t="shared" si="12"/>
        <v>-0.34705004848213683</v>
      </c>
      <c r="BY22" s="10">
        <f t="shared" si="28"/>
        <v>-1.0821268501146566</v>
      </c>
      <c r="BZ22" s="10">
        <f t="shared" si="29"/>
        <v>3.4933497761943908</v>
      </c>
      <c r="CA22" s="10">
        <f t="shared" si="30"/>
        <v>3.6463442287484096</v>
      </c>
      <c r="CB22" s="10">
        <f t="shared" si="31"/>
        <v>1.0749384649809794</v>
      </c>
      <c r="CC22" s="10">
        <f t="shared" si="32"/>
        <v>-3.1287347560975629</v>
      </c>
      <c r="CD22" s="10">
        <f t="shared" si="33"/>
        <v>4.1813792611610321</v>
      </c>
      <c r="CF22" s="6">
        <v>0.35416666666666657</v>
      </c>
      <c r="CG22" s="10">
        <f t="shared" si="14"/>
        <v>-1.6074969770253915</v>
      </c>
      <c r="CH22" s="10">
        <f t="shared" si="34"/>
        <v>-4.9720374749319092</v>
      </c>
      <c r="CI22" s="10">
        <f t="shared" si="35"/>
        <v>16.111378717129512</v>
      </c>
      <c r="CJ22" s="10">
        <f t="shared" si="36"/>
        <v>16.241805752294148</v>
      </c>
      <c r="CK22" s="10">
        <f t="shared" si="37"/>
        <v>4.8221168860138306</v>
      </c>
      <c r="CL22" s="10">
        <f t="shared" si="38"/>
        <v>-14.277913043478264</v>
      </c>
      <c r="CM22" s="10">
        <f t="shared" si="39"/>
        <v>18.960417811984605</v>
      </c>
    </row>
    <row r="23" spans="3:91" x14ac:dyDescent="0.3">
      <c r="C23" s="6">
        <v>0.37499999999999989</v>
      </c>
      <c r="D23" s="7">
        <v>47</v>
      </c>
      <c r="E23" s="7">
        <v>50</v>
      </c>
      <c r="F23" s="7">
        <v>43</v>
      </c>
      <c r="G23" s="7">
        <v>31</v>
      </c>
      <c r="H23" s="7">
        <v>36</v>
      </c>
      <c r="I23" s="7">
        <v>60</v>
      </c>
      <c r="J23" s="7">
        <v>55</v>
      </c>
      <c r="L23" s="6">
        <v>0.37499999999999989</v>
      </c>
      <c r="M23" s="7">
        <v>326.40206185567013</v>
      </c>
      <c r="N23" s="7">
        <v>334.24175824175825</v>
      </c>
      <c r="O23" s="7">
        <v>324.85046728971963</v>
      </c>
      <c r="P23" s="7">
        <v>318.57575757575756</v>
      </c>
      <c r="Q23" s="7">
        <v>330.56565656565658</v>
      </c>
      <c r="R23" s="7">
        <v>313.83168316831683</v>
      </c>
      <c r="S23" s="7">
        <v>337.34042553191489</v>
      </c>
      <c r="U23" s="6">
        <v>0.37499999999999989</v>
      </c>
      <c r="V23" s="8">
        <v>0.3</v>
      </c>
      <c r="W23" s="8">
        <v>0.3</v>
      </c>
      <c r="X23" s="8">
        <v>0.3</v>
      </c>
      <c r="Y23" s="8">
        <v>0.3</v>
      </c>
      <c r="Z23" s="8">
        <v>0.3</v>
      </c>
      <c r="AA23" s="8">
        <v>0.3</v>
      </c>
      <c r="AB23" s="8">
        <v>0.3</v>
      </c>
      <c r="AD23" s="6">
        <v>0.37499999999999989</v>
      </c>
      <c r="AE23" s="8">
        <f>82%</f>
        <v>0.82</v>
      </c>
      <c r="AF23" s="8">
        <f>82%</f>
        <v>0.82</v>
      </c>
      <c r="AG23" s="8">
        <f>82%</f>
        <v>0.82</v>
      </c>
      <c r="AH23" s="8">
        <f>82%</f>
        <v>0.82</v>
      </c>
      <c r="AI23" s="8">
        <f>82%</f>
        <v>0.82</v>
      </c>
      <c r="AJ23" s="8">
        <f>82%</f>
        <v>0.82</v>
      </c>
      <c r="AK23" s="8">
        <f>82%</f>
        <v>0.82</v>
      </c>
      <c r="AM23" s="6">
        <v>0.37499999999999989</v>
      </c>
      <c r="AN23" s="10">
        <f t="shared" si="15"/>
        <v>10.393561590255079</v>
      </c>
      <c r="AO23" s="10">
        <f t="shared" si="13"/>
        <v>11.322552785967419</v>
      </c>
      <c r="AP23" s="10">
        <f t="shared" si="0"/>
        <v>9.4638008763265198</v>
      </c>
      <c r="AQ23" s="10">
        <f t="shared" si="1"/>
        <v>6.6909542580274284</v>
      </c>
      <c r="AR23" s="10">
        <f t="shared" si="2"/>
        <v>8.0625769894062582</v>
      </c>
      <c r="AS23" s="10">
        <f t="shared" si="3"/>
        <v>12.757385494647025</v>
      </c>
      <c r="AT23" s="10">
        <f t="shared" si="4"/>
        <v>12.570273309116068</v>
      </c>
      <c r="AV23" s="6">
        <v>0.37499999999999989</v>
      </c>
      <c r="AW23" s="10">
        <f>Roster!I$71</f>
        <v>14</v>
      </c>
      <c r="AX23" s="10">
        <f>Roster!J$71</f>
        <v>14</v>
      </c>
      <c r="AY23" s="10">
        <f>Roster!K$71</f>
        <v>18</v>
      </c>
      <c r="AZ23" s="10">
        <f>Roster!L$71</f>
        <v>19</v>
      </c>
      <c r="BA23" s="10">
        <f>Roster!M$71</f>
        <v>13</v>
      </c>
      <c r="BB23" s="10">
        <f>Roster!N$71</f>
        <v>14</v>
      </c>
      <c r="BC23" s="10">
        <f>Roster!O$71</f>
        <v>17</v>
      </c>
      <c r="BE23" s="6">
        <v>0.37499999999999989</v>
      </c>
      <c r="BF23" s="10">
        <f t="shared" si="10"/>
        <v>9.7999999999999989</v>
      </c>
      <c r="BG23" s="10">
        <f t="shared" si="16"/>
        <v>9.7999999999999989</v>
      </c>
      <c r="BH23" s="10">
        <f t="shared" si="17"/>
        <v>12.6</v>
      </c>
      <c r="BI23" s="10">
        <f t="shared" si="18"/>
        <v>13.299999999999999</v>
      </c>
      <c r="BJ23" s="10">
        <f t="shared" si="19"/>
        <v>9.1</v>
      </c>
      <c r="BK23" s="10">
        <f t="shared" si="20"/>
        <v>9.7999999999999989</v>
      </c>
      <c r="BL23" s="10">
        <f t="shared" si="21"/>
        <v>11.899999999999999</v>
      </c>
      <c r="BN23" s="6">
        <v>0.37499999999999989</v>
      </c>
      <c r="BO23" s="10">
        <f t="shared" si="11"/>
        <v>44.315896528852527</v>
      </c>
      <c r="BP23" s="10">
        <f t="shared" si="22"/>
        <v>43.276459758022092</v>
      </c>
      <c r="BQ23" s="10">
        <f t="shared" si="23"/>
        <v>57.249725251014119</v>
      </c>
      <c r="BR23" s="10">
        <f t="shared" si="24"/>
        <v>61.62050794254732</v>
      </c>
      <c r="BS23" s="10">
        <f t="shared" si="25"/>
        <v>40.632170139949885</v>
      </c>
      <c r="BT23" s="10">
        <f t="shared" si="26"/>
        <v>46.090948670221152</v>
      </c>
      <c r="BU23" s="10">
        <f t="shared" si="27"/>
        <v>52.067284768211913</v>
      </c>
      <c r="BW23" s="6">
        <v>0.37499999999999989</v>
      </c>
      <c r="BX23" s="10">
        <f t="shared" si="12"/>
        <v>-0.59356159025507971</v>
      </c>
      <c r="BY23" s="10">
        <f t="shared" si="28"/>
        <v>-1.5225527859674202</v>
      </c>
      <c r="BZ23" s="10">
        <f t="shared" si="29"/>
        <v>3.1361991236734799</v>
      </c>
      <c r="CA23" s="10">
        <f t="shared" si="30"/>
        <v>6.6090457419725706</v>
      </c>
      <c r="CB23" s="10">
        <f t="shared" si="31"/>
        <v>1.0374230105937414</v>
      </c>
      <c r="CC23" s="10">
        <f t="shared" si="32"/>
        <v>-2.9573854946470259</v>
      </c>
      <c r="CD23" s="10">
        <f t="shared" si="33"/>
        <v>-0.67027330911606953</v>
      </c>
      <c r="CF23" s="6">
        <v>0.37499999999999989</v>
      </c>
      <c r="CG23" s="10">
        <f t="shared" si="14"/>
        <v>-2.6841034711474734</v>
      </c>
      <c r="CH23" s="10">
        <f t="shared" si="34"/>
        <v>-6.7235402419779078</v>
      </c>
      <c r="CI23" s="10">
        <f t="shared" si="35"/>
        <v>14.249725251014119</v>
      </c>
      <c r="CJ23" s="10">
        <f t="shared" si="36"/>
        <v>30.62050794254732</v>
      </c>
      <c r="CK23" s="10">
        <f t="shared" si="37"/>
        <v>4.6321701399498849</v>
      </c>
      <c r="CL23" s="10">
        <f t="shared" si="38"/>
        <v>-13.909051329778848</v>
      </c>
      <c r="CM23" s="10">
        <f t="shared" si="39"/>
        <v>-2.9327152317880874</v>
      </c>
    </row>
    <row r="24" spans="3:91" x14ac:dyDescent="0.3">
      <c r="C24" s="6">
        <v>0.3958333333333332</v>
      </c>
      <c r="D24" s="7">
        <v>44</v>
      </c>
      <c r="E24" s="7">
        <v>33</v>
      </c>
      <c r="F24" s="7">
        <v>39</v>
      </c>
      <c r="G24" s="7">
        <v>37</v>
      </c>
      <c r="H24" s="7">
        <v>39</v>
      </c>
      <c r="I24" s="7">
        <v>37</v>
      </c>
      <c r="J24" s="7">
        <v>40</v>
      </c>
      <c r="L24" s="6">
        <v>0.3958333333333332</v>
      </c>
      <c r="M24" s="7">
        <v>317.02806122448982</v>
      </c>
      <c r="N24" s="7">
        <v>319.61538461538464</v>
      </c>
      <c r="O24" s="7">
        <v>322.67050691244242</v>
      </c>
      <c r="P24" s="7">
        <v>306.54972375690608</v>
      </c>
      <c r="Q24" s="7">
        <v>332.49275362318838</v>
      </c>
      <c r="R24" s="7">
        <v>318.76630434782606</v>
      </c>
      <c r="S24" s="7">
        <v>324.61</v>
      </c>
      <c r="U24" s="6">
        <v>0.3958333333333332</v>
      </c>
      <c r="V24" s="8">
        <v>0.3</v>
      </c>
      <c r="W24" s="8">
        <v>0.3</v>
      </c>
      <c r="X24" s="8">
        <v>0.3</v>
      </c>
      <c r="Y24" s="8">
        <v>0.3</v>
      </c>
      <c r="Z24" s="8">
        <v>0.3</v>
      </c>
      <c r="AA24" s="8">
        <v>0.3</v>
      </c>
      <c r="AB24" s="8">
        <v>0.3</v>
      </c>
      <c r="AD24" s="6">
        <v>0.3958333333333332</v>
      </c>
      <c r="AE24" s="8">
        <f>82%</f>
        <v>0.82</v>
      </c>
      <c r="AF24" s="8">
        <f>82%</f>
        <v>0.82</v>
      </c>
      <c r="AG24" s="8">
        <f>82%</f>
        <v>0.82</v>
      </c>
      <c r="AH24" s="8">
        <f>82%</f>
        <v>0.82</v>
      </c>
      <c r="AI24" s="8">
        <f>82%</f>
        <v>0.82</v>
      </c>
      <c r="AJ24" s="8">
        <f>82%</f>
        <v>0.82</v>
      </c>
      <c r="AK24" s="8">
        <f>82%</f>
        <v>0.82</v>
      </c>
      <c r="AM24" s="6">
        <v>0.3958333333333332</v>
      </c>
      <c r="AN24" s="10">
        <f t="shared" si="15"/>
        <v>9.4507010121121624</v>
      </c>
      <c r="AO24" s="10">
        <f t="shared" si="13"/>
        <v>7.1458724202626644</v>
      </c>
      <c r="AP24" s="10">
        <f t="shared" si="0"/>
        <v>8.5258467273612837</v>
      </c>
      <c r="AQ24" s="10">
        <f t="shared" si="1"/>
        <v>7.6845120453966969</v>
      </c>
      <c r="AR24" s="10">
        <f t="shared" si="2"/>
        <v>8.7853776363850589</v>
      </c>
      <c r="AS24" s="10">
        <f t="shared" si="3"/>
        <v>7.9907542417815476</v>
      </c>
      <c r="AT24" s="10">
        <f t="shared" si="4"/>
        <v>8.7970189701897024</v>
      </c>
      <c r="AV24" s="6">
        <v>0.3958333333333332</v>
      </c>
      <c r="AW24" s="10">
        <f>Roster!I$71</f>
        <v>14</v>
      </c>
      <c r="AX24" s="10">
        <f>Roster!J$71</f>
        <v>14</v>
      </c>
      <c r="AY24" s="10">
        <f>Roster!K$71</f>
        <v>18</v>
      </c>
      <c r="AZ24" s="10">
        <f>Roster!L$71</f>
        <v>19</v>
      </c>
      <c r="BA24" s="10">
        <f>Roster!M$71</f>
        <v>13</v>
      </c>
      <c r="BB24" s="10">
        <f>Roster!N$71</f>
        <v>14</v>
      </c>
      <c r="BC24" s="10">
        <f>Roster!O$71</f>
        <v>17</v>
      </c>
      <c r="BE24" s="6">
        <v>0.3958333333333332</v>
      </c>
      <c r="BF24" s="10">
        <f t="shared" si="10"/>
        <v>9.7999999999999989</v>
      </c>
      <c r="BG24" s="10">
        <f t="shared" si="16"/>
        <v>9.7999999999999989</v>
      </c>
      <c r="BH24" s="10">
        <f t="shared" si="17"/>
        <v>12.6</v>
      </c>
      <c r="BI24" s="10">
        <f t="shared" si="18"/>
        <v>13.299999999999999</v>
      </c>
      <c r="BJ24" s="10">
        <f t="shared" si="19"/>
        <v>9.1</v>
      </c>
      <c r="BK24" s="10">
        <f t="shared" si="20"/>
        <v>9.7999999999999989</v>
      </c>
      <c r="BL24" s="10">
        <f t="shared" si="21"/>
        <v>11.899999999999999</v>
      </c>
      <c r="BN24" s="6">
        <v>0.3958333333333332</v>
      </c>
      <c r="BO24" s="10">
        <f t="shared" si="11"/>
        <v>45.626245021122507</v>
      </c>
      <c r="BP24" s="10">
        <f t="shared" si="22"/>
        <v>45.256895306859199</v>
      </c>
      <c r="BQ24" s="10">
        <f t="shared" si="23"/>
        <v>57.636504116710334</v>
      </c>
      <c r="BR24" s="10">
        <f t="shared" si="24"/>
        <v>64.03789818961711</v>
      </c>
      <c r="BS24" s="10">
        <f t="shared" si="25"/>
        <v>40.39666986313312</v>
      </c>
      <c r="BT24" s="10">
        <f t="shared" si="26"/>
        <v>45.377443609022556</v>
      </c>
      <c r="BU24" s="10">
        <f t="shared" si="27"/>
        <v>54.109238778842297</v>
      </c>
      <c r="BW24" s="6">
        <v>0.3958333333333332</v>
      </c>
      <c r="BX24" s="10">
        <f t="shared" si="12"/>
        <v>0.34929898788783653</v>
      </c>
      <c r="BY24" s="10">
        <f t="shared" si="28"/>
        <v>2.6541275797373345</v>
      </c>
      <c r="BZ24" s="10">
        <f t="shared" si="29"/>
        <v>4.074153272638716</v>
      </c>
      <c r="CA24" s="10">
        <f t="shared" si="30"/>
        <v>5.6154879546033021</v>
      </c>
      <c r="CB24" s="10">
        <f t="shared" si="31"/>
        <v>0.31462236361494078</v>
      </c>
      <c r="CC24" s="10">
        <f t="shared" si="32"/>
        <v>1.8092457582184513</v>
      </c>
      <c r="CD24" s="10">
        <f t="shared" si="33"/>
        <v>3.1029810298102962</v>
      </c>
      <c r="CF24" s="6">
        <v>0.3958333333333332</v>
      </c>
      <c r="CG24" s="10">
        <f t="shared" si="14"/>
        <v>1.6262450211225072</v>
      </c>
      <c r="CH24" s="10">
        <f t="shared" si="34"/>
        <v>12.256895306859199</v>
      </c>
      <c r="CI24" s="10">
        <f t="shared" si="35"/>
        <v>18.636504116710334</v>
      </c>
      <c r="CJ24" s="10">
        <f t="shared" si="36"/>
        <v>27.03789818961711</v>
      </c>
      <c r="CK24" s="10">
        <f t="shared" si="37"/>
        <v>1.3966698631331198</v>
      </c>
      <c r="CL24" s="10">
        <f t="shared" si="38"/>
        <v>8.3774436090225564</v>
      </c>
      <c r="CM24" s="10">
        <f t="shared" si="39"/>
        <v>14.109238778842297</v>
      </c>
    </row>
    <row r="25" spans="3:91" x14ac:dyDescent="0.3">
      <c r="C25" s="6">
        <v>0.41666666666666652</v>
      </c>
      <c r="D25" s="7">
        <v>41</v>
      </c>
      <c r="E25" s="7">
        <v>48</v>
      </c>
      <c r="F25" s="7">
        <v>53</v>
      </c>
      <c r="G25" s="7">
        <v>52</v>
      </c>
      <c r="H25" s="7">
        <v>59</v>
      </c>
      <c r="I25" s="7">
        <v>36</v>
      </c>
      <c r="J25" s="7">
        <v>30</v>
      </c>
      <c r="L25" s="6">
        <v>0.41666666666666652</v>
      </c>
      <c r="M25" s="7">
        <v>308.16759776536315</v>
      </c>
      <c r="N25" s="7">
        <v>315.58904109589042</v>
      </c>
      <c r="O25" s="7">
        <v>321.91578947368419</v>
      </c>
      <c r="P25" s="7">
        <v>317.44801980198019</v>
      </c>
      <c r="Q25" s="7">
        <v>329.53902439024392</v>
      </c>
      <c r="R25" s="7">
        <v>324.356783919598</v>
      </c>
      <c r="S25" s="7">
        <v>329.23589743589741</v>
      </c>
      <c r="U25" s="6">
        <v>0.41666666666666652</v>
      </c>
      <c r="V25" s="8">
        <v>0.3</v>
      </c>
      <c r="W25" s="8">
        <v>0.3</v>
      </c>
      <c r="X25" s="8">
        <v>0.3</v>
      </c>
      <c r="Y25" s="8">
        <v>0.3</v>
      </c>
      <c r="Z25" s="8">
        <v>0.3</v>
      </c>
      <c r="AA25" s="8">
        <v>0.3</v>
      </c>
      <c r="AB25" s="8">
        <v>0.3</v>
      </c>
      <c r="AD25" s="6">
        <v>0.41666666666666652</v>
      </c>
      <c r="AE25" s="8">
        <f>82%</f>
        <v>0.82</v>
      </c>
      <c r="AF25" s="8">
        <f>82%</f>
        <v>0.82</v>
      </c>
      <c r="AG25" s="8">
        <f>82%</f>
        <v>0.82</v>
      </c>
      <c r="AH25" s="8">
        <f>82%</f>
        <v>0.82</v>
      </c>
      <c r="AI25" s="8">
        <f>82%</f>
        <v>0.82</v>
      </c>
      <c r="AJ25" s="8">
        <f>82%</f>
        <v>0.82</v>
      </c>
      <c r="AK25" s="8">
        <f>82%</f>
        <v>0.82</v>
      </c>
      <c r="AM25" s="6">
        <v>0.41666666666666652</v>
      </c>
      <c r="AN25" s="10">
        <f t="shared" si="15"/>
        <v>8.5602110490378642</v>
      </c>
      <c r="AO25" s="10">
        <f t="shared" si="13"/>
        <v>10.263058247020826</v>
      </c>
      <c r="AP25" s="10">
        <f t="shared" si="0"/>
        <v>11.559306803594351</v>
      </c>
      <c r="AQ25" s="10">
        <f t="shared" si="1"/>
        <v>11.18380557567952</v>
      </c>
      <c r="AR25" s="10">
        <f t="shared" si="2"/>
        <v>13.172630378742813</v>
      </c>
      <c r="AS25" s="10">
        <f t="shared" si="3"/>
        <v>7.9111410712097072</v>
      </c>
      <c r="AT25" s="10">
        <f t="shared" si="4"/>
        <v>6.6917865332499469</v>
      </c>
      <c r="AV25" s="6">
        <v>0.41666666666666652</v>
      </c>
      <c r="AW25" s="10">
        <f>Roster!I$71</f>
        <v>14</v>
      </c>
      <c r="AX25" s="10">
        <f>Roster!J$71</f>
        <v>14</v>
      </c>
      <c r="AY25" s="10">
        <f>Roster!K$71</f>
        <v>18</v>
      </c>
      <c r="AZ25" s="10">
        <f>Roster!L$71</f>
        <v>19</v>
      </c>
      <c r="BA25" s="10">
        <f>Roster!M$71</f>
        <v>13</v>
      </c>
      <c r="BB25" s="10">
        <f>Roster!N$71</f>
        <v>14</v>
      </c>
      <c r="BC25" s="10">
        <f>Roster!O$71</f>
        <v>17</v>
      </c>
      <c r="BE25" s="6">
        <v>0.41666666666666652</v>
      </c>
      <c r="BF25" s="10">
        <f t="shared" si="10"/>
        <v>9.7999999999999989</v>
      </c>
      <c r="BG25" s="10">
        <f t="shared" si="16"/>
        <v>9.7999999999999989</v>
      </c>
      <c r="BH25" s="10">
        <f t="shared" si="17"/>
        <v>12.6</v>
      </c>
      <c r="BI25" s="10">
        <f t="shared" si="18"/>
        <v>13.299999999999999</v>
      </c>
      <c r="BJ25" s="10">
        <f t="shared" si="19"/>
        <v>9.1</v>
      </c>
      <c r="BK25" s="10">
        <f t="shared" si="20"/>
        <v>9.7999999999999989</v>
      </c>
      <c r="BL25" s="10">
        <f t="shared" si="21"/>
        <v>11.899999999999999</v>
      </c>
      <c r="BN25" s="6">
        <v>0.41666666666666652</v>
      </c>
      <c r="BO25" s="10">
        <f t="shared" si="11"/>
        <v>46.938095065443598</v>
      </c>
      <c r="BP25" s="10">
        <f t="shared" si="22"/>
        <v>45.834291171108596</v>
      </c>
      <c r="BQ25" s="10">
        <f t="shared" si="23"/>
        <v>57.771630370806356</v>
      </c>
      <c r="BR25" s="10">
        <f t="shared" si="24"/>
        <v>61.83941551201179</v>
      </c>
      <c r="BS25" s="10">
        <f t="shared" si="25"/>
        <v>40.758753913448942</v>
      </c>
      <c r="BT25" s="10">
        <f t="shared" si="26"/>
        <v>44.595336731374033</v>
      </c>
      <c r="BU25" s="10">
        <f t="shared" si="27"/>
        <v>53.348982103082506</v>
      </c>
      <c r="BW25" s="6">
        <v>0.41666666666666652</v>
      </c>
      <c r="BX25" s="10">
        <f t="shared" si="12"/>
        <v>1.2397889509621347</v>
      </c>
      <c r="BY25" s="10">
        <f t="shared" si="28"/>
        <v>-0.4630582470208271</v>
      </c>
      <c r="BZ25" s="10">
        <f t="shared" si="29"/>
        <v>1.0406931964056483</v>
      </c>
      <c r="CA25" s="10">
        <f t="shared" si="30"/>
        <v>2.1161944243204793</v>
      </c>
      <c r="CB25" s="10">
        <f t="shared" si="31"/>
        <v>-4.0726303787428133</v>
      </c>
      <c r="CC25" s="10">
        <f t="shared" si="32"/>
        <v>1.8888589287902917</v>
      </c>
      <c r="CD25" s="10">
        <f t="shared" si="33"/>
        <v>5.2082134667500517</v>
      </c>
      <c r="CF25" s="6">
        <v>0.41666666666666652</v>
      </c>
      <c r="CG25" s="10">
        <f t="shared" si="14"/>
        <v>5.9380950654435978</v>
      </c>
      <c r="CH25" s="10">
        <f t="shared" si="34"/>
        <v>-2.1657088288914039</v>
      </c>
      <c r="CI25" s="10">
        <f t="shared" si="35"/>
        <v>4.7716303708063563</v>
      </c>
      <c r="CJ25" s="10">
        <f t="shared" si="36"/>
        <v>9.8394155120117901</v>
      </c>
      <c r="CK25" s="10">
        <f t="shared" si="37"/>
        <v>-18.241246086551058</v>
      </c>
      <c r="CL25" s="10">
        <f t="shared" si="38"/>
        <v>8.595336731374033</v>
      </c>
      <c r="CM25" s="10">
        <f t="shared" si="39"/>
        <v>23.348982103082506</v>
      </c>
    </row>
    <row r="26" spans="3:91" x14ac:dyDescent="0.3">
      <c r="C26" s="6">
        <v>0.43749999999999983</v>
      </c>
      <c r="D26" s="7">
        <v>46</v>
      </c>
      <c r="E26" s="7">
        <v>41</v>
      </c>
      <c r="F26" s="7">
        <v>36</v>
      </c>
      <c r="G26" s="7">
        <v>39</v>
      </c>
      <c r="H26" s="7">
        <v>53</v>
      </c>
      <c r="I26" s="7">
        <v>37</v>
      </c>
      <c r="J26" s="7">
        <v>46</v>
      </c>
      <c r="L26" s="6">
        <v>0.43749999999999983</v>
      </c>
      <c r="M26" s="7">
        <v>319.47323943661974</v>
      </c>
      <c r="N26" s="7">
        <v>313.21739130434781</v>
      </c>
      <c r="O26" s="7">
        <v>326.14207650273227</v>
      </c>
      <c r="P26" s="7">
        <v>318.30215827338128</v>
      </c>
      <c r="Q26" s="7">
        <v>319.72209026128269</v>
      </c>
      <c r="R26" s="7">
        <v>324.31175059952039</v>
      </c>
      <c r="S26" s="7">
        <v>333.140625</v>
      </c>
      <c r="U26" s="6">
        <v>0.43749999999999983</v>
      </c>
      <c r="V26" s="8">
        <v>0.3</v>
      </c>
      <c r="W26" s="8">
        <v>0.3</v>
      </c>
      <c r="X26" s="8">
        <v>0.3</v>
      </c>
      <c r="Y26" s="8">
        <v>0.3</v>
      </c>
      <c r="Z26" s="8">
        <v>0.3</v>
      </c>
      <c r="AA26" s="8">
        <v>0.3</v>
      </c>
      <c r="AB26" s="8">
        <v>0.3</v>
      </c>
      <c r="AD26" s="6">
        <v>0.43749999999999983</v>
      </c>
      <c r="AE26" s="8">
        <f>82%</f>
        <v>0.82</v>
      </c>
      <c r="AF26" s="8">
        <f>82%</f>
        <v>0.82</v>
      </c>
      <c r="AG26" s="8">
        <f>82%</f>
        <v>0.82</v>
      </c>
      <c r="AH26" s="8">
        <f>82%</f>
        <v>0.82</v>
      </c>
      <c r="AI26" s="8">
        <f>82%</f>
        <v>0.82</v>
      </c>
      <c r="AJ26" s="8">
        <f>82%</f>
        <v>0.82</v>
      </c>
      <c r="AK26" s="8">
        <f>82%</f>
        <v>0.82</v>
      </c>
      <c r="AM26" s="6">
        <v>0.43749999999999983</v>
      </c>
      <c r="AN26" s="10">
        <f>(D26*M26)/(1800*AE26)</f>
        <v>9.956483071872972</v>
      </c>
      <c r="AO26" s="10">
        <f t="shared" si="13"/>
        <v>8.7004830917874383</v>
      </c>
      <c r="AP26" s="10">
        <f t="shared" si="0"/>
        <v>7.9546847927495676</v>
      </c>
      <c r="AQ26" s="10">
        <f t="shared" si="1"/>
        <v>8.4104228812072286</v>
      </c>
      <c r="AR26" s="10">
        <f t="shared" si="2"/>
        <v>11.480535761414624</v>
      </c>
      <c r="AS26" s="10">
        <f t="shared" si="3"/>
        <v>8.1297661058145358</v>
      </c>
      <c r="AT26" s="10">
        <f t="shared" si="4"/>
        <v>10.382431402439025</v>
      </c>
      <c r="AV26" s="6">
        <v>0.43749999999999983</v>
      </c>
      <c r="AW26" s="10">
        <f>Roster!I$71</f>
        <v>14</v>
      </c>
      <c r="AX26" s="10">
        <f>Roster!J$71</f>
        <v>14</v>
      </c>
      <c r="AY26" s="10">
        <f>Roster!K$71</f>
        <v>18</v>
      </c>
      <c r="AZ26" s="10">
        <f>Roster!L$71</f>
        <v>19</v>
      </c>
      <c r="BA26" s="10">
        <f>Roster!M$71</f>
        <v>13</v>
      </c>
      <c r="BB26" s="10">
        <f>Roster!N$71</f>
        <v>14</v>
      </c>
      <c r="BC26" s="10">
        <f>Roster!O$71</f>
        <v>17</v>
      </c>
      <c r="BE26" s="6">
        <v>0.43749999999999983</v>
      </c>
      <c r="BF26" s="10">
        <f t="shared" si="10"/>
        <v>9.7999999999999989</v>
      </c>
      <c r="BG26" s="10">
        <f t="shared" si="16"/>
        <v>9.7999999999999989</v>
      </c>
      <c r="BH26" s="10">
        <f t="shared" si="17"/>
        <v>12.6</v>
      </c>
      <c r="BI26" s="10">
        <f t="shared" si="18"/>
        <v>13.299999999999999</v>
      </c>
      <c r="BJ26" s="10">
        <f t="shared" si="19"/>
        <v>9.1</v>
      </c>
      <c r="BK26" s="10">
        <f t="shared" si="20"/>
        <v>9.7999999999999989</v>
      </c>
      <c r="BL26" s="10">
        <f t="shared" si="21"/>
        <v>11.899999999999999</v>
      </c>
      <c r="BN26" s="6">
        <v>0.43749999999999983</v>
      </c>
      <c r="BO26" s="10">
        <f t="shared" si="11"/>
        <v>45.277031733575512</v>
      </c>
      <c r="BP26" s="10">
        <f t="shared" si="22"/>
        <v>46.181343697945586</v>
      </c>
      <c r="BQ26" s="10">
        <f t="shared" si="23"/>
        <v>57.023001139333815</v>
      </c>
      <c r="BR26" s="10">
        <f t="shared" si="24"/>
        <v>61.673474369406023</v>
      </c>
      <c r="BS26" s="10">
        <f t="shared" si="25"/>
        <v>42.010234541577823</v>
      </c>
      <c r="BT26" s="10">
        <f t="shared" si="26"/>
        <v>44.601529156006443</v>
      </c>
      <c r="BU26" s="10">
        <f t="shared" si="27"/>
        <v>52.723680878007592</v>
      </c>
      <c r="BW26" s="6">
        <v>0.43749999999999983</v>
      </c>
      <c r="BX26" s="10">
        <f>BF26-AN26</f>
        <v>-0.15648307187297306</v>
      </c>
      <c r="BY26" s="10">
        <f t="shared" si="28"/>
        <v>1.0995169082125607</v>
      </c>
      <c r="BZ26" s="10">
        <f t="shared" si="29"/>
        <v>4.645315207250432</v>
      </c>
      <c r="CA26" s="10">
        <f t="shared" si="30"/>
        <v>4.8895771187927703</v>
      </c>
      <c r="CB26" s="10">
        <f t="shared" si="31"/>
        <v>-2.3805357614146239</v>
      </c>
      <c r="CC26" s="10">
        <f t="shared" si="32"/>
        <v>1.6702338941854631</v>
      </c>
      <c r="CD26" s="10">
        <f t="shared" si="33"/>
        <v>1.5175685975609738</v>
      </c>
      <c r="CF26" s="6">
        <v>0.43749999999999983</v>
      </c>
      <c r="CG26" s="10">
        <f t="shared" si="14"/>
        <v>-0.72296826642448764</v>
      </c>
      <c r="CH26" s="10">
        <f t="shared" si="34"/>
        <v>5.1813436979455858</v>
      </c>
      <c r="CI26" s="10">
        <f t="shared" si="35"/>
        <v>21.023001139333815</v>
      </c>
      <c r="CJ26" s="10">
        <f t="shared" si="36"/>
        <v>22.673474369406023</v>
      </c>
      <c r="CK26" s="10">
        <f t="shared" si="37"/>
        <v>-10.989765458422177</v>
      </c>
      <c r="CL26" s="10">
        <f t="shared" si="38"/>
        <v>7.6015291560064426</v>
      </c>
      <c r="CM26" s="10">
        <f t="shared" si="39"/>
        <v>6.7236808780075918</v>
      </c>
    </row>
    <row r="27" spans="3:91" x14ac:dyDescent="0.3">
      <c r="C27" s="6">
        <v>0.45833333333333315</v>
      </c>
      <c r="D27" s="7">
        <v>45</v>
      </c>
      <c r="E27" s="7">
        <v>33</v>
      </c>
      <c r="F27" s="7">
        <v>36</v>
      </c>
      <c r="G27" s="7">
        <v>41</v>
      </c>
      <c r="H27" s="7">
        <v>38</v>
      </c>
      <c r="I27" s="7">
        <v>48</v>
      </c>
      <c r="J27" s="7">
        <v>38</v>
      </c>
      <c r="L27" s="6">
        <v>0.45833333333333315</v>
      </c>
      <c r="M27" s="7">
        <v>334.02933333333334</v>
      </c>
      <c r="N27" s="7">
        <v>329.15526315789475</v>
      </c>
      <c r="O27" s="7">
        <v>326.53148614609574</v>
      </c>
      <c r="P27" s="7">
        <v>318.34032634032633</v>
      </c>
      <c r="Q27" s="7">
        <v>324.76513317191285</v>
      </c>
      <c r="R27" s="7">
        <v>341.50129870129871</v>
      </c>
      <c r="S27" s="7">
        <v>325.71527777777777</v>
      </c>
      <c r="U27" s="6">
        <v>0.45833333333333315</v>
      </c>
      <c r="V27" s="8">
        <v>0.3</v>
      </c>
      <c r="W27" s="8">
        <v>0.3</v>
      </c>
      <c r="X27" s="8">
        <v>0.3</v>
      </c>
      <c r="Y27" s="8">
        <v>0.3</v>
      </c>
      <c r="Z27" s="8">
        <v>0.3</v>
      </c>
      <c r="AA27" s="8">
        <v>0.3</v>
      </c>
      <c r="AB27" s="8">
        <v>0.3</v>
      </c>
      <c r="AD27" s="6">
        <v>0.45833333333333315</v>
      </c>
      <c r="AE27" s="8">
        <f>82%</f>
        <v>0.82</v>
      </c>
      <c r="AF27" s="8">
        <f>82%</f>
        <v>0.82</v>
      </c>
      <c r="AG27" s="8">
        <f>82%</f>
        <v>0.82</v>
      </c>
      <c r="AH27" s="8">
        <f>82%</f>
        <v>0.82</v>
      </c>
      <c r="AI27" s="8">
        <f>82%</f>
        <v>0.82</v>
      </c>
      <c r="AJ27" s="8">
        <f>82%</f>
        <v>0.82</v>
      </c>
      <c r="AK27" s="8">
        <f>82%</f>
        <v>0.82</v>
      </c>
      <c r="AM27" s="6">
        <v>0.45833333333333315</v>
      </c>
      <c r="AN27" s="10">
        <f t="shared" si="15"/>
        <v>10.183821138211382</v>
      </c>
      <c r="AO27" s="10">
        <f t="shared" si="13"/>
        <v>7.3591623876765082</v>
      </c>
      <c r="AP27" s="10">
        <f t="shared" si="0"/>
        <v>7.9641825889291642</v>
      </c>
      <c r="AQ27" s="10">
        <f t="shared" si="1"/>
        <v>8.8427868427868432</v>
      </c>
      <c r="AR27" s="10">
        <f t="shared" si="2"/>
        <v>8.3611619651305471</v>
      </c>
      <c r="AS27" s="10">
        <f t="shared" si="3"/>
        <v>11.105733291099144</v>
      </c>
      <c r="AT27" s="10">
        <f t="shared" si="4"/>
        <v>8.3856236826257149</v>
      </c>
      <c r="AV27" s="6">
        <v>0.45833333333333315</v>
      </c>
      <c r="AW27" s="10">
        <f>Roster!I$71</f>
        <v>14</v>
      </c>
      <c r="AX27" s="10">
        <f>Roster!J$71</f>
        <v>14</v>
      </c>
      <c r="AY27" s="10">
        <f>Roster!K$71</f>
        <v>18</v>
      </c>
      <c r="AZ27" s="10">
        <f>Roster!L$71</f>
        <v>19</v>
      </c>
      <c r="BA27" s="10">
        <f>Roster!M$71</f>
        <v>13</v>
      </c>
      <c r="BB27" s="10">
        <f>Roster!N$71</f>
        <v>14</v>
      </c>
      <c r="BC27" s="10">
        <f>Roster!O$71</f>
        <v>17</v>
      </c>
      <c r="BE27" s="6">
        <v>0.45833333333333315</v>
      </c>
      <c r="BF27" s="10">
        <f t="shared" si="10"/>
        <v>9.7999999999999989</v>
      </c>
      <c r="BG27" s="10">
        <f t="shared" si="16"/>
        <v>9.7999999999999989</v>
      </c>
      <c r="BH27" s="10">
        <f t="shared" si="17"/>
        <v>12.6</v>
      </c>
      <c r="BI27" s="10">
        <f t="shared" si="18"/>
        <v>13.299999999999999</v>
      </c>
      <c r="BJ27" s="10">
        <f t="shared" si="19"/>
        <v>9.1</v>
      </c>
      <c r="BK27" s="10">
        <f t="shared" si="20"/>
        <v>9.7999999999999989</v>
      </c>
      <c r="BL27" s="10">
        <f t="shared" si="21"/>
        <v>11.899999999999999</v>
      </c>
      <c r="BN27" s="6">
        <v>0.45833333333333315</v>
      </c>
      <c r="BO27" s="10">
        <f t="shared" si="11"/>
        <v>43.303981287072588</v>
      </c>
      <c r="BP27" s="10">
        <f t="shared" si="22"/>
        <v>43.945218621830996</v>
      </c>
      <c r="BQ27" s="10">
        <f t="shared" si="23"/>
        <v>56.954997570063171</v>
      </c>
      <c r="BR27" s="10">
        <f t="shared" si="24"/>
        <v>61.666079901587487</v>
      </c>
      <c r="BS27" s="10">
        <f t="shared" si="25"/>
        <v>41.357887987593941</v>
      </c>
      <c r="BT27" s="10">
        <f t="shared" si="26"/>
        <v>42.356500707342668</v>
      </c>
      <c r="BU27" s="10">
        <f t="shared" si="27"/>
        <v>53.925625226531345</v>
      </c>
      <c r="BW27" s="6">
        <v>0.45833333333333315</v>
      </c>
      <c r="BX27" s="10">
        <f t="shared" si="12"/>
        <v>-0.38382113821138297</v>
      </c>
      <c r="BY27" s="10">
        <f t="shared" si="28"/>
        <v>2.4408376123234907</v>
      </c>
      <c r="BZ27" s="10">
        <f t="shared" si="29"/>
        <v>4.6358174110708354</v>
      </c>
      <c r="CA27" s="10">
        <f t="shared" si="30"/>
        <v>4.4572131572131557</v>
      </c>
      <c r="CB27" s="10">
        <f t="shared" si="31"/>
        <v>0.73883803486945254</v>
      </c>
      <c r="CC27" s="10">
        <f t="shared" si="32"/>
        <v>-1.3057332910991448</v>
      </c>
      <c r="CD27" s="10">
        <f t="shared" si="33"/>
        <v>3.5143763173742837</v>
      </c>
      <c r="CF27" s="6">
        <v>0.45833333333333315</v>
      </c>
      <c r="CG27" s="10">
        <f t="shared" si="14"/>
        <v>-1.6960187129274118</v>
      </c>
      <c r="CH27" s="10">
        <f t="shared" si="34"/>
        <v>10.945218621830996</v>
      </c>
      <c r="CI27" s="10">
        <f t="shared" si="35"/>
        <v>20.954997570063171</v>
      </c>
      <c r="CJ27" s="10">
        <f t="shared" si="36"/>
        <v>20.666079901587487</v>
      </c>
      <c r="CK27" s="10">
        <f t="shared" si="37"/>
        <v>3.3578879875939407</v>
      </c>
      <c r="CL27" s="10">
        <f t="shared" si="38"/>
        <v>-5.6434992926573315</v>
      </c>
      <c r="CM27" s="10">
        <f t="shared" si="39"/>
        <v>15.925625226531345</v>
      </c>
    </row>
    <row r="28" spans="3:91" x14ac:dyDescent="0.3">
      <c r="C28" s="6">
        <v>0.47916666666666646</v>
      </c>
      <c r="D28" s="7">
        <v>42</v>
      </c>
      <c r="E28" s="7">
        <v>45</v>
      </c>
      <c r="F28" s="7">
        <v>30</v>
      </c>
      <c r="G28" s="7">
        <v>44</v>
      </c>
      <c r="H28" s="7">
        <v>34</v>
      </c>
      <c r="I28" s="7">
        <v>39</v>
      </c>
      <c r="J28" s="7">
        <v>46</v>
      </c>
      <c r="L28" s="6">
        <v>0.47916666666666646</v>
      </c>
      <c r="M28" s="7">
        <v>321.01285347043699</v>
      </c>
      <c r="N28" s="7">
        <v>324.48424068767906</v>
      </c>
      <c r="O28" s="7">
        <v>331.12740384615387</v>
      </c>
      <c r="P28" s="7">
        <v>323.80541871921184</v>
      </c>
      <c r="Q28" s="7">
        <v>322.93794749403344</v>
      </c>
      <c r="R28" s="7">
        <v>332.37470167064441</v>
      </c>
      <c r="S28" s="7">
        <v>335.24413145539904</v>
      </c>
      <c r="U28" s="6">
        <v>0.47916666666666646</v>
      </c>
      <c r="V28" s="8">
        <v>0.3</v>
      </c>
      <c r="W28" s="8">
        <v>0.3</v>
      </c>
      <c r="X28" s="8">
        <v>0.3</v>
      </c>
      <c r="Y28" s="8">
        <v>0.3</v>
      </c>
      <c r="Z28" s="8">
        <v>0.3</v>
      </c>
      <c r="AA28" s="8">
        <v>0.3</v>
      </c>
      <c r="AB28" s="8">
        <v>0.3</v>
      </c>
      <c r="AD28" s="6">
        <v>0.47916666666666646</v>
      </c>
      <c r="AE28" s="8">
        <f>82%</f>
        <v>0.82</v>
      </c>
      <c r="AF28" s="8">
        <f>82%</f>
        <v>0.82</v>
      </c>
      <c r="AG28" s="8">
        <f>82%</f>
        <v>0.82</v>
      </c>
      <c r="AH28" s="8">
        <f>82%</f>
        <v>0.82</v>
      </c>
      <c r="AI28" s="8">
        <f>82%</f>
        <v>0.82</v>
      </c>
      <c r="AJ28" s="8">
        <f>82%</f>
        <v>0.82</v>
      </c>
      <c r="AK28" s="8">
        <f>82%</f>
        <v>0.82</v>
      </c>
      <c r="AM28" s="6">
        <v>0.47916666666666646</v>
      </c>
      <c r="AN28" s="10">
        <f t="shared" si="15"/>
        <v>9.1345120906221915</v>
      </c>
      <c r="AO28" s="10">
        <f t="shared" si="13"/>
        <v>9.8928122160877763</v>
      </c>
      <c r="AP28" s="10">
        <f t="shared" si="0"/>
        <v>6.7302317854909317</v>
      </c>
      <c r="AQ28" s="10">
        <f t="shared" si="1"/>
        <v>9.6527360593802989</v>
      </c>
      <c r="AR28" s="10">
        <f t="shared" si="2"/>
        <v>7.4389500100251604</v>
      </c>
      <c r="AS28" s="10">
        <f t="shared" si="3"/>
        <v>8.7822583774763761</v>
      </c>
      <c r="AT28" s="10">
        <f t="shared" si="4"/>
        <v>10.447987836685877</v>
      </c>
      <c r="AV28" s="6">
        <v>0.47916666666666646</v>
      </c>
      <c r="AW28" s="10">
        <f>Roster!I$71</f>
        <v>14</v>
      </c>
      <c r="AX28" s="10">
        <f>Roster!J$71</f>
        <v>14</v>
      </c>
      <c r="AY28" s="10">
        <f>Roster!K$71</f>
        <v>18</v>
      </c>
      <c r="AZ28" s="10">
        <f>Roster!L$71</f>
        <v>19</v>
      </c>
      <c r="BA28" s="10">
        <f>Roster!M$71</f>
        <v>13</v>
      </c>
      <c r="BB28" s="10">
        <f>Roster!N$71</f>
        <v>14</v>
      </c>
      <c r="BC28" s="10">
        <f>Roster!O$71</f>
        <v>17</v>
      </c>
      <c r="BE28" s="6">
        <v>0.47916666666666646</v>
      </c>
      <c r="BF28" s="10">
        <f t="shared" si="10"/>
        <v>9.7999999999999989</v>
      </c>
      <c r="BG28" s="10">
        <f t="shared" si="16"/>
        <v>9.7999999999999989</v>
      </c>
      <c r="BH28" s="10">
        <f t="shared" si="17"/>
        <v>12.6</v>
      </c>
      <c r="BI28" s="10">
        <f t="shared" si="18"/>
        <v>13.299999999999999</v>
      </c>
      <c r="BJ28" s="10">
        <f t="shared" si="19"/>
        <v>9.1</v>
      </c>
      <c r="BK28" s="10">
        <f t="shared" si="20"/>
        <v>9.7999999999999989</v>
      </c>
      <c r="BL28" s="10">
        <f t="shared" si="21"/>
        <v>11.899999999999999</v>
      </c>
      <c r="BN28" s="6">
        <v>0.47916666666666646</v>
      </c>
      <c r="BO28" s="10">
        <f t="shared" si="11"/>
        <v>45.059877956980635</v>
      </c>
      <c r="BP28" s="10">
        <f t="shared" si="22"/>
        <v>44.577819771292333</v>
      </c>
      <c r="BQ28" s="10">
        <f t="shared" si="23"/>
        <v>56.164484678654645</v>
      </c>
      <c r="BR28" s="10">
        <f t="shared" si="24"/>
        <v>60.625297988057653</v>
      </c>
      <c r="BS28" s="10">
        <f t="shared" si="25"/>
        <v>41.591891272697708</v>
      </c>
      <c r="BT28" s="10">
        <f t="shared" si="26"/>
        <v>43.519557677808493</v>
      </c>
      <c r="BU28" s="10">
        <f t="shared" si="27"/>
        <v>52.392863444760316</v>
      </c>
      <c r="BW28" s="6">
        <v>0.47916666666666646</v>
      </c>
      <c r="BX28" s="10">
        <f t="shared" si="12"/>
        <v>0.66548790937780744</v>
      </c>
      <c r="BY28" s="10">
        <f t="shared" si="28"/>
        <v>-9.2812216087777344E-2</v>
      </c>
      <c r="BZ28" s="10">
        <f t="shared" si="29"/>
        <v>5.8697682145090679</v>
      </c>
      <c r="CA28" s="10">
        <f t="shared" si="30"/>
        <v>3.6472639406197001</v>
      </c>
      <c r="CB28" s="10">
        <f t="shared" si="31"/>
        <v>1.6610499899748392</v>
      </c>
      <c r="CC28" s="10">
        <f t="shared" si="32"/>
        <v>1.0177416225236229</v>
      </c>
      <c r="CD28" s="10">
        <f t="shared" si="33"/>
        <v>1.4520121633141212</v>
      </c>
      <c r="CF28" s="6">
        <v>0.47916666666666646</v>
      </c>
      <c r="CG28" s="10">
        <f t="shared" si="14"/>
        <v>3.0598779569806354</v>
      </c>
      <c r="CH28" s="10">
        <f t="shared" si="34"/>
        <v>-0.42218022870766703</v>
      </c>
      <c r="CI28" s="10">
        <f t="shared" si="35"/>
        <v>26.164484678654645</v>
      </c>
      <c r="CJ28" s="10">
        <f t="shared" si="36"/>
        <v>16.625297988057653</v>
      </c>
      <c r="CK28" s="10">
        <f t="shared" si="37"/>
        <v>7.5918912726977084</v>
      </c>
      <c r="CL28" s="10">
        <f t="shared" si="38"/>
        <v>4.5195576778084927</v>
      </c>
      <c r="CM28" s="10">
        <f t="shared" si="39"/>
        <v>6.3928634447603159</v>
      </c>
    </row>
    <row r="29" spans="3:91" x14ac:dyDescent="0.3">
      <c r="C29" s="14">
        <v>0.49999999999999978</v>
      </c>
      <c r="D29" s="7">
        <v>50</v>
      </c>
      <c r="E29" s="7">
        <v>42</v>
      </c>
      <c r="F29" s="7">
        <v>32</v>
      </c>
      <c r="G29" s="7">
        <v>38</v>
      </c>
      <c r="H29" s="7">
        <v>42</v>
      </c>
      <c r="I29" s="7">
        <v>50</v>
      </c>
      <c r="J29" s="7">
        <v>37</v>
      </c>
      <c r="L29" s="14">
        <v>0.49999999999999978</v>
      </c>
      <c r="M29" s="7">
        <v>318.93333333333334</v>
      </c>
      <c r="N29" s="7">
        <v>321.41688654353561</v>
      </c>
      <c r="O29" s="7">
        <v>334.07713498622587</v>
      </c>
      <c r="P29" s="7">
        <v>329.00254452926208</v>
      </c>
      <c r="Q29" s="7">
        <v>325.71834625322998</v>
      </c>
      <c r="R29" s="7">
        <v>325.93457943925233</v>
      </c>
      <c r="S29" s="7">
        <v>316.97237569060775</v>
      </c>
      <c r="U29" s="14">
        <v>0.49999999999999978</v>
      </c>
      <c r="V29" s="8">
        <v>0.3</v>
      </c>
      <c r="W29" s="8">
        <v>0.3</v>
      </c>
      <c r="X29" s="8">
        <v>0.3</v>
      </c>
      <c r="Y29" s="8">
        <v>0.3</v>
      </c>
      <c r="Z29" s="8">
        <v>0.3</v>
      </c>
      <c r="AA29" s="8">
        <v>0.3</v>
      </c>
      <c r="AB29" s="8">
        <v>0.3</v>
      </c>
      <c r="AD29" s="14">
        <v>0.49999999999999978</v>
      </c>
      <c r="AE29" s="8">
        <f>82%</f>
        <v>0.82</v>
      </c>
      <c r="AF29" s="8">
        <f>82%</f>
        <v>0.82</v>
      </c>
      <c r="AG29" s="8">
        <f>82%</f>
        <v>0.82</v>
      </c>
      <c r="AH29" s="8">
        <f>82%</f>
        <v>0.82</v>
      </c>
      <c r="AI29" s="8">
        <f>82%</f>
        <v>0.82</v>
      </c>
      <c r="AJ29" s="8">
        <f>82%</f>
        <v>0.82</v>
      </c>
      <c r="AK29" s="8">
        <f>82%</f>
        <v>0.82</v>
      </c>
      <c r="AM29" s="14">
        <v>0.49999999999999978</v>
      </c>
      <c r="AN29" s="10">
        <f t="shared" si="15"/>
        <v>10.803974706413731</v>
      </c>
      <c r="AO29" s="10">
        <f t="shared" si="13"/>
        <v>9.1460089666859723</v>
      </c>
      <c r="AP29" s="10">
        <f t="shared" si="0"/>
        <v>7.2428647151485288</v>
      </c>
      <c r="AQ29" s="10">
        <f t="shared" si="1"/>
        <v>8.4702552114579674</v>
      </c>
      <c r="AR29" s="10">
        <f t="shared" si="2"/>
        <v>9.2684082267179253</v>
      </c>
      <c r="AS29" s="10">
        <f t="shared" si="3"/>
        <v>11.041144289947573</v>
      </c>
      <c r="AT29" s="10">
        <f t="shared" si="4"/>
        <v>7.945784485469165</v>
      </c>
      <c r="AV29" s="14">
        <v>0.49999999999999978</v>
      </c>
      <c r="AW29" s="10">
        <f>Roster!I$71</f>
        <v>14</v>
      </c>
      <c r="AX29" s="10">
        <f>Roster!J$71</f>
        <v>14</v>
      </c>
      <c r="AY29" s="10">
        <f>Roster!K$71</f>
        <v>18</v>
      </c>
      <c r="AZ29" s="10">
        <f>Roster!L$71</f>
        <v>19</v>
      </c>
      <c r="BA29" s="10">
        <f>Roster!M$71</f>
        <v>13</v>
      </c>
      <c r="BB29" s="10">
        <f>Roster!N$71</f>
        <v>14</v>
      </c>
      <c r="BC29" s="10">
        <f>Roster!O$71</f>
        <v>17</v>
      </c>
      <c r="BE29" s="14">
        <v>0.49999999999999978</v>
      </c>
      <c r="BF29" s="10">
        <f t="shared" si="10"/>
        <v>9.7999999999999989</v>
      </c>
      <c r="BG29" s="10">
        <f t="shared" si="16"/>
        <v>9.7999999999999989</v>
      </c>
      <c r="BH29" s="10">
        <f t="shared" si="17"/>
        <v>12.6</v>
      </c>
      <c r="BI29" s="10">
        <f t="shared" si="18"/>
        <v>13.299999999999999</v>
      </c>
      <c r="BJ29" s="10">
        <f t="shared" si="19"/>
        <v>9.1</v>
      </c>
      <c r="BK29" s="10">
        <f t="shared" si="20"/>
        <v>9.7999999999999989</v>
      </c>
      <c r="BL29" s="10">
        <f t="shared" si="21"/>
        <v>11.899999999999999</v>
      </c>
      <c r="BN29" s="14">
        <v>0.49999999999999978</v>
      </c>
      <c r="BO29" s="10">
        <f t="shared" si="11"/>
        <v>45.353678929765884</v>
      </c>
      <c r="BP29" s="10">
        <f t="shared" si="22"/>
        <v>45.0032360015433</v>
      </c>
      <c r="BQ29" s="10">
        <f t="shared" si="23"/>
        <v>55.668580852642862</v>
      </c>
      <c r="BR29" s="10">
        <f t="shared" si="24"/>
        <v>59.667623629135797</v>
      </c>
      <c r="BS29" s="10">
        <f t="shared" si="25"/>
        <v>41.236854339047859</v>
      </c>
      <c r="BT29" s="10">
        <f t="shared" si="26"/>
        <v>44.379458064516129</v>
      </c>
      <c r="BU29" s="10">
        <f t="shared" si="27"/>
        <v>55.413030746705701</v>
      </c>
      <c r="BW29" s="14">
        <v>0.49999999999999978</v>
      </c>
      <c r="BX29" s="10">
        <f t="shared" si="12"/>
        <v>-1.0039747064137323</v>
      </c>
      <c r="BY29" s="10">
        <f t="shared" si="28"/>
        <v>0.65399103331402664</v>
      </c>
      <c r="BZ29" s="10">
        <f t="shared" si="29"/>
        <v>5.3571352848514708</v>
      </c>
      <c r="CA29" s="10">
        <f t="shared" si="30"/>
        <v>4.8297447885420315</v>
      </c>
      <c r="CB29" s="10">
        <f t="shared" si="31"/>
        <v>-0.16840822671792566</v>
      </c>
      <c r="CC29" s="10">
        <f t="shared" si="32"/>
        <v>-1.2411442899475738</v>
      </c>
      <c r="CD29" s="10">
        <f t="shared" si="33"/>
        <v>3.9542155145308335</v>
      </c>
      <c r="CF29" s="14">
        <v>0.49999999999999978</v>
      </c>
      <c r="CG29" s="10">
        <f t="shared" si="14"/>
        <v>-4.6463210702341158</v>
      </c>
      <c r="CH29" s="10">
        <f t="shared" si="34"/>
        <v>3.0032360015432999</v>
      </c>
      <c r="CI29" s="10">
        <f t="shared" si="35"/>
        <v>23.668580852642862</v>
      </c>
      <c r="CJ29" s="10">
        <f t="shared" si="36"/>
        <v>21.667623629135797</v>
      </c>
      <c r="CK29" s="10">
        <f t="shared" si="37"/>
        <v>-0.76314566095214076</v>
      </c>
      <c r="CL29" s="10">
        <f t="shared" si="38"/>
        <v>-5.620541935483871</v>
      </c>
      <c r="CM29" s="10">
        <f t="shared" si="39"/>
        <v>18.413030746705701</v>
      </c>
    </row>
    <row r="30" spans="3:91" x14ac:dyDescent="0.3">
      <c r="C30" s="15">
        <v>0.52083333333333315</v>
      </c>
      <c r="D30" s="7">
        <v>46</v>
      </c>
      <c r="E30" s="7">
        <v>36</v>
      </c>
      <c r="F30" s="7">
        <v>36</v>
      </c>
      <c r="G30" s="7">
        <v>49</v>
      </c>
      <c r="H30" s="7">
        <v>41</v>
      </c>
      <c r="I30" s="7">
        <v>31</v>
      </c>
      <c r="J30" s="7">
        <v>38</v>
      </c>
      <c r="L30" s="15">
        <v>0.52083333333333315</v>
      </c>
      <c r="M30" s="7">
        <v>321.26822916666669</v>
      </c>
      <c r="N30" s="7">
        <v>320.44646924829158</v>
      </c>
      <c r="O30" s="7">
        <v>325.25599999999997</v>
      </c>
      <c r="P30" s="7">
        <v>316.2093023255814</v>
      </c>
      <c r="Q30" s="7">
        <v>316.92631578947368</v>
      </c>
      <c r="R30" s="7">
        <v>316.32134292565945</v>
      </c>
      <c r="S30" s="7">
        <v>311.90796019900495</v>
      </c>
      <c r="U30" s="15">
        <v>0.52083333333333315</v>
      </c>
      <c r="V30" s="8">
        <v>0.3</v>
      </c>
      <c r="W30" s="8">
        <v>0.3</v>
      </c>
      <c r="X30" s="8">
        <v>0.3</v>
      </c>
      <c r="Y30" s="8">
        <v>0.3</v>
      </c>
      <c r="Z30" s="8">
        <v>0.3</v>
      </c>
      <c r="AA30" s="8">
        <v>0.3</v>
      </c>
      <c r="AB30" s="8">
        <v>0.3</v>
      </c>
      <c r="AD30" s="15">
        <v>0.52083333333333315</v>
      </c>
      <c r="AE30" s="8">
        <f>82%</f>
        <v>0.82</v>
      </c>
      <c r="AF30" s="8">
        <f>82%</f>
        <v>0.82</v>
      </c>
      <c r="AG30" s="8">
        <f>82%</f>
        <v>0.82</v>
      </c>
      <c r="AH30" s="8">
        <f>82%</f>
        <v>0.82</v>
      </c>
      <c r="AI30" s="8">
        <f>82%</f>
        <v>0.82</v>
      </c>
      <c r="AJ30" s="8">
        <f>82%</f>
        <v>0.82</v>
      </c>
      <c r="AK30" s="8">
        <f>82%</f>
        <v>0.82</v>
      </c>
      <c r="AM30" s="15">
        <v>0.52083333333333315</v>
      </c>
      <c r="AN30" s="10">
        <f t="shared" si="15"/>
        <v>10.012424486224029</v>
      </c>
      <c r="AO30" s="10">
        <f t="shared" si="13"/>
        <v>7.8157675426412583</v>
      </c>
      <c r="AP30" s="10">
        <f t="shared" si="0"/>
        <v>7.9330731707317064</v>
      </c>
      <c r="AQ30" s="10">
        <f t="shared" si="1"/>
        <v>10.497463288586374</v>
      </c>
      <c r="AR30" s="10">
        <f t="shared" si="2"/>
        <v>8.803508771929824</v>
      </c>
      <c r="AS30" s="10">
        <f t="shared" si="3"/>
        <v>6.6436054408505711</v>
      </c>
      <c r="AT30" s="10">
        <f t="shared" si="4"/>
        <v>8.0301507368307501</v>
      </c>
      <c r="AV30" s="15">
        <v>0.52083333333333315</v>
      </c>
      <c r="AW30" s="10">
        <f>Roster!I$71</f>
        <v>14</v>
      </c>
      <c r="AX30" s="10">
        <f>Roster!J$71</f>
        <v>14</v>
      </c>
      <c r="AY30" s="10">
        <f>Roster!K$71</f>
        <v>18</v>
      </c>
      <c r="AZ30" s="10">
        <f>Roster!L$71</f>
        <v>19</v>
      </c>
      <c r="BA30" s="10">
        <f>Roster!M$71</f>
        <v>13</v>
      </c>
      <c r="BB30" s="10">
        <f>Roster!N$71</f>
        <v>14</v>
      </c>
      <c r="BC30" s="10">
        <f>Roster!O$71</f>
        <v>17</v>
      </c>
      <c r="BE30" s="15">
        <v>0.52083333333333315</v>
      </c>
      <c r="BF30" s="10">
        <f t="shared" si="10"/>
        <v>9.7999999999999989</v>
      </c>
      <c r="BG30" s="10">
        <f t="shared" si="16"/>
        <v>9.7999999999999989</v>
      </c>
      <c r="BH30" s="10">
        <f t="shared" si="17"/>
        <v>12.6</v>
      </c>
      <c r="BI30" s="10">
        <f t="shared" si="18"/>
        <v>13.299999999999999</v>
      </c>
      <c r="BJ30" s="10">
        <f t="shared" si="19"/>
        <v>9.1</v>
      </c>
      <c r="BK30" s="10">
        <f t="shared" si="20"/>
        <v>9.7999999999999989</v>
      </c>
      <c r="BL30" s="10">
        <f t="shared" si="21"/>
        <v>11.899999999999999</v>
      </c>
      <c r="BN30" s="15">
        <v>0.52083333333333315</v>
      </c>
      <c r="BO30" s="10">
        <f t="shared" si="11"/>
        <v>45.024059918778924</v>
      </c>
      <c r="BP30" s="10">
        <f t="shared" si="22"/>
        <v>45.139520600528868</v>
      </c>
      <c r="BQ30" s="10">
        <f t="shared" si="23"/>
        <v>57.17834567233195</v>
      </c>
      <c r="BR30" s="10">
        <f t="shared" si="24"/>
        <v>62.081665073177902</v>
      </c>
      <c r="BS30" s="10">
        <f t="shared" si="25"/>
        <v>42.380829015544045</v>
      </c>
      <c r="BT30" s="10">
        <f t="shared" si="26"/>
        <v>45.728182190347674</v>
      </c>
      <c r="BU30" s="10">
        <f t="shared" si="27"/>
        <v>56.312766076227994</v>
      </c>
      <c r="BW30" s="15">
        <v>0.52083333333333315</v>
      </c>
      <c r="BX30" s="10">
        <f t="shared" si="12"/>
        <v>-0.21242448622403032</v>
      </c>
      <c r="BY30" s="10">
        <f t="shared" si="28"/>
        <v>1.9842324573587407</v>
      </c>
      <c r="BZ30" s="10">
        <f t="shared" si="29"/>
        <v>4.6669268292682933</v>
      </c>
      <c r="CA30" s="10">
        <f t="shared" si="30"/>
        <v>2.8025367114136248</v>
      </c>
      <c r="CB30" s="10">
        <f t="shared" si="31"/>
        <v>0.29649122807017569</v>
      </c>
      <c r="CC30" s="10">
        <f t="shared" si="32"/>
        <v>3.1563945591494278</v>
      </c>
      <c r="CD30" s="10">
        <f t="shared" si="33"/>
        <v>3.8698492631692485</v>
      </c>
      <c r="CF30" s="15">
        <v>0.52083333333333315</v>
      </c>
      <c r="CG30" s="10">
        <f t="shared" si="14"/>
        <v>-0.97594008122107567</v>
      </c>
      <c r="CH30" s="10">
        <f t="shared" si="34"/>
        <v>9.1395206005288685</v>
      </c>
      <c r="CI30" s="10">
        <f t="shared" si="35"/>
        <v>21.17834567233195</v>
      </c>
      <c r="CJ30" s="10">
        <f t="shared" si="36"/>
        <v>13.081665073177902</v>
      </c>
      <c r="CK30" s="10">
        <f t="shared" si="37"/>
        <v>1.3808290155440446</v>
      </c>
      <c r="CL30" s="10">
        <f t="shared" si="38"/>
        <v>14.728182190347674</v>
      </c>
      <c r="CM30" s="10">
        <f t="shared" si="39"/>
        <v>18.312766076227994</v>
      </c>
    </row>
    <row r="31" spans="3:91" x14ac:dyDescent="0.3">
      <c r="C31" s="15">
        <v>0.54166666666666652</v>
      </c>
      <c r="D31" s="7">
        <v>31</v>
      </c>
      <c r="E31" s="7">
        <v>32</v>
      </c>
      <c r="F31" s="7">
        <v>30</v>
      </c>
      <c r="G31" s="7">
        <v>46</v>
      </c>
      <c r="H31" s="7">
        <v>30</v>
      </c>
      <c r="I31" s="7">
        <v>37</v>
      </c>
      <c r="J31" s="7">
        <v>37</v>
      </c>
      <c r="L31" s="15">
        <v>0.54166666666666652</v>
      </c>
      <c r="M31" s="7">
        <v>312.28641975308642</v>
      </c>
      <c r="N31" s="7">
        <v>324.34020618556701</v>
      </c>
      <c r="O31" s="7">
        <v>340.63659147869674</v>
      </c>
      <c r="P31" s="7">
        <v>322.81796116504853</v>
      </c>
      <c r="Q31" s="7">
        <v>338.8423645320197</v>
      </c>
      <c r="R31" s="7">
        <v>322.27872860635699</v>
      </c>
      <c r="S31" s="7">
        <v>323.0687203791469</v>
      </c>
      <c r="U31" s="15">
        <v>0.54166666666666652</v>
      </c>
      <c r="V31" s="8">
        <v>0.3</v>
      </c>
      <c r="W31" s="8">
        <v>0.3</v>
      </c>
      <c r="X31" s="8">
        <v>0.3</v>
      </c>
      <c r="Y31" s="8">
        <v>0.3</v>
      </c>
      <c r="Z31" s="8">
        <v>0.3</v>
      </c>
      <c r="AA31" s="8">
        <v>0.3</v>
      </c>
      <c r="AB31" s="8">
        <v>0.3</v>
      </c>
      <c r="AD31" s="15">
        <v>0.54166666666666652</v>
      </c>
      <c r="AE31" s="8">
        <f>82%</f>
        <v>0.82</v>
      </c>
      <c r="AF31" s="8">
        <f>82%</f>
        <v>0.82</v>
      </c>
      <c r="AG31" s="8">
        <f>82%</f>
        <v>0.82</v>
      </c>
      <c r="AH31" s="8">
        <f>82%</f>
        <v>0.82</v>
      </c>
      <c r="AI31" s="8">
        <f>82%</f>
        <v>0.82</v>
      </c>
      <c r="AJ31" s="8">
        <f>82%</f>
        <v>0.82</v>
      </c>
      <c r="AK31" s="8">
        <f>82%</f>
        <v>0.82</v>
      </c>
      <c r="AM31" s="15">
        <v>0.54166666666666652</v>
      </c>
      <c r="AN31" s="10">
        <f t="shared" si="15"/>
        <v>6.5588611194753916</v>
      </c>
      <c r="AO31" s="10">
        <f t="shared" si="13"/>
        <v>7.0317659877629701</v>
      </c>
      <c r="AP31" s="10">
        <f t="shared" si="0"/>
        <v>6.9235079568840803</v>
      </c>
      <c r="AQ31" s="10">
        <f t="shared" si="1"/>
        <v>10.060722366932406</v>
      </c>
      <c r="AR31" s="10">
        <f t="shared" si="2"/>
        <v>6.8870399295125955</v>
      </c>
      <c r="AS31" s="10">
        <f t="shared" si="3"/>
        <v>8.0788028173680271</v>
      </c>
      <c r="AT31" s="10">
        <f t="shared" si="4"/>
        <v>8.0986061341656068</v>
      </c>
      <c r="AV31" s="15">
        <v>0.54166666666666652</v>
      </c>
      <c r="AW31" s="10">
        <f>Roster!I$71</f>
        <v>14</v>
      </c>
      <c r="AX31" s="10">
        <f>Roster!J$71</f>
        <v>14</v>
      </c>
      <c r="AY31" s="10">
        <f>Roster!K$71</f>
        <v>18</v>
      </c>
      <c r="AZ31" s="10">
        <f>Roster!L$71</f>
        <v>19</v>
      </c>
      <c r="BA31" s="10">
        <f>Roster!M$71</f>
        <v>13</v>
      </c>
      <c r="BB31" s="10">
        <f>Roster!N$71</f>
        <v>14</v>
      </c>
      <c r="BC31" s="10">
        <f>Roster!O$71</f>
        <v>17</v>
      </c>
      <c r="BE31" s="15">
        <v>0.54166666666666652</v>
      </c>
      <c r="BF31" s="10">
        <f t="shared" si="10"/>
        <v>9.7999999999999989</v>
      </c>
      <c r="BG31" s="10">
        <f t="shared" si="16"/>
        <v>9.7999999999999989</v>
      </c>
      <c r="BH31" s="10">
        <f t="shared" si="17"/>
        <v>12.6</v>
      </c>
      <c r="BI31" s="10">
        <f t="shared" si="18"/>
        <v>13.299999999999999</v>
      </c>
      <c r="BJ31" s="10">
        <f t="shared" si="19"/>
        <v>9.1</v>
      </c>
      <c r="BK31" s="10">
        <f t="shared" si="20"/>
        <v>9.7999999999999989</v>
      </c>
      <c r="BL31" s="10">
        <f t="shared" si="21"/>
        <v>11.899999999999999</v>
      </c>
      <c r="BN31" s="15">
        <v>0.54166666666666652</v>
      </c>
      <c r="BO31" s="10">
        <f t="shared" si="11"/>
        <v>46.319017046712418</v>
      </c>
      <c r="BP31" s="10">
        <f t="shared" si="22"/>
        <v>44.597616096119005</v>
      </c>
      <c r="BQ31" s="10">
        <f t="shared" si="23"/>
        <v>54.596600791677083</v>
      </c>
      <c r="BR31" s="10">
        <f t="shared" si="24"/>
        <v>60.810742776370105</v>
      </c>
      <c r="BS31" s="10">
        <f t="shared" si="25"/>
        <v>39.639671439994189</v>
      </c>
      <c r="BT31" s="10">
        <f t="shared" si="26"/>
        <v>44.882887749218575</v>
      </c>
      <c r="BU31" s="10">
        <f t="shared" si="27"/>
        <v>54.367380349873471</v>
      </c>
      <c r="BW31" s="15">
        <v>0.54166666666666652</v>
      </c>
      <c r="BX31" s="10">
        <f t="shared" si="12"/>
        <v>3.2411388805246073</v>
      </c>
      <c r="BY31" s="10">
        <f t="shared" si="28"/>
        <v>2.7682340122370288</v>
      </c>
      <c r="BZ31" s="10">
        <f t="shared" si="29"/>
        <v>5.6764920431159194</v>
      </c>
      <c r="CA31" s="10">
        <f t="shared" si="30"/>
        <v>3.2392776330675925</v>
      </c>
      <c r="CB31" s="10">
        <f t="shared" si="31"/>
        <v>2.2129600704874042</v>
      </c>
      <c r="CC31" s="10">
        <f t="shared" si="32"/>
        <v>1.7211971826319719</v>
      </c>
      <c r="CD31" s="10">
        <f t="shared" si="33"/>
        <v>3.8013938658343918</v>
      </c>
      <c r="CF31" s="15">
        <v>0.54166666666666652</v>
      </c>
      <c r="CG31" s="10">
        <f t="shared" si="14"/>
        <v>15.319017046712418</v>
      </c>
      <c r="CH31" s="10">
        <f t="shared" si="34"/>
        <v>12.597616096119005</v>
      </c>
      <c r="CI31" s="10">
        <f t="shared" si="35"/>
        <v>24.596600791677083</v>
      </c>
      <c r="CJ31" s="10">
        <f t="shared" si="36"/>
        <v>14.810742776370105</v>
      </c>
      <c r="CK31" s="10">
        <f t="shared" si="37"/>
        <v>9.6396714399941885</v>
      </c>
      <c r="CL31" s="10">
        <f t="shared" si="38"/>
        <v>7.8828877492185754</v>
      </c>
      <c r="CM31" s="10">
        <f t="shared" si="39"/>
        <v>17.367380349873471</v>
      </c>
    </row>
    <row r="32" spans="3:91" x14ac:dyDescent="0.3">
      <c r="C32" s="15">
        <v>0.56249999999999989</v>
      </c>
      <c r="D32" s="7">
        <v>48</v>
      </c>
      <c r="E32" s="7">
        <v>40</v>
      </c>
      <c r="F32" s="7">
        <v>44</v>
      </c>
      <c r="G32" s="7">
        <v>49</v>
      </c>
      <c r="H32" s="7">
        <v>35</v>
      </c>
      <c r="I32" s="7">
        <v>39</v>
      </c>
      <c r="J32" s="7">
        <v>41</v>
      </c>
      <c r="L32" s="15">
        <v>0.56249999999999989</v>
      </c>
      <c r="M32" s="7">
        <v>334.17530864197533</v>
      </c>
      <c r="N32" s="7">
        <v>327.59746835443036</v>
      </c>
      <c r="O32" s="7">
        <v>324.0402144772118</v>
      </c>
      <c r="P32" s="7">
        <v>330.05263157894734</v>
      </c>
      <c r="Q32" s="7">
        <v>308.502538071066</v>
      </c>
      <c r="R32" s="7">
        <v>333.5090909090909</v>
      </c>
      <c r="S32" s="7">
        <v>332.19306930693068</v>
      </c>
      <c r="U32" s="15">
        <v>0.56249999999999989</v>
      </c>
      <c r="V32" s="8">
        <v>0.3</v>
      </c>
      <c r="W32" s="8">
        <v>0.3</v>
      </c>
      <c r="X32" s="8">
        <v>0.3</v>
      </c>
      <c r="Y32" s="8">
        <v>0.3</v>
      </c>
      <c r="Z32" s="8">
        <v>0.3</v>
      </c>
      <c r="AA32" s="8">
        <v>0.3</v>
      </c>
      <c r="AB32" s="8">
        <v>0.3</v>
      </c>
      <c r="AD32" s="15">
        <v>0.56249999999999989</v>
      </c>
      <c r="AE32" s="8">
        <f>82%</f>
        <v>0.82</v>
      </c>
      <c r="AF32" s="8">
        <f>82%</f>
        <v>0.82</v>
      </c>
      <c r="AG32" s="8">
        <f>82%</f>
        <v>0.82</v>
      </c>
      <c r="AH32" s="8">
        <f>82%</f>
        <v>0.82</v>
      </c>
      <c r="AI32" s="8">
        <f>82%</f>
        <v>0.82</v>
      </c>
      <c r="AJ32" s="8">
        <f>82%</f>
        <v>0.82</v>
      </c>
      <c r="AK32" s="8">
        <f>82%</f>
        <v>0.82</v>
      </c>
      <c r="AM32" s="15">
        <v>0.56249999999999989</v>
      </c>
      <c r="AN32" s="10">
        <f t="shared" si="15"/>
        <v>10.867489711934157</v>
      </c>
      <c r="AO32" s="10">
        <f t="shared" si="13"/>
        <v>8.8779801722067848</v>
      </c>
      <c r="AP32" s="10">
        <f t="shared" si="0"/>
        <v>9.6597353909195931</v>
      </c>
      <c r="AQ32" s="10">
        <f t="shared" si="1"/>
        <v>10.957031807160176</v>
      </c>
      <c r="AR32" s="10">
        <f t="shared" si="2"/>
        <v>7.3154395884060373</v>
      </c>
      <c r="AS32" s="10">
        <f t="shared" si="3"/>
        <v>8.8122320768662235</v>
      </c>
      <c r="AT32" s="10">
        <f t="shared" si="4"/>
        <v>9.2275852585258527</v>
      </c>
      <c r="AV32" s="15">
        <v>0.56249999999999989</v>
      </c>
      <c r="AW32" s="10">
        <f>Roster!I$71</f>
        <v>14</v>
      </c>
      <c r="AX32" s="10">
        <f>Roster!J$71</f>
        <v>14</v>
      </c>
      <c r="AY32" s="10">
        <f>Roster!K$71</f>
        <v>18</v>
      </c>
      <c r="AZ32" s="10">
        <f>Roster!L$71</f>
        <v>19</v>
      </c>
      <c r="BA32" s="10">
        <f>Roster!M$71</f>
        <v>13</v>
      </c>
      <c r="BB32" s="10">
        <f>Roster!N$71</f>
        <v>14</v>
      </c>
      <c r="BC32" s="10">
        <f>Roster!O$71</f>
        <v>17</v>
      </c>
      <c r="BE32" s="15">
        <v>0.56249999999999989</v>
      </c>
      <c r="BF32" s="10">
        <f t="shared" si="10"/>
        <v>9.7999999999999989</v>
      </c>
      <c r="BG32" s="10">
        <f t="shared" si="16"/>
        <v>9.7999999999999989</v>
      </c>
      <c r="BH32" s="10">
        <f t="shared" si="17"/>
        <v>12.6</v>
      </c>
      <c r="BI32" s="10">
        <f t="shared" si="18"/>
        <v>13.299999999999999</v>
      </c>
      <c r="BJ32" s="10">
        <f t="shared" si="19"/>
        <v>9.1</v>
      </c>
      <c r="BK32" s="10">
        <f t="shared" si="20"/>
        <v>9.7999999999999989</v>
      </c>
      <c r="BL32" s="10">
        <f t="shared" si="21"/>
        <v>11.899999999999999</v>
      </c>
      <c r="BN32" s="15">
        <v>0.56249999999999989</v>
      </c>
      <c r="BO32" s="10">
        <f t="shared" si="11"/>
        <v>43.285065131778246</v>
      </c>
      <c r="BP32" s="10">
        <f t="shared" si="22"/>
        <v>44.154187371040408</v>
      </c>
      <c r="BQ32" s="10">
        <f t="shared" si="23"/>
        <v>57.392876467522143</v>
      </c>
      <c r="BR32" s="10">
        <f t="shared" si="24"/>
        <v>59.477786636900021</v>
      </c>
      <c r="BS32" s="10">
        <f t="shared" si="25"/>
        <v>43.538053475935826</v>
      </c>
      <c r="BT32" s="10">
        <f t="shared" si="26"/>
        <v>43.371531374366242</v>
      </c>
      <c r="BU32" s="10">
        <f t="shared" si="27"/>
        <v>52.874071203970011</v>
      </c>
      <c r="BW32" s="15">
        <v>0.56249999999999989</v>
      </c>
      <c r="BX32" s="10">
        <f t="shared" si="12"/>
        <v>-1.067489711934158</v>
      </c>
      <c r="BY32" s="10">
        <f t="shared" si="28"/>
        <v>0.92201982779321412</v>
      </c>
      <c r="BZ32" s="10">
        <f t="shared" si="29"/>
        <v>2.9402646090804065</v>
      </c>
      <c r="CA32" s="10">
        <f t="shared" si="30"/>
        <v>2.3429681928398232</v>
      </c>
      <c r="CB32" s="10">
        <f t="shared" si="31"/>
        <v>1.7845604115939624</v>
      </c>
      <c r="CC32" s="10">
        <f t="shared" si="32"/>
        <v>0.98776792313377548</v>
      </c>
      <c r="CD32" s="10">
        <f t="shared" si="33"/>
        <v>2.6724147414741459</v>
      </c>
      <c r="CF32" s="15">
        <v>0.56249999999999989</v>
      </c>
      <c r="CG32" s="10">
        <f t="shared" si="14"/>
        <v>-4.7149348682217536</v>
      </c>
      <c r="CH32" s="10">
        <f t="shared" si="34"/>
        <v>4.1541873710404076</v>
      </c>
      <c r="CI32" s="10">
        <f t="shared" si="35"/>
        <v>13.392876467522143</v>
      </c>
      <c r="CJ32" s="10">
        <f t="shared" si="36"/>
        <v>10.477786636900021</v>
      </c>
      <c r="CK32" s="10">
        <f t="shared" si="37"/>
        <v>8.5380534759358255</v>
      </c>
      <c r="CL32" s="10">
        <f t="shared" si="38"/>
        <v>4.3715313743662421</v>
      </c>
      <c r="CM32" s="10">
        <f t="shared" si="39"/>
        <v>11.874071203970011</v>
      </c>
    </row>
    <row r="33" spans="3:91" x14ac:dyDescent="0.3">
      <c r="C33" s="15">
        <v>0.58333333333333326</v>
      </c>
      <c r="D33" s="7">
        <v>47</v>
      </c>
      <c r="E33" s="7">
        <v>33</v>
      </c>
      <c r="F33" s="7">
        <v>44</v>
      </c>
      <c r="G33" s="7">
        <v>50</v>
      </c>
      <c r="H33" s="7">
        <v>31</v>
      </c>
      <c r="I33" s="7">
        <v>47</v>
      </c>
      <c r="J33" s="7">
        <v>40</v>
      </c>
      <c r="L33" s="15">
        <v>0.58333333333333326</v>
      </c>
      <c r="M33" s="7">
        <v>326.2962962962963</v>
      </c>
      <c r="N33" s="7">
        <v>314.83614457831328</v>
      </c>
      <c r="O33" s="7">
        <v>306.29368932038835</v>
      </c>
      <c r="P33" s="7">
        <v>332.3038277511962</v>
      </c>
      <c r="Q33" s="7">
        <v>333.31627906976746</v>
      </c>
      <c r="R33" s="7">
        <v>324.97837837837835</v>
      </c>
      <c r="S33" s="7">
        <v>324.59147869674183</v>
      </c>
      <c r="U33" s="15">
        <v>0.58333333333333326</v>
      </c>
      <c r="V33" s="8">
        <v>0.3</v>
      </c>
      <c r="W33" s="8">
        <v>0.3</v>
      </c>
      <c r="X33" s="8">
        <v>0.3</v>
      </c>
      <c r="Y33" s="8">
        <v>0.3</v>
      </c>
      <c r="Z33" s="8">
        <v>0.3</v>
      </c>
      <c r="AA33" s="8">
        <v>0.3</v>
      </c>
      <c r="AB33" s="8">
        <v>0.3</v>
      </c>
      <c r="AD33" s="15">
        <v>0.58333333333333326</v>
      </c>
      <c r="AE33" s="8">
        <f>82%</f>
        <v>0.82</v>
      </c>
      <c r="AF33" s="8">
        <f>82%</f>
        <v>0.82</v>
      </c>
      <c r="AG33" s="8">
        <f>82%</f>
        <v>0.82</v>
      </c>
      <c r="AH33" s="8">
        <f>82%</f>
        <v>0.82</v>
      </c>
      <c r="AI33" s="8">
        <f>82%</f>
        <v>0.82</v>
      </c>
      <c r="AJ33" s="8">
        <f>82%</f>
        <v>0.82</v>
      </c>
      <c r="AK33" s="8">
        <f>82%</f>
        <v>0.82</v>
      </c>
      <c r="AM33" s="15">
        <v>0.58333333333333326</v>
      </c>
      <c r="AN33" s="10">
        <f t="shared" si="15"/>
        <v>10.390193716751982</v>
      </c>
      <c r="AO33" s="10">
        <f t="shared" si="13"/>
        <v>7.0390194926045657</v>
      </c>
      <c r="AP33" s="10">
        <f t="shared" si="0"/>
        <v>9.1307061857026337</v>
      </c>
      <c r="AQ33" s="10">
        <f t="shared" si="1"/>
        <v>11.256904734119113</v>
      </c>
      <c r="AR33" s="10">
        <f t="shared" si="2"/>
        <v>7.0005451566143568</v>
      </c>
      <c r="AS33" s="10">
        <f t="shared" si="3"/>
        <v>10.348227495788469</v>
      </c>
      <c r="AT33" s="10">
        <f t="shared" si="4"/>
        <v>8.7965170378520821</v>
      </c>
      <c r="AV33" s="15">
        <v>0.58333333333333326</v>
      </c>
      <c r="AW33" s="10">
        <f>Roster!I$72</f>
        <v>13</v>
      </c>
      <c r="AX33" s="10">
        <f>Roster!J$72</f>
        <v>16</v>
      </c>
      <c r="AY33" s="10">
        <f>Roster!K$72</f>
        <v>13</v>
      </c>
      <c r="AZ33" s="10">
        <f>Roster!L$72</f>
        <v>15</v>
      </c>
      <c r="BA33" s="10">
        <f>Roster!M$72</f>
        <v>13</v>
      </c>
      <c r="BB33" s="10">
        <f>Roster!N$72</f>
        <v>12</v>
      </c>
      <c r="BC33" s="10">
        <f>Roster!O$72</f>
        <v>16</v>
      </c>
      <c r="BE33" s="15">
        <v>0.58333333333333326</v>
      </c>
      <c r="BF33" s="10">
        <f t="shared" si="10"/>
        <v>9.1</v>
      </c>
      <c r="BG33" s="10">
        <f t="shared" si="16"/>
        <v>11.2</v>
      </c>
      <c r="BH33" s="10">
        <f t="shared" si="17"/>
        <v>9.1</v>
      </c>
      <c r="BI33" s="10">
        <f t="shared" si="18"/>
        <v>10.5</v>
      </c>
      <c r="BJ33" s="10">
        <f t="shared" si="19"/>
        <v>9.1</v>
      </c>
      <c r="BK33" s="10">
        <f t="shared" si="20"/>
        <v>8.3999999999999986</v>
      </c>
      <c r="BL33" s="10">
        <f t="shared" si="21"/>
        <v>11.2</v>
      </c>
      <c r="BN33" s="15">
        <v>0.58333333333333326</v>
      </c>
      <c r="BO33" s="10">
        <f t="shared" si="11"/>
        <v>41.163813847900116</v>
      </c>
      <c r="BP33" s="10">
        <f t="shared" si="22"/>
        <v>52.507313041015784</v>
      </c>
      <c r="BQ33" s="10">
        <f t="shared" si="23"/>
        <v>43.852029827327982</v>
      </c>
      <c r="BR33" s="10">
        <f t="shared" si="24"/>
        <v>46.638042374894709</v>
      </c>
      <c r="BS33" s="10">
        <f t="shared" si="25"/>
        <v>40.296861699900923</v>
      </c>
      <c r="BT33" s="10">
        <f t="shared" si="26"/>
        <v>38.151461219873255</v>
      </c>
      <c r="BU33" s="10">
        <f t="shared" si="27"/>
        <v>50.929248254987961</v>
      </c>
      <c r="BW33" s="15">
        <v>0.58333333333333326</v>
      </c>
      <c r="BX33" s="10">
        <f t="shared" si="12"/>
        <v>-1.2901937167519826</v>
      </c>
      <c r="BY33" s="10">
        <f t="shared" si="28"/>
        <v>4.1609805073954336</v>
      </c>
      <c r="BZ33" s="10">
        <f t="shared" si="29"/>
        <v>-3.0706185702634059E-2</v>
      </c>
      <c r="CA33" s="10">
        <f t="shared" si="30"/>
        <v>-0.75690473411911263</v>
      </c>
      <c r="CB33" s="10">
        <f t="shared" si="31"/>
        <v>2.0994548433856428</v>
      </c>
      <c r="CC33" s="10">
        <f t="shared" si="32"/>
        <v>-1.9482274957884709</v>
      </c>
      <c r="CD33" s="10">
        <f t="shared" si="33"/>
        <v>2.4034829621479172</v>
      </c>
      <c r="CF33" s="15">
        <v>0.58333333333333326</v>
      </c>
      <c r="CG33" s="10">
        <f t="shared" si="14"/>
        <v>-5.8361861520998843</v>
      </c>
      <c r="CH33" s="10">
        <f t="shared" si="34"/>
        <v>19.507313041015784</v>
      </c>
      <c r="CI33" s="10">
        <f t="shared" si="35"/>
        <v>-0.14797017267201795</v>
      </c>
      <c r="CJ33" s="10">
        <f t="shared" si="36"/>
        <v>-3.3619576251052905</v>
      </c>
      <c r="CK33" s="10">
        <f t="shared" si="37"/>
        <v>9.2968616999009228</v>
      </c>
      <c r="CL33" s="10">
        <f t="shared" si="38"/>
        <v>-8.848538780126745</v>
      </c>
      <c r="CM33" s="10">
        <f t="shared" si="39"/>
        <v>10.929248254987961</v>
      </c>
    </row>
    <row r="34" spans="3:91" x14ac:dyDescent="0.3">
      <c r="C34" s="15">
        <v>0.60416666666666663</v>
      </c>
      <c r="D34" s="7">
        <v>42</v>
      </c>
      <c r="E34" s="7">
        <v>43</v>
      </c>
      <c r="F34" s="7">
        <v>35</v>
      </c>
      <c r="G34" s="7">
        <v>41</v>
      </c>
      <c r="H34" s="7">
        <v>35</v>
      </c>
      <c r="I34" s="7">
        <v>32</v>
      </c>
      <c r="J34" s="7">
        <v>43</v>
      </c>
      <c r="L34" s="15">
        <v>0.60416666666666663</v>
      </c>
      <c r="M34" s="7">
        <v>319.26165803108807</v>
      </c>
      <c r="N34" s="7">
        <v>336.76991150442478</v>
      </c>
      <c r="O34" s="7">
        <v>319.50383631713555</v>
      </c>
      <c r="P34" s="7">
        <v>317.90909090909093</v>
      </c>
      <c r="Q34" s="7">
        <v>315.85929648241205</v>
      </c>
      <c r="R34" s="7">
        <v>308.74540682414698</v>
      </c>
      <c r="S34" s="7">
        <v>330.34188034188037</v>
      </c>
      <c r="U34" s="15">
        <v>0.60416666666666663</v>
      </c>
      <c r="V34" s="8">
        <v>0.3</v>
      </c>
      <c r="W34" s="8">
        <v>0.3</v>
      </c>
      <c r="X34" s="8">
        <v>0.3</v>
      </c>
      <c r="Y34" s="8">
        <v>0.3</v>
      </c>
      <c r="Z34" s="8">
        <v>0.3</v>
      </c>
      <c r="AA34" s="8">
        <v>0.3</v>
      </c>
      <c r="AB34" s="8">
        <v>0.3</v>
      </c>
      <c r="AD34" s="15">
        <v>0.60416666666666663</v>
      </c>
      <c r="AE34" s="8">
        <f>82%</f>
        <v>0.82</v>
      </c>
      <c r="AF34" s="8">
        <f>82%</f>
        <v>0.82</v>
      </c>
      <c r="AG34" s="8">
        <f>82%</f>
        <v>0.82</v>
      </c>
      <c r="AH34" s="8">
        <f>82%</f>
        <v>0.82</v>
      </c>
      <c r="AI34" s="8">
        <f>82%</f>
        <v>0.82</v>
      </c>
      <c r="AJ34" s="8">
        <f>82%</f>
        <v>0.82</v>
      </c>
      <c r="AK34" s="8">
        <f>82%</f>
        <v>0.82</v>
      </c>
      <c r="AM34" s="15">
        <v>0.60416666666666663</v>
      </c>
      <c r="AN34" s="10">
        <f t="shared" si="15"/>
        <v>9.0846813260878729</v>
      </c>
      <c r="AO34" s="10">
        <f t="shared" si="13"/>
        <v>9.8110475573782292</v>
      </c>
      <c r="AP34" s="10">
        <f t="shared" si="0"/>
        <v>7.576310481774895</v>
      </c>
      <c r="AQ34" s="10">
        <f t="shared" si="1"/>
        <v>8.8308080808080813</v>
      </c>
      <c r="AR34" s="10">
        <f t="shared" si="2"/>
        <v>7.4898884667238637</v>
      </c>
      <c r="AS34" s="10">
        <f t="shared" si="3"/>
        <v>6.6936673566210727</v>
      </c>
      <c r="AT34" s="10">
        <f t="shared" si="4"/>
        <v>9.6237810668704977</v>
      </c>
      <c r="AV34" s="15">
        <v>0.60416666666666663</v>
      </c>
      <c r="AW34" s="10">
        <f>Roster!I$72</f>
        <v>13</v>
      </c>
      <c r="AX34" s="10">
        <f>Roster!J$72</f>
        <v>16</v>
      </c>
      <c r="AY34" s="10">
        <f>Roster!K$72</f>
        <v>13</v>
      </c>
      <c r="AZ34" s="10">
        <f>Roster!L$72</f>
        <v>15</v>
      </c>
      <c r="BA34" s="10">
        <f>Roster!M$72</f>
        <v>13</v>
      </c>
      <c r="BB34" s="10">
        <f>Roster!N$72</f>
        <v>12</v>
      </c>
      <c r="BC34" s="10">
        <f>Roster!O$72</f>
        <v>16</v>
      </c>
      <c r="BE34" s="15">
        <v>0.60416666666666663</v>
      </c>
      <c r="BF34" s="10">
        <f t="shared" si="10"/>
        <v>9.1</v>
      </c>
      <c r="BG34" s="10">
        <f t="shared" si="16"/>
        <v>11.2</v>
      </c>
      <c r="BH34" s="10">
        <f t="shared" si="17"/>
        <v>9.1</v>
      </c>
      <c r="BI34" s="10">
        <f t="shared" si="18"/>
        <v>10.5</v>
      </c>
      <c r="BJ34" s="10">
        <f t="shared" si="19"/>
        <v>9.1</v>
      </c>
      <c r="BK34" s="10">
        <f t="shared" si="20"/>
        <v>8.3999999999999986</v>
      </c>
      <c r="BL34" s="10">
        <f t="shared" si="21"/>
        <v>11.2</v>
      </c>
      <c r="BN34" s="15">
        <v>0.60416666666666663</v>
      </c>
      <c r="BO34" s="10">
        <f t="shared" si="11"/>
        <v>42.070820789548428</v>
      </c>
      <c r="BP34" s="10">
        <f t="shared" si="22"/>
        <v>49.087520693732756</v>
      </c>
      <c r="BQ34" s="10">
        <f t="shared" si="23"/>
        <v>42.038931847653814</v>
      </c>
      <c r="BR34" s="10">
        <f t="shared" si="24"/>
        <v>48.749785530454673</v>
      </c>
      <c r="BS34" s="10">
        <f t="shared" si="25"/>
        <v>42.523997709049262</v>
      </c>
      <c r="BT34" s="10">
        <f t="shared" si="26"/>
        <v>40.157358541893352</v>
      </c>
      <c r="BU34" s="10">
        <f t="shared" si="27"/>
        <v>50.042701164294954</v>
      </c>
      <c r="BW34" s="15">
        <v>0.60416666666666663</v>
      </c>
      <c r="BX34" s="10">
        <f>BF34-AN34</f>
        <v>1.5318673912126712E-2</v>
      </c>
      <c r="BY34" s="10">
        <f t="shared" si="28"/>
        <v>1.3889524426217701</v>
      </c>
      <c r="BZ34" s="10">
        <f t="shared" si="29"/>
        <v>1.5236895182251047</v>
      </c>
      <c r="CA34" s="10">
        <f t="shared" si="30"/>
        <v>1.6691919191919187</v>
      </c>
      <c r="CB34" s="10">
        <f t="shared" si="31"/>
        <v>1.610111533276136</v>
      </c>
      <c r="CC34" s="10">
        <f t="shared" si="32"/>
        <v>1.7063326433789259</v>
      </c>
      <c r="CD34" s="10">
        <f t="shared" si="33"/>
        <v>1.5762189331295016</v>
      </c>
      <c r="CF34" s="15">
        <v>0.60416666666666663</v>
      </c>
      <c r="CG34" s="10">
        <f t="shared" si="14"/>
        <v>7.0820789548427854E-2</v>
      </c>
      <c r="CH34" s="10">
        <f t="shared" si="34"/>
        <v>6.0875206937327562</v>
      </c>
      <c r="CI34" s="10">
        <f t="shared" si="35"/>
        <v>7.0389318476538136</v>
      </c>
      <c r="CJ34" s="10">
        <f t="shared" si="36"/>
        <v>7.7497855304546732</v>
      </c>
      <c r="CK34" s="10">
        <f t="shared" si="37"/>
        <v>7.5239977090492616</v>
      </c>
      <c r="CL34" s="10">
        <f t="shared" si="38"/>
        <v>8.1573585418933519</v>
      </c>
      <c r="CM34" s="10">
        <f t="shared" si="39"/>
        <v>7.0427011642949537</v>
      </c>
    </row>
    <row r="35" spans="3:91" x14ac:dyDescent="0.3">
      <c r="C35" s="15">
        <v>0.625</v>
      </c>
      <c r="D35" s="7">
        <v>46</v>
      </c>
      <c r="E35" s="7">
        <v>40</v>
      </c>
      <c r="F35" s="7">
        <v>32</v>
      </c>
      <c r="G35" s="7">
        <v>37</v>
      </c>
      <c r="H35" s="7">
        <v>34</v>
      </c>
      <c r="I35" s="7">
        <v>37</v>
      </c>
      <c r="J35" s="7">
        <v>45</v>
      </c>
      <c r="L35" s="15">
        <v>0.625</v>
      </c>
      <c r="M35" s="7">
        <v>322.04473684210524</v>
      </c>
      <c r="N35" s="7">
        <v>327.97542997542996</v>
      </c>
      <c r="O35" s="7">
        <v>327.03439803439801</v>
      </c>
      <c r="P35" s="7">
        <v>334.33152173913044</v>
      </c>
      <c r="Q35" s="7">
        <v>332.26603325415675</v>
      </c>
      <c r="R35" s="7">
        <v>325.46134020618558</v>
      </c>
      <c r="S35" s="7">
        <v>327.96800000000002</v>
      </c>
      <c r="U35" s="15">
        <v>0.625</v>
      </c>
      <c r="V35" s="8">
        <v>0.3</v>
      </c>
      <c r="W35" s="8">
        <v>0.3</v>
      </c>
      <c r="X35" s="8">
        <v>0.3</v>
      </c>
      <c r="Y35" s="8">
        <v>0.3</v>
      </c>
      <c r="Z35" s="8">
        <v>0.3</v>
      </c>
      <c r="AA35" s="8">
        <v>0.3</v>
      </c>
      <c r="AB35" s="8">
        <v>0.3</v>
      </c>
      <c r="AD35" s="15">
        <v>0.625</v>
      </c>
      <c r="AE35" s="8">
        <f>82%</f>
        <v>0.82</v>
      </c>
      <c r="AF35" s="8">
        <f>82%</f>
        <v>0.82</v>
      </c>
      <c r="AG35" s="8">
        <f>82%</f>
        <v>0.82</v>
      </c>
      <c r="AH35" s="8">
        <f>82%</f>
        <v>0.82</v>
      </c>
      <c r="AI35" s="8">
        <f>82%</f>
        <v>0.82</v>
      </c>
      <c r="AJ35" s="8">
        <f>82%</f>
        <v>0.82</v>
      </c>
      <c r="AK35" s="8">
        <f>82%</f>
        <v>0.82</v>
      </c>
      <c r="AM35" s="15">
        <v>0.625</v>
      </c>
      <c r="AN35" s="10">
        <f t="shared" si="15"/>
        <v>10.03662458993011</v>
      </c>
      <c r="AO35" s="10">
        <f t="shared" si="13"/>
        <v>8.888223034564497</v>
      </c>
      <c r="AP35" s="10">
        <f t="shared" si="0"/>
        <v>7.0901766511522606</v>
      </c>
      <c r="AQ35" s="10">
        <f t="shared" si="1"/>
        <v>8.3809392305879573</v>
      </c>
      <c r="AR35" s="10">
        <f t="shared" si="2"/>
        <v>7.653824614255643</v>
      </c>
      <c r="AS35" s="10">
        <f t="shared" si="3"/>
        <v>8.158583731455872</v>
      </c>
      <c r="AT35" s="10">
        <f t="shared" si="4"/>
        <v>9.9990243902439033</v>
      </c>
      <c r="AV35" s="15">
        <v>0.625</v>
      </c>
      <c r="AW35" s="10">
        <f>Roster!I$72</f>
        <v>13</v>
      </c>
      <c r="AX35" s="10">
        <f>Roster!J$72</f>
        <v>16</v>
      </c>
      <c r="AY35" s="10">
        <f>Roster!K$72</f>
        <v>13</v>
      </c>
      <c r="AZ35" s="10">
        <f>Roster!L$72</f>
        <v>15</v>
      </c>
      <c r="BA35" s="10">
        <f>Roster!M$72</f>
        <v>13</v>
      </c>
      <c r="BB35" s="10">
        <f>Roster!N$72</f>
        <v>12</v>
      </c>
      <c r="BC35" s="10">
        <f>Roster!O$72</f>
        <v>16</v>
      </c>
      <c r="BE35" s="15">
        <v>0.625</v>
      </c>
      <c r="BF35" s="10">
        <f t="shared" si="10"/>
        <v>9.1</v>
      </c>
      <c r="BG35" s="10">
        <f t="shared" si="16"/>
        <v>11.2</v>
      </c>
      <c r="BH35" s="10">
        <f t="shared" si="17"/>
        <v>9.1</v>
      </c>
      <c r="BI35" s="10">
        <f t="shared" si="18"/>
        <v>10.5</v>
      </c>
      <c r="BJ35" s="10">
        <f t="shared" si="19"/>
        <v>9.1</v>
      </c>
      <c r="BK35" s="10">
        <f t="shared" si="20"/>
        <v>8.3999999999999986</v>
      </c>
      <c r="BL35" s="10">
        <f t="shared" si="21"/>
        <v>11.2</v>
      </c>
      <c r="BN35" s="15">
        <v>0.625</v>
      </c>
      <c r="BO35" s="10">
        <f t="shared" si="11"/>
        <v>41.707248911151609</v>
      </c>
      <c r="BP35" s="10">
        <f t="shared" si="22"/>
        <v>50.40377567685001</v>
      </c>
      <c r="BQ35" s="10">
        <f t="shared" si="23"/>
        <v>41.070908995289365</v>
      </c>
      <c r="BR35" s="10">
        <f t="shared" si="24"/>
        <v>46.355186371246972</v>
      </c>
      <c r="BS35" s="10">
        <f t="shared" si="25"/>
        <v>40.424234365617231</v>
      </c>
      <c r="BT35" s="10">
        <f t="shared" si="26"/>
        <v>38.09484712422492</v>
      </c>
      <c r="BU35" s="10">
        <f t="shared" si="27"/>
        <v>50.404917552931991</v>
      </c>
      <c r="BW35" s="15">
        <v>0.625</v>
      </c>
      <c r="BX35" s="10">
        <f t="shared" si="12"/>
        <v>-0.93662458993011022</v>
      </c>
      <c r="BY35" s="10">
        <f t="shared" si="28"/>
        <v>2.3117769654355023</v>
      </c>
      <c r="BZ35" s="10">
        <f t="shared" si="29"/>
        <v>2.0098233488477391</v>
      </c>
      <c r="CA35" s="10">
        <f t="shared" si="30"/>
        <v>2.1190607694120427</v>
      </c>
      <c r="CB35" s="10">
        <f t="shared" si="31"/>
        <v>1.4461753857443567</v>
      </c>
      <c r="CC35" s="10">
        <f t="shared" si="32"/>
        <v>0.24141626854412657</v>
      </c>
      <c r="CD35" s="10">
        <f t="shared" si="33"/>
        <v>1.200975609756096</v>
      </c>
      <c r="CF35" s="15">
        <v>0.625</v>
      </c>
      <c r="CG35" s="10">
        <f t="shared" si="14"/>
        <v>-4.2927510888483909</v>
      </c>
      <c r="CH35" s="10">
        <f t="shared" si="34"/>
        <v>10.40377567685001</v>
      </c>
      <c r="CI35" s="10">
        <f t="shared" si="35"/>
        <v>9.0709089952893649</v>
      </c>
      <c r="CJ35" s="10">
        <f t="shared" si="36"/>
        <v>9.3551863712469725</v>
      </c>
      <c r="CK35" s="10">
        <f t="shared" si="37"/>
        <v>6.4242343656172309</v>
      </c>
      <c r="CL35" s="10">
        <f t="shared" si="38"/>
        <v>1.0948471242249198</v>
      </c>
      <c r="CM35" s="10">
        <f t="shared" si="39"/>
        <v>5.4049175529319911</v>
      </c>
    </row>
    <row r="36" spans="3:91" x14ac:dyDescent="0.3">
      <c r="C36" s="15">
        <v>0.64583333333333337</v>
      </c>
      <c r="D36" s="7">
        <v>34</v>
      </c>
      <c r="E36" s="7">
        <v>42</v>
      </c>
      <c r="F36" s="7">
        <v>50</v>
      </c>
      <c r="G36" s="7">
        <v>31</v>
      </c>
      <c r="H36" s="7">
        <v>30</v>
      </c>
      <c r="I36" s="7">
        <v>41</v>
      </c>
      <c r="J36" s="7">
        <v>41</v>
      </c>
      <c r="L36" s="15">
        <v>0.64583333333333337</v>
      </c>
      <c r="M36" s="7">
        <v>326.36319612590802</v>
      </c>
      <c r="N36" s="7">
        <v>325.89834515366431</v>
      </c>
      <c r="O36" s="7">
        <v>319.71428571428572</v>
      </c>
      <c r="P36" s="7">
        <v>323.92434988179667</v>
      </c>
      <c r="Q36" s="7">
        <v>317.09732360097325</v>
      </c>
      <c r="R36" s="7">
        <v>330.9336870026525</v>
      </c>
      <c r="S36" s="7">
        <v>326.82205513784459</v>
      </c>
      <c r="U36" s="15">
        <v>0.64583333333333337</v>
      </c>
      <c r="V36" s="8">
        <v>0.3</v>
      </c>
      <c r="W36" s="8">
        <v>0.3</v>
      </c>
      <c r="X36" s="8">
        <v>0.3</v>
      </c>
      <c r="Y36" s="8">
        <v>0.3</v>
      </c>
      <c r="Z36" s="8">
        <v>0.3</v>
      </c>
      <c r="AA36" s="8">
        <v>0.3</v>
      </c>
      <c r="AB36" s="8">
        <v>0.3</v>
      </c>
      <c r="AD36" s="15">
        <v>0.64583333333333337</v>
      </c>
      <c r="AE36" s="8">
        <f>82%</f>
        <v>0.82</v>
      </c>
      <c r="AF36" s="8">
        <f>82%</f>
        <v>0.82</v>
      </c>
      <c r="AG36" s="8">
        <f>82%</f>
        <v>0.82</v>
      </c>
      <c r="AH36" s="8">
        <f>82%</f>
        <v>0.82</v>
      </c>
      <c r="AI36" s="8">
        <f>82%</f>
        <v>0.82</v>
      </c>
      <c r="AJ36" s="8">
        <f>82%</f>
        <v>0.82</v>
      </c>
      <c r="AK36" s="8">
        <f>82%</f>
        <v>0.82</v>
      </c>
      <c r="AM36" s="15">
        <v>0.64583333333333337</v>
      </c>
      <c r="AN36" s="10">
        <f t="shared" si="15"/>
        <v>7.5178514012743038</v>
      </c>
      <c r="AO36" s="10">
        <f t="shared" si="13"/>
        <v>9.2735301466489855</v>
      </c>
      <c r="AP36" s="10">
        <f t="shared" si="0"/>
        <v>10.830429732868758</v>
      </c>
      <c r="AQ36" s="10">
        <f t="shared" si="1"/>
        <v>6.8032891912843478</v>
      </c>
      <c r="AR36" s="10">
        <f t="shared" si="2"/>
        <v>6.4450675528653099</v>
      </c>
      <c r="AS36" s="10">
        <f t="shared" si="3"/>
        <v>9.1926024167403479</v>
      </c>
      <c r="AT36" s="10">
        <f t="shared" si="4"/>
        <v>9.0783904204956833</v>
      </c>
      <c r="AV36" s="15">
        <v>0.64583333333333337</v>
      </c>
      <c r="AW36" s="10">
        <f>Roster!I$72</f>
        <v>13</v>
      </c>
      <c r="AX36" s="10">
        <f>Roster!J$72</f>
        <v>16</v>
      </c>
      <c r="AY36" s="10">
        <f>Roster!K$72</f>
        <v>13</v>
      </c>
      <c r="AZ36" s="10">
        <f>Roster!L$72</f>
        <v>15</v>
      </c>
      <c r="BA36" s="10">
        <f>Roster!M$72</f>
        <v>13</v>
      </c>
      <c r="BB36" s="10">
        <f>Roster!N$72</f>
        <v>12</v>
      </c>
      <c r="BC36" s="10">
        <f>Roster!O$72</f>
        <v>16</v>
      </c>
      <c r="BE36" s="15">
        <v>0.64583333333333337</v>
      </c>
      <c r="BF36" s="10">
        <f t="shared" si="10"/>
        <v>9.1</v>
      </c>
      <c r="BG36" s="10">
        <f t="shared" si="16"/>
        <v>11.2</v>
      </c>
      <c r="BH36" s="10">
        <f t="shared" si="17"/>
        <v>9.1</v>
      </c>
      <c r="BI36" s="10">
        <f t="shared" si="18"/>
        <v>10.5</v>
      </c>
      <c r="BJ36" s="10">
        <f t="shared" si="19"/>
        <v>9.1</v>
      </c>
      <c r="BK36" s="10">
        <f t="shared" si="20"/>
        <v>8.3999999999999986</v>
      </c>
      <c r="BL36" s="10">
        <f t="shared" si="21"/>
        <v>11.2</v>
      </c>
      <c r="BN36" s="15">
        <v>0.64583333333333337</v>
      </c>
      <c r="BO36" s="10">
        <f t="shared" si="11"/>
        <v>41.155375849482148</v>
      </c>
      <c r="BP36" s="10">
        <f t="shared" si="22"/>
        <v>50.725019767146641</v>
      </c>
      <c r="BQ36" s="10">
        <f t="shared" si="23"/>
        <v>42.011260053619303</v>
      </c>
      <c r="BR36" s="10">
        <f t="shared" si="24"/>
        <v>47.844504451904832</v>
      </c>
      <c r="BS36" s="10">
        <f t="shared" si="25"/>
        <v>42.357973405357292</v>
      </c>
      <c r="BT36" s="10">
        <f t="shared" si="26"/>
        <v>37.464907584040006</v>
      </c>
      <c r="BU36" s="10">
        <f t="shared" si="27"/>
        <v>50.581653655618787</v>
      </c>
      <c r="BW36" s="15">
        <v>0.64583333333333337</v>
      </c>
      <c r="BX36" s="10">
        <f t="shared" si="12"/>
        <v>1.5821485987256958</v>
      </c>
      <c r="BY36" s="10">
        <f t="shared" si="28"/>
        <v>1.9264698533510138</v>
      </c>
      <c r="BZ36" s="10">
        <f t="shared" si="29"/>
        <v>-1.7304297328687586</v>
      </c>
      <c r="CA36" s="10">
        <f t="shared" si="30"/>
        <v>3.6967108087156522</v>
      </c>
      <c r="CB36" s="10">
        <f t="shared" si="31"/>
        <v>2.6549324471346898</v>
      </c>
      <c r="CC36" s="10">
        <f t="shared" si="32"/>
        <v>-0.79260241674034937</v>
      </c>
      <c r="CD36" s="10">
        <f t="shared" si="33"/>
        <v>2.1216095795043159</v>
      </c>
      <c r="CF36" s="15">
        <v>0.64583333333333337</v>
      </c>
      <c r="CG36" s="10">
        <f t="shared" si="14"/>
        <v>7.155375849482148</v>
      </c>
      <c r="CH36" s="10">
        <f t="shared" si="34"/>
        <v>8.725019767146641</v>
      </c>
      <c r="CI36" s="10">
        <f t="shared" si="35"/>
        <v>-7.9887399463806972</v>
      </c>
      <c r="CJ36" s="10">
        <f t="shared" si="36"/>
        <v>16.844504451904832</v>
      </c>
      <c r="CK36" s="10">
        <f t="shared" si="37"/>
        <v>12.357973405357292</v>
      </c>
      <c r="CL36" s="10">
        <f t="shared" si="38"/>
        <v>-3.5350924159599941</v>
      </c>
      <c r="CM36" s="10">
        <f t="shared" si="39"/>
        <v>9.581653655618787</v>
      </c>
    </row>
    <row r="37" spans="3:91" x14ac:dyDescent="0.3">
      <c r="C37" s="15">
        <v>0.66666666666666674</v>
      </c>
      <c r="D37" s="7">
        <v>32</v>
      </c>
      <c r="E37" s="7">
        <v>41</v>
      </c>
      <c r="F37" s="7">
        <v>39</v>
      </c>
      <c r="G37" s="7">
        <v>38</v>
      </c>
      <c r="H37" s="7">
        <v>36</v>
      </c>
      <c r="I37" s="7">
        <v>47</v>
      </c>
      <c r="J37" s="7">
        <v>31</v>
      </c>
      <c r="L37" s="15">
        <v>0.66666666666666674</v>
      </c>
      <c r="M37" s="7">
        <v>314.55432372505544</v>
      </c>
      <c r="N37" s="7">
        <v>321.89903846153845</v>
      </c>
      <c r="O37" s="7">
        <v>329.42892768079798</v>
      </c>
      <c r="P37" s="7">
        <v>323.89295774647888</v>
      </c>
      <c r="Q37" s="7">
        <v>333.70559610705595</v>
      </c>
      <c r="R37" s="7">
        <v>332.54421768707482</v>
      </c>
      <c r="S37" s="7">
        <v>325.87301587301585</v>
      </c>
      <c r="U37" s="15">
        <v>0.66666666666666674</v>
      </c>
      <c r="V37" s="8">
        <v>0.3</v>
      </c>
      <c r="W37" s="8">
        <v>0.3</v>
      </c>
      <c r="X37" s="8">
        <v>0.3</v>
      </c>
      <c r="Y37" s="8">
        <v>0.3</v>
      </c>
      <c r="Z37" s="8">
        <v>0.3</v>
      </c>
      <c r="AA37" s="8">
        <v>0.3</v>
      </c>
      <c r="AB37" s="8">
        <v>0.3</v>
      </c>
      <c r="AD37" s="15">
        <v>0.66666666666666674</v>
      </c>
      <c r="AE37" s="8">
        <f>82%</f>
        <v>0.82</v>
      </c>
      <c r="AF37" s="8">
        <f>82%</f>
        <v>0.82</v>
      </c>
      <c r="AG37" s="8">
        <f>82%</f>
        <v>0.82</v>
      </c>
      <c r="AH37" s="8">
        <f>82%</f>
        <v>0.82</v>
      </c>
      <c r="AI37" s="8">
        <f>82%</f>
        <v>0.82</v>
      </c>
      <c r="AJ37" s="8">
        <f>82%</f>
        <v>0.82</v>
      </c>
      <c r="AK37" s="8">
        <f>82%</f>
        <v>0.82</v>
      </c>
      <c r="AM37" s="15">
        <v>0.66666666666666674</v>
      </c>
      <c r="AN37" s="10">
        <f t="shared" si="15"/>
        <v>6.8196059344185462</v>
      </c>
      <c r="AO37" s="10">
        <f t="shared" si="13"/>
        <v>8.9416399572649574</v>
      </c>
      <c r="AP37" s="10">
        <f t="shared" si="0"/>
        <v>8.7044228858747434</v>
      </c>
      <c r="AQ37" s="10">
        <f t="shared" si="1"/>
        <v>8.3387075842589429</v>
      </c>
      <c r="AR37" s="10">
        <f t="shared" si="2"/>
        <v>8.139160880659901</v>
      </c>
      <c r="AS37" s="10">
        <f t="shared" si="3"/>
        <v>10.589145143152111</v>
      </c>
      <c r="AT37" s="10">
        <f t="shared" si="4"/>
        <v>6.8442164580375957</v>
      </c>
      <c r="AV37" s="15">
        <v>0.66666666666666674</v>
      </c>
      <c r="AW37" s="10">
        <f>Roster!I$72</f>
        <v>13</v>
      </c>
      <c r="AX37" s="10">
        <f>Roster!J$72</f>
        <v>16</v>
      </c>
      <c r="AY37" s="10">
        <f>Roster!K$72</f>
        <v>13</v>
      </c>
      <c r="AZ37" s="10">
        <f>Roster!L$72</f>
        <v>15</v>
      </c>
      <c r="BA37" s="10">
        <f>Roster!M$72</f>
        <v>13</v>
      </c>
      <c r="BB37" s="10">
        <f>Roster!N$72</f>
        <v>12</v>
      </c>
      <c r="BC37" s="10">
        <f>Roster!O$72</f>
        <v>16</v>
      </c>
      <c r="BE37" s="15">
        <v>0.66666666666666674</v>
      </c>
      <c r="BF37" s="10">
        <f t="shared" si="10"/>
        <v>9.1</v>
      </c>
      <c r="BG37" s="10">
        <f t="shared" si="16"/>
        <v>11.2</v>
      </c>
      <c r="BH37" s="10">
        <f t="shared" si="17"/>
        <v>9.1</v>
      </c>
      <c r="BI37" s="10">
        <f t="shared" si="18"/>
        <v>10.5</v>
      </c>
      <c r="BJ37" s="10">
        <f t="shared" si="19"/>
        <v>9.1</v>
      </c>
      <c r="BK37" s="10">
        <f t="shared" si="20"/>
        <v>8.3999999999999986</v>
      </c>
      <c r="BL37" s="10">
        <f t="shared" si="21"/>
        <v>11.2</v>
      </c>
      <c r="BN37" s="15">
        <v>0.66666666666666674</v>
      </c>
      <c r="BO37" s="10">
        <f t="shared" si="11"/>
        <v>42.700414481475214</v>
      </c>
      <c r="BP37" s="10">
        <f t="shared" si="22"/>
        <v>51.355232618923161</v>
      </c>
      <c r="BQ37" s="10">
        <f t="shared" si="23"/>
        <v>40.772375682243137</v>
      </c>
      <c r="BR37" s="10">
        <f t="shared" si="24"/>
        <v>47.849141604772917</v>
      </c>
      <c r="BS37" s="10">
        <f t="shared" si="25"/>
        <v>40.249849438218632</v>
      </c>
      <c r="BT37" s="10">
        <f t="shared" si="26"/>
        <v>37.283462891743717</v>
      </c>
      <c r="BU37" s="10">
        <f t="shared" si="27"/>
        <v>50.728962493911354</v>
      </c>
      <c r="BW37" s="15">
        <v>0.66666666666666674</v>
      </c>
      <c r="BX37" s="10">
        <f t="shared" si="12"/>
        <v>2.2803940655814534</v>
      </c>
      <c r="BY37" s="10">
        <f t="shared" si="28"/>
        <v>2.2583600427350419</v>
      </c>
      <c r="BZ37" s="10">
        <f t="shared" si="29"/>
        <v>0.3955771141252562</v>
      </c>
      <c r="CA37" s="10">
        <f t="shared" si="30"/>
        <v>2.1612924157410571</v>
      </c>
      <c r="CB37" s="10">
        <f t="shared" si="31"/>
        <v>0.96083911934009869</v>
      </c>
      <c r="CC37" s="10">
        <f t="shared" si="32"/>
        <v>-2.1891451431521123</v>
      </c>
      <c r="CD37" s="10">
        <f t="shared" si="33"/>
        <v>4.3557835419624036</v>
      </c>
      <c r="CF37" s="15">
        <v>0.66666666666666674</v>
      </c>
      <c r="CG37" s="10">
        <f t="shared" si="14"/>
        <v>10.700414481475214</v>
      </c>
      <c r="CH37" s="10">
        <f t="shared" si="34"/>
        <v>10.355232618923161</v>
      </c>
      <c r="CI37" s="10">
        <f t="shared" si="35"/>
        <v>1.7723756822431369</v>
      </c>
      <c r="CJ37" s="10">
        <f t="shared" si="36"/>
        <v>9.8491416047729174</v>
      </c>
      <c r="CK37" s="10">
        <f t="shared" si="37"/>
        <v>4.2498494382186323</v>
      </c>
      <c r="CL37" s="10">
        <f t="shared" si="38"/>
        <v>-9.7165371082562828</v>
      </c>
      <c r="CM37" s="10">
        <f t="shared" si="39"/>
        <v>19.728962493911354</v>
      </c>
    </row>
    <row r="38" spans="3:91" x14ac:dyDescent="0.3">
      <c r="C38" s="15">
        <v>0.68750000000000011</v>
      </c>
      <c r="D38" s="7">
        <v>49</v>
      </c>
      <c r="E38" s="7">
        <v>34</v>
      </c>
      <c r="F38" s="7">
        <v>48</v>
      </c>
      <c r="G38" s="7">
        <v>39</v>
      </c>
      <c r="H38" s="7">
        <v>40</v>
      </c>
      <c r="I38" s="7">
        <v>41</v>
      </c>
      <c r="J38" s="7">
        <v>46</v>
      </c>
      <c r="L38" s="15">
        <v>0.68750000000000011</v>
      </c>
      <c r="M38" s="7">
        <v>314.96561604584525</v>
      </c>
      <c r="N38" s="7">
        <v>318.28644501278774</v>
      </c>
      <c r="O38" s="7">
        <v>326.35897435897436</v>
      </c>
      <c r="P38" s="7">
        <v>334.71860465116276</v>
      </c>
      <c r="Q38" s="7">
        <v>328.14004914004914</v>
      </c>
      <c r="R38" s="7">
        <v>330.58949880668257</v>
      </c>
      <c r="S38" s="7">
        <v>323.12224938875306</v>
      </c>
      <c r="U38" s="15">
        <v>0.68750000000000011</v>
      </c>
      <c r="V38" s="8">
        <v>0.3</v>
      </c>
      <c r="W38" s="8">
        <v>0.3</v>
      </c>
      <c r="X38" s="8">
        <v>0.3</v>
      </c>
      <c r="Y38" s="8">
        <v>0.3</v>
      </c>
      <c r="Z38" s="8">
        <v>0.3</v>
      </c>
      <c r="AA38" s="8">
        <v>0.3</v>
      </c>
      <c r="AB38" s="8">
        <v>0.3</v>
      </c>
      <c r="AD38" s="15">
        <v>0.68750000000000011</v>
      </c>
      <c r="AE38" s="8">
        <f>82%</f>
        <v>0.82</v>
      </c>
      <c r="AF38" s="8">
        <f>82%</f>
        <v>0.82</v>
      </c>
      <c r="AG38" s="8">
        <f>82%</f>
        <v>0.82</v>
      </c>
      <c r="AH38" s="8">
        <f>82%</f>
        <v>0.82</v>
      </c>
      <c r="AI38" s="8">
        <f>82%</f>
        <v>0.82</v>
      </c>
      <c r="AJ38" s="8">
        <f>82%</f>
        <v>0.82</v>
      </c>
      <c r="AK38" s="8">
        <f>82%</f>
        <v>0.82</v>
      </c>
      <c r="AM38" s="15">
        <v>0.68750000000000011</v>
      </c>
      <c r="AN38" s="10">
        <f t="shared" si="15"/>
        <v>10.456175600437952</v>
      </c>
      <c r="AO38" s="10">
        <f t="shared" si="13"/>
        <v>7.3318015788853552</v>
      </c>
      <c r="AP38" s="10">
        <f t="shared" si="0"/>
        <v>10.613299979153638</v>
      </c>
      <c r="AQ38" s="10">
        <f t="shared" si="1"/>
        <v>8.8441907733030813</v>
      </c>
      <c r="AR38" s="10">
        <f t="shared" si="2"/>
        <v>8.8926842585379173</v>
      </c>
      <c r="AS38" s="10">
        <f t="shared" si="3"/>
        <v>9.1830416335189611</v>
      </c>
      <c r="AT38" s="10">
        <f t="shared" si="4"/>
        <v>10.070205604256532</v>
      </c>
      <c r="AV38" s="15">
        <v>0.68750000000000011</v>
      </c>
      <c r="AW38" s="10">
        <f>Roster!I$72</f>
        <v>13</v>
      </c>
      <c r="AX38" s="10">
        <f>Roster!J$72</f>
        <v>16</v>
      </c>
      <c r="AY38" s="10">
        <f>Roster!K$72</f>
        <v>13</v>
      </c>
      <c r="AZ38" s="10">
        <f>Roster!L$72</f>
        <v>15</v>
      </c>
      <c r="BA38" s="10">
        <f>Roster!M$72</f>
        <v>13</v>
      </c>
      <c r="BB38" s="10">
        <f>Roster!N$72</f>
        <v>12</v>
      </c>
      <c r="BC38" s="10">
        <f>Roster!O$72</f>
        <v>16</v>
      </c>
      <c r="BE38" s="15">
        <v>0.68750000000000011</v>
      </c>
      <c r="BF38" s="10">
        <f t="shared" si="10"/>
        <v>9.1</v>
      </c>
      <c r="BG38" s="10">
        <f t="shared" si="16"/>
        <v>11.2</v>
      </c>
      <c r="BH38" s="10">
        <f t="shared" si="17"/>
        <v>9.1</v>
      </c>
      <c r="BI38" s="10">
        <f t="shared" si="18"/>
        <v>10.5</v>
      </c>
      <c r="BJ38" s="10">
        <f t="shared" si="19"/>
        <v>9.1</v>
      </c>
      <c r="BK38" s="10">
        <f t="shared" si="20"/>
        <v>8.3999999999999986</v>
      </c>
      <c r="BL38" s="10">
        <f t="shared" si="21"/>
        <v>11.2</v>
      </c>
      <c r="BN38" s="15">
        <v>0.68750000000000011</v>
      </c>
      <c r="BO38" s="10">
        <f t="shared" si="11"/>
        <v>42.644654894789994</v>
      </c>
      <c r="BP38" s="10">
        <f t="shared" si="22"/>
        <v>51.93812133386902</v>
      </c>
      <c r="BQ38" s="10">
        <f t="shared" si="23"/>
        <v>41.155908233815211</v>
      </c>
      <c r="BR38" s="10">
        <f t="shared" si="24"/>
        <v>46.301579250880643</v>
      </c>
      <c r="BS38" s="10">
        <f t="shared" si="25"/>
        <v>40.932522668902983</v>
      </c>
      <c r="BT38" s="10">
        <f t="shared" si="26"/>
        <v>37.503913599052815</v>
      </c>
      <c r="BU38" s="10">
        <f t="shared" si="27"/>
        <v>51.160822355229008</v>
      </c>
      <c r="BW38" s="15">
        <v>0.68750000000000011</v>
      </c>
      <c r="BX38" s="10">
        <f t="shared" si="12"/>
        <v>-1.3561756004379522</v>
      </c>
      <c r="BY38" s="10">
        <f t="shared" si="28"/>
        <v>3.8681984211146441</v>
      </c>
      <c r="BZ38" s="10">
        <f t="shared" si="29"/>
        <v>-1.5132999791536381</v>
      </c>
      <c r="CA38" s="10">
        <f t="shared" si="30"/>
        <v>1.6558092266969187</v>
      </c>
      <c r="CB38" s="10">
        <f t="shared" si="31"/>
        <v>0.20731574146208231</v>
      </c>
      <c r="CC38" s="10">
        <f t="shared" si="32"/>
        <v>-0.7830416335189625</v>
      </c>
      <c r="CD38" s="10">
        <f t="shared" si="33"/>
        <v>1.1297943957434669</v>
      </c>
      <c r="CF38" s="15">
        <v>0.68750000000000011</v>
      </c>
      <c r="CG38" s="10">
        <f t="shared" si="14"/>
        <v>-6.3553451052100058</v>
      </c>
      <c r="CH38" s="10">
        <f t="shared" si="34"/>
        <v>17.93812133386902</v>
      </c>
      <c r="CI38" s="10">
        <f t="shared" si="35"/>
        <v>-6.8440917661847891</v>
      </c>
      <c r="CJ38" s="10">
        <f t="shared" si="36"/>
        <v>7.3015792508806427</v>
      </c>
      <c r="CK38" s="10">
        <f t="shared" si="37"/>
        <v>0.9325226689029833</v>
      </c>
      <c r="CL38" s="10">
        <f t="shared" si="38"/>
        <v>-3.4960864009471848</v>
      </c>
      <c r="CM38" s="10">
        <f t="shared" si="39"/>
        <v>5.1608223552290085</v>
      </c>
    </row>
    <row r="39" spans="3:91" x14ac:dyDescent="0.3">
      <c r="C39" s="15">
        <v>0.70833333333333348</v>
      </c>
      <c r="D39" s="7">
        <v>40</v>
      </c>
      <c r="E39" s="7">
        <v>44</v>
      </c>
      <c r="F39" s="7">
        <v>34</v>
      </c>
      <c r="G39" s="7">
        <v>48</v>
      </c>
      <c r="H39" s="7">
        <v>36</v>
      </c>
      <c r="I39" s="7">
        <v>38</v>
      </c>
      <c r="J39" s="7">
        <v>40</v>
      </c>
      <c r="L39" s="15">
        <v>0.70833333333333348</v>
      </c>
      <c r="M39" s="7">
        <v>323.18947368421055</v>
      </c>
      <c r="N39" s="7">
        <v>332.06617647058823</v>
      </c>
      <c r="O39" s="7">
        <v>320.15844155844155</v>
      </c>
      <c r="P39" s="7">
        <v>331.15294117647056</v>
      </c>
      <c r="Q39" s="7">
        <v>327.48655256723714</v>
      </c>
      <c r="R39" s="7">
        <v>316.95384615384614</v>
      </c>
      <c r="S39" s="7">
        <v>316.58852867830421</v>
      </c>
      <c r="U39" s="15">
        <v>0.70833333333333348</v>
      </c>
      <c r="V39" s="8">
        <v>0.3</v>
      </c>
      <c r="W39" s="8">
        <v>0.3</v>
      </c>
      <c r="X39" s="8">
        <v>0.3</v>
      </c>
      <c r="Y39" s="8">
        <v>0.3</v>
      </c>
      <c r="Z39" s="8">
        <v>0.3</v>
      </c>
      <c r="AA39" s="8">
        <v>0.3</v>
      </c>
      <c r="AB39" s="8">
        <v>0.3</v>
      </c>
      <c r="AD39" s="15">
        <v>0.70833333333333348</v>
      </c>
      <c r="AE39" s="8">
        <f>82%</f>
        <v>0.82</v>
      </c>
      <c r="AF39" s="8">
        <f>82%</f>
        <v>0.82</v>
      </c>
      <c r="AG39" s="8">
        <f>82%</f>
        <v>0.82</v>
      </c>
      <c r="AH39" s="8">
        <f>82%</f>
        <v>0.82</v>
      </c>
      <c r="AI39" s="8">
        <f>82%</f>
        <v>0.82</v>
      </c>
      <c r="AJ39" s="8">
        <f>82%</f>
        <v>0.82</v>
      </c>
      <c r="AK39" s="8">
        <f>82%</f>
        <v>0.82</v>
      </c>
      <c r="AM39" s="15">
        <v>0.70833333333333348</v>
      </c>
      <c r="AN39" s="10">
        <f t="shared" si="15"/>
        <v>8.7585223220653265</v>
      </c>
      <c r="AO39" s="10">
        <f t="shared" si="13"/>
        <v>9.8989917105053404</v>
      </c>
      <c r="AP39" s="10">
        <f t="shared" si="0"/>
        <v>7.3749234505332062</v>
      </c>
      <c r="AQ39" s="10">
        <f t="shared" si="1"/>
        <v>10.769201339072213</v>
      </c>
      <c r="AR39" s="10">
        <f t="shared" si="2"/>
        <v>7.9874768918838326</v>
      </c>
      <c r="AS39" s="10">
        <f t="shared" si="3"/>
        <v>8.1600583698144682</v>
      </c>
      <c r="AT39" s="10">
        <f t="shared" si="4"/>
        <v>8.5796349235312785</v>
      </c>
      <c r="AV39" s="15">
        <v>0.70833333333333348</v>
      </c>
      <c r="AW39" s="10">
        <f>Roster!I$72</f>
        <v>13</v>
      </c>
      <c r="AX39" s="10">
        <f>Roster!J$72</f>
        <v>16</v>
      </c>
      <c r="AY39" s="10">
        <f>Roster!K$72</f>
        <v>13</v>
      </c>
      <c r="AZ39" s="10">
        <f>Roster!L$72</f>
        <v>15</v>
      </c>
      <c r="BA39" s="10">
        <f>Roster!M$72</f>
        <v>13</v>
      </c>
      <c r="BB39" s="10">
        <f>Roster!N$72</f>
        <v>12</v>
      </c>
      <c r="BC39" s="10">
        <f>Roster!O$72</f>
        <v>16</v>
      </c>
      <c r="BE39" s="15">
        <v>0.70833333333333348</v>
      </c>
      <c r="BF39" s="10">
        <f t="shared" si="10"/>
        <v>9.1</v>
      </c>
      <c r="BG39" s="10">
        <f t="shared" si="16"/>
        <v>11.2</v>
      </c>
      <c r="BH39" s="10">
        <f t="shared" si="17"/>
        <v>9.1</v>
      </c>
      <c r="BI39" s="10">
        <f t="shared" si="18"/>
        <v>10.5</v>
      </c>
      <c r="BJ39" s="10">
        <f t="shared" si="19"/>
        <v>9.1</v>
      </c>
      <c r="BK39" s="10">
        <f t="shared" si="20"/>
        <v>8.3999999999999986</v>
      </c>
      <c r="BL39" s="10">
        <f t="shared" si="21"/>
        <v>11.2</v>
      </c>
      <c r="BN39" s="15">
        <v>0.70833333333333348</v>
      </c>
      <c r="BO39" s="10">
        <f t="shared" si="11"/>
        <v>41.559521870826956</v>
      </c>
      <c r="BP39" s="10">
        <f t="shared" si="22"/>
        <v>49.782848032594501</v>
      </c>
      <c r="BQ39" s="10">
        <f t="shared" si="23"/>
        <v>41.952977827536692</v>
      </c>
      <c r="BR39" s="10">
        <f t="shared" si="24"/>
        <v>46.800127895409979</v>
      </c>
      <c r="BS39" s="10">
        <f t="shared" si="25"/>
        <v>41.014203162562907</v>
      </c>
      <c r="BT39" s="10">
        <f t="shared" si="26"/>
        <v>39.11736724589845</v>
      </c>
      <c r="BU39" s="10">
        <f t="shared" si="27"/>
        <v>52.216674018526696</v>
      </c>
      <c r="BW39" s="15">
        <v>0.70833333333333348</v>
      </c>
      <c r="BX39" s="10">
        <f t="shared" si="12"/>
        <v>0.3414776779346731</v>
      </c>
      <c r="BY39" s="10">
        <f t="shared" si="28"/>
        <v>1.3010082894946589</v>
      </c>
      <c r="BZ39" s="10">
        <f t="shared" si="29"/>
        <v>1.7250765494667935</v>
      </c>
      <c r="CA39" s="10">
        <f t="shared" si="30"/>
        <v>-0.26920133907221278</v>
      </c>
      <c r="CB39" s="10">
        <f t="shared" si="31"/>
        <v>1.1125231081161671</v>
      </c>
      <c r="CC39" s="10">
        <f t="shared" si="32"/>
        <v>0.23994163018553039</v>
      </c>
      <c r="CD39" s="10">
        <f t="shared" si="33"/>
        <v>2.6203650764687207</v>
      </c>
      <c r="CF39" s="15">
        <v>0.70833333333333348</v>
      </c>
      <c r="CG39" s="10">
        <f t="shared" si="14"/>
        <v>1.5595218708269556</v>
      </c>
      <c r="CH39" s="10">
        <f t="shared" si="34"/>
        <v>5.7828480325945009</v>
      </c>
      <c r="CI39" s="10">
        <f t="shared" si="35"/>
        <v>7.9529778275366922</v>
      </c>
      <c r="CJ39" s="10">
        <f t="shared" si="36"/>
        <v>-1.1998721045900211</v>
      </c>
      <c r="CK39" s="10">
        <f t="shared" si="37"/>
        <v>5.0142031625629073</v>
      </c>
      <c r="CL39" s="10">
        <f t="shared" si="38"/>
        <v>1.1173672458984498</v>
      </c>
      <c r="CM39" s="10">
        <f t="shared" si="39"/>
        <v>12.216674018526696</v>
      </c>
    </row>
    <row r="40" spans="3:91" x14ac:dyDescent="0.3">
      <c r="C40" s="15">
        <v>0.72916666666666685</v>
      </c>
      <c r="D40" s="7">
        <v>48</v>
      </c>
      <c r="E40" s="7">
        <v>43</v>
      </c>
      <c r="F40" s="7">
        <v>38</v>
      </c>
      <c r="G40" s="7">
        <v>34</v>
      </c>
      <c r="H40" s="7">
        <v>38</v>
      </c>
      <c r="I40" s="7">
        <v>49</v>
      </c>
      <c r="J40" s="7">
        <v>33</v>
      </c>
      <c r="L40" s="15">
        <v>0.72916666666666685</v>
      </c>
      <c r="M40" s="7">
        <v>330.2879177377892</v>
      </c>
      <c r="N40" s="7">
        <v>313.60421545667447</v>
      </c>
      <c r="O40" s="7">
        <v>325.73184357541902</v>
      </c>
      <c r="P40" s="7">
        <v>316.89999999999998</v>
      </c>
      <c r="Q40" s="7">
        <v>317.86682808716705</v>
      </c>
      <c r="R40" s="7">
        <v>331.35828877005349</v>
      </c>
      <c r="S40" s="7">
        <v>329.95260663507111</v>
      </c>
      <c r="U40" s="15">
        <v>0.72916666666666685</v>
      </c>
      <c r="V40" s="8">
        <v>0.3</v>
      </c>
      <c r="W40" s="8">
        <v>0.3</v>
      </c>
      <c r="X40" s="8">
        <v>0.3</v>
      </c>
      <c r="Y40" s="8">
        <v>0.3</v>
      </c>
      <c r="Z40" s="8">
        <v>0.3</v>
      </c>
      <c r="AA40" s="8">
        <v>0.3</v>
      </c>
      <c r="AB40" s="8">
        <v>0.3</v>
      </c>
      <c r="AD40" s="15">
        <v>0.72916666666666685</v>
      </c>
      <c r="AE40" s="8">
        <f>82%</f>
        <v>0.82</v>
      </c>
      <c r="AF40" s="8">
        <f>82%</f>
        <v>0.82</v>
      </c>
      <c r="AG40" s="8">
        <f>82%</f>
        <v>0.82</v>
      </c>
      <c r="AH40" s="8">
        <f>82%</f>
        <v>0.82</v>
      </c>
      <c r="AI40" s="8">
        <f>82%</f>
        <v>0.82</v>
      </c>
      <c r="AJ40" s="8">
        <f>82%</f>
        <v>0.82</v>
      </c>
      <c r="AK40" s="8">
        <f>82%</f>
        <v>0.82</v>
      </c>
      <c r="AM40" s="15">
        <v>0.72916666666666685</v>
      </c>
      <c r="AN40" s="10">
        <f t="shared" si="15"/>
        <v>10.74107049553786</v>
      </c>
      <c r="AO40" s="10">
        <f t="shared" si="13"/>
        <v>9.1361661684532542</v>
      </c>
      <c r="AP40" s="10">
        <f t="shared" si="0"/>
        <v>8.3860501733508954</v>
      </c>
      <c r="AQ40" s="10">
        <f t="shared" si="1"/>
        <v>7.2998644986449852</v>
      </c>
      <c r="AR40" s="10">
        <f t="shared" si="2"/>
        <v>8.1835633247373636</v>
      </c>
      <c r="AS40" s="10">
        <f t="shared" si="3"/>
        <v>11.000376795211803</v>
      </c>
      <c r="AT40" s="10">
        <f t="shared" si="4"/>
        <v>7.3769891727353301</v>
      </c>
      <c r="AV40" s="15">
        <v>0.72916666666666685</v>
      </c>
      <c r="AW40" s="10">
        <f>Roster!I$72</f>
        <v>13</v>
      </c>
      <c r="AX40" s="10">
        <f>Roster!J$72</f>
        <v>16</v>
      </c>
      <c r="AY40" s="10">
        <f>Roster!K$72</f>
        <v>13</v>
      </c>
      <c r="AZ40" s="10">
        <f>Roster!L$72</f>
        <v>15</v>
      </c>
      <c r="BA40" s="10">
        <f>Roster!M$72</f>
        <v>13</v>
      </c>
      <c r="BB40" s="10">
        <f>Roster!N$72</f>
        <v>12</v>
      </c>
      <c r="BC40" s="10">
        <f>Roster!O$72</f>
        <v>16</v>
      </c>
      <c r="BE40" s="15">
        <v>0.72916666666666685</v>
      </c>
      <c r="BF40" s="10">
        <f t="shared" si="10"/>
        <v>9.1</v>
      </c>
      <c r="BG40" s="10">
        <f t="shared" si="16"/>
        <v>11.2</v>
      </c>
      <c r="BH40" s="10">
        <f t="shared" si="17"/>
        <v>9.1</v>
      </c>
      <c r="BI40" s="10">
        <f t="shared" si="18"/>
        <v>10.5</v>
      </c>
      <c r="BJ40" s="10">
        <f t="shared" si="19"/>
        <v>9.1</v>
      </c>
      <c r="BK40" s="10">
        <f t="shared" si="20"/>
        <v>8.3999999999999986</v>
      </c>
      <c r="BL40" s="10">
        <f t="shared" si="21"/>
        <v>11.2</v>
      </c>
      <c r="BN40" s="15">
        <v>0.72916666666666685</v>
      </c>
      <c r="BO40" s="10">
        <f t="shared" si="11"/>
        <v>40.666337697109327</v>
      </c>
      <c r="BP40" s="10">
        <f t="shared" si="22"/>
        <v>52.713577130738045</v>
      </c>
      <c r="BQ40" s="10">
        <f t="shared" si="23"/>
        <v>41.235145611086338</v>
      </c>
      <c r="BR40" s="10">
        <f t="shared" si="24"/>
        <v>48.905017355632694</v>
      </c>
      <c r="BS40" s="10">
        <f t="shared" si="25"/>
        <v>42.255431561788257</v>
      </c>
      <c r="BT40" s="10">
        <f t="shared" si="26"/>
        <v>37.416900135562578</v>
      </c>
      <c r="BU40" s="10">
        <f t="shared" si="27"/>
        <v>50.101740879057743</v>
      </c>
      <c r="BW40" s="15">
        <v>0.72916666666666685</v>
      </c>
      <c r="BX40" s="10">
        <f t="shared" si="12"/>
        <v>-1.6410704955378606</v>
      </c>
      <c r="BY40" s="10">
        <f t="shared" si="28"/>
        <v>2.063833831546745</v>
      </c>
      <c r="BZ40" s="10">
        <f t="shared" si="29"/>
        <v>0.71394982664910422</v>
      </c>
      <c r="CA40" s="10">
        <f t="shared" si="30"/>
        <v>3.2001355013550148</v>
      </c>
      <c r="CB40" s="10">
        <f t="shared" si="31"/>
        <v>0.91643667526263606</v>
      </c>
      <c r="CC40" s="10">
        <f t="shared" si="32"/>
        <v>-2.6003767952118046</v>
      </c>
      <c r="CD40" s="10">
        <f t="shared" si="33"/>
        <v>3.8230108272646692</v>
      </c>
      <c r="CF40" s="15">
        <v>0.72916666666666685</v>
      </c>
      <c r="CG40" s="10">
        <f t="shared" si="14"/>
        <v>-7.3336623028906729</v>
      </c>
      <c r="CH40" s="10">
        <f t="shared" si="34"/>
        <v>9.7135771307380452</v>
      </c>
      <c r="CI40" s="10">
        <f t="shared" si="35"/>
        <v>3.2351456110863381</v>
      </c>
      <c r="CJ40" s="10">
        <f t="shared" si="36"/>
        <v>14.905017355632694</v>
      </c>
      <c r="CK40" s="10">
        <f t="shared" si="37"/>
        <v>4.2554315617882565</v>
      </c>
      <c r="CL40" s="10">
        <f t="shared" si="38"/>
        <v>-11.583099864437422</v>
      </c>
      <c r="CM40" s="10">
        <f t="shared" si="39"/>
        <v>17.101740879057743</v>
      </c>
    </row>
    <row r="41" spans="3:91" x14ac:dyDescent="0.3">
      <c r="C41" s="15">
        <v>0.75000000000000022</v>
      </c>
      <c r="D41" s="7">
        <v>45</v>
      </c>
      <c r="E41" s="7">
        <v>30</v>
      </c>
      <c r="F41" s="7">
        <v>41</v>
      </c>
      <c r="G41" s="7">
        <v>39</v>
      </c>
      <c r="H41" s="7">
        <v>41</v>
      </c>
      <c r="I41" s="7">
        <v>50</v>
      </c>
      <c r="J41" s="7">
        <v>44</v>
      </c>
      <c r="L41" s="15">
        <v>0.75000000000000022</v>
      </c>
      <c r="M41" s="7">
        <v>329.16385542168672</v>
      </c>
      <c r="N41" s="7">
        <v>318.99457994579944</v>
      </c>
      <c r="O41" s="7">
        <v>322.08466819221968</v>
      </c>
      <c r="P41" s="7">
        <v>321.68144044321332</v>
      </c>
      <c r="Q41" s="7">
        <v>312.7842105263158</v>
      </c>
      <c r="R41" s="7">
        <v>324.64356435643566</v>
      </c>
      <c r="S41" s="7">
        <v>333.53571428571428</v>
      </c>
      <c r="U41" s="15">
        <v>0.75000000000000022</v>
      </c>
      <c r="V41" s="8">
        <v>0.3</v>
      </c>
      <c r="W41" s="8">
        <v>0.3</v>
      </c>
      <c r="X41" s="8">
        <v>0.3</v>
      </c>
      <c r="Y41" s="8">
        <v>0.3</v>
      </c>
      <c r="Z41" s="8">
        <v>0.3</v>
      </c>
      <c r="AA41" s="8">
        <v>0.3</v>
      </c>
      <c r="AB41" s="8">
        <v>0.3</v>
      </c>
      <c r="AD41" s="15">
        <v>0.75000000000000022</v>
      </c>
      <c r="AE41" s="8">
        <f>82%</f>
        <v>0.82</v>
      </c>
      <c r="AF41" s="8">
        <f>82%</f>
        <v>0.82</v>
      </c>
      <c r="AG41" s="8">
        <f>82%</f>
        <v>0.82</v>
      </c>
      <c r="AH41" s="8">
        <f>82%</f>
        <v>0.82</v>
      </c>
      <c r="AI41" s="8">
        <f>82%</f>
        <v>0.82</v>
      </c>
      <c r="AJ41" s="8">
        <f>82%</f>
        <v>0.82</v>
      </c>
      <c r="AK41" s="8">
        <f>82%</f>
        <v>0.82</v>
      </c>
      <c r="AM41" s="15">
        <v>0.75000000000000022</v>
      </c>
      <c r="AN41" s="10">
        <f t="shared" si="15"/>
        <v>10.035483397002643</v>
      </c>
      <c r="AO41" s="10">
        <f t="shared" si="13"/>
        <v>6.4836296736951109</v>
      </c>
      <c r="AP41" s="10">
        <f t="shared" si="0"/>
        <v>8.9467963386727689</v>
      </c>
      <c r="AQ41" s="10">
        <f t="shared" si="1"/>
        <v>8.499712857239377</v>
      </c>
      <c r="AR41" s="10">
        <f t="shared" si="2"/>
        <v>8.6884502923976612</v>
      </c>
      <c r="AS41" s="10">
        <f t="shared" si="3"/>
        <v>10.997410716681426</v>
      </c>
      <c r="AT41" s="10">
        <f t="shared" si="4"/>
        <v>9.9427990708478511</v>
      </c>
      <c r="AV41" s="15">
        <v>0.75000000000000022</v>
      </c>
      <c r="AW41" s="10">
        <f>Roster!I$72</f>
        <v>13</v>
      </c>
      <c r="AX41" s="10">
        <f>Roster!J$72</f>
        <v>16</v>
      </c>
      <c r="AY41" s="10">
        <f>Roster!K$72</f>
        <v>13</v>
      </c>
      <c r="AZ41" s="10">
        <f>Roster!L$72</f>
        <v>15</v>
      </c>
      <c r="BA41" s="10">
        <f>Roster!M$72</f>
        <v>13</v>
      </c>
      <c r="BB41" s="10">
        <f>Roster!N$72</f>
        <v>12</v>
      </c>
      <c r="BC41" s="10">
        <f>Roster!O$72</f>
        <v>16</v>
      </c>
      <c r="BE41" s="15">
        <v>0.75000000000000022</v>
      </c>
      <c r="BF41" s="10">
        <f t="shared" si="10"/>
        <v>9.1</v>
      </c>
      <c r="BG41" s="10">
        <f t="shared" si="16"/>
        <v>11.2</v>
      </c>
      <c r="BH41" s="10">
        <f t="shared" si="17"/>
        <v>9.1</v>
      </c>
      <c r="BI41" s="10">
        <f t="shared" si="18"/>
        <v>10.5</v>
      </c>
      <c r="BJ41" s="10">
        <f t="shared" si="19"/>
        <v>9.1</v>
      </c>
      <c r="BK41" s="10">
        <f t="shared" si="20"/>
        <v>8.3999999999999986</v>
      </c>
      <c r="BL41" s="10">
        <f t="shared" si="21"/>
        <v>11.2</v>
      </c>
      <c r="BN41" s="15">
        <v>0.75000000000000022</v>
      </c>
      <c r="BO41" s="10">
        <f>(BF41*(1800*AE41))/M41</f>
        <v>40.805209256019275</v>
      </c>
      <c r="BP41" s="10">
        <f t="shared" si="22"/>
        <v>51.822824083120238</v>
      </c>
      <c r="BQ41" s="10">
        <f t="shared" si="23"/>
        <v>41.702078137988366</v>
      </c>
      <c r="BR41" s="10">
        <f t="shared" si="24"/>
        <v>48.178098116717038</v>
      </c>
      <c r="BS41" s="10">
        <f t="shared" si="25"/>
        <v>42.942065321644314</v>
      </c>
      <c r="BT41" s="10">
        <f t="shared" si="26"/>
        <v>38.190807892890902</v>
      </c>
      <c r="BU41" s="10">
        <f t="shared" si="27"/>
        <v>49.563507870221656</v>
      </c>
      <c r="BW41" s="15">
        <v>0.75000000000000022</v>
      </c>
      <c r="BX41" s="10">
        <f t="shared" si="12"/>
        <v>-0.93548339700264371</v>
      </c>
      <c r="BY41" s="10">
        <f t="shared" si="28"/>
        <v>4.7163703263048884</v>
      </c>
      <c r="BZ41" s="10">
        <f t="shared" si="29"/>
        <v>0.15320366132723073</v>
      </c>
      <c r="CA41" s="10">
        <f t="shared" si="30"/>
        <v>2.000287142760623</v>
      </c>
      <c r="CB41" s="10">
        <f t="shared" si="31"/>
        <v>0.41154970760233844</v>
      </c>
      <c r="CC41" s="10">
        <f t="shared" si="32"/>
        <v>-2.5974107166814271</v>
      </c>
      <c r="CD41" s="10">
        <f t="shared" si="33"/>
        <v>1.2572009291521482</v>
      </c>
      <c r="CF41" s="15">
        <v>0.75000000000000022</v>
      </c>
      <c r="CG41" s="10">
        <f t="shared" si="14"/>
        <v>-4.1947907439807253</v>
      </c>
      <c r="CH41" s="10">
        <f t="shared" si="34"/>
        <v>21.822824083120238</v>
      </c>
      <c r="CI41" s="10">
        <f t="shared" si="35"/>
        <v>0.70207813798836582</v>
      </c>
      <c r="CJ41" s="10">
        <f t="shared" si="36"/>
        <v>9.1780981167170381</v>
      </c>
      <c r="CK41" s="10">
        <f t="shared" si="37"/>
        <v>1.9420653216443142</v>
      </c>
      <c r="CL41" s="10">
        <f t="shared" si="38"/>
        <v>-11.809192107109098</v>
      </c>
      <c r="CM41" s="10">
        <f t="shared" si="39"/>
        <v>5.563507870221656</v>
      </c>
    </row>
    <row r="42" spans="3:91" x14ac:dyDescent="0.3">
      <c r="C42" s="15">
        <v>0.77083333333333359</v>
      </c>
      <c r="D42" s="7">
        <v>39</v>
      </c>
      <c r="E42" s="7">
        <v>50</v>
      </c>
      <c r="F42" s="7">
        <v>31</v>
      </c>
      <c r="G42" s="7">
        <v>48</v>
      </c>
      <c r="H42" s="7">
        <v>37</v>
      </c>
      <c r="I42" s="7">
        <v>34</v>
      </c>
      <c r="J42" s="7">
        <v>37</v>
      </c>
      <c r="L42" s="15">
        <v>0.77083333333333359</v>
      </c>
      <c r="M42" s="7">
        <v>336.31658291457285</v>
      </c>
      <c r="N42" s="7">
        <v>323.0257731958763</v>
      </c>
      <c r="O42" s="7">
        <v>323.45913461538464</v>
      </c>
      <c r="P42" s="7">
        <v>325.57451923076923</v>
      </c>
      <c r="Q42" s="7">
        <v>331.37179487179486</v>
      </c>
      <c r="R42" s="7">
        <v>328.55927835051546</v>
      </c>
      <c r="S42" s="7">
        <v>328.83959899749374</v>
      </c>
      <c r="U42" s="15">
        <v>0.77083333333333359</v>
      </c>
      <c r="V42" s="8">
        <v>0.3</v>
      </c>
      <c r="W42" s="8">
        <v>0.3</v>
      </c>
      <c r="X42" s="8">
        <v>0.3</v>
      </c>
      <c r="Y42" s="8">
        <v>0.3</v>
      </c>
      <c r="Z42" s="8">
        <v>0.3</v>
      </c>
      <c r="AA42" s="8">
        <v>0.3</v>
      </c>
      <c r="AB42" s="8">
        <v>0.3</v>
      </c>
      <c r="AD42" s="15">
        <v>0.77083333333333359</v>
      </c>
      <c r="AE42" s="8">
        <f>82%</f>
        <v>0.82</v>
      </c>
      <c r="AF42" s="8">
        <f>82%</f>
        <v>0.82</v>
      </c>
      <c r="AG42" s="8">
        <f>82%</f>
        <v>0.82</v>
      </c>
      <c r="AH42" s="8">
        <f>82%</f>
        <v>0.82</v>
      </c>
      <c r="AI42" s="8">
        <f>82%</f>
        <v>0.82</v>
      </c>
      <c r="AJ42" s="8">
        <f>82%</f>
        <v>0.82</v>
      </c>
      <c r="AK42" s="8">
        <f>82%</f>
        <v>0.82</v>
      </c>
      <c r="AM42" s="15">
        <v>0.77083333333333359</v>
      </c>
      <c r="AN42" s="10">
        <f t="shared" si="15"/>
        <v>8.8864137761980633</v>
      </c>
      <c r="AO42" s="10">
        <f t="shared" si="13"/>
        <v>10.942607493085239</v>
      </c>
      <c r="AP42" s="10">
        <f t="shared" si="0"/>
        <v>6.7935184099437151</v>
      </c>
      <c r="AQ42" s="10">
        <f t="shared" si="1"/>
        <v>10.587789243277047</v>
      </c>
      <c r="AR42" s="10">
        <f t="shared" si="2"/>
        <v>8.3067455354040725</v>
      </c>
      <c r="AS42" s="10">
        <f t="shared" si="3"/>
        <v>7.5684386611907355</v>
      </c>
      <c r="AT42" s="10">
        <f t="shared" si="4"/>
        <v>8.2432690805604807</v>
      </c>
      <c r="AV42" s="15">
        <v>0.77083333333333359</v>
      </c>
      <c r="AW42" s="10">
        <f>Roster!I$72</f>
        <v>13</v>
      </c>
      <c r="AX42" s="10">
        <f>Roster!J$72</f>
        <v>16</v>
      </c>
      <c r="AY42" s="10">
        <f>Roster!K$72</f>
        <v>13</v>
      </c>
      <c r="AZ42" s="10">
        <f>Roster!L$72</f>
        <v>15</v>
      </c>
      <c r="BA42" s="10">
        <f>Roster!M$72</f>
        <v>13</v>
      </c>
      <c r="BB42" s="10">
        <f>Roster!N$72</f>
        <v>12</v>
      </c>
      <c r="BC42" s="10">
        <f>Roster!O$72</f>
        <v>16</v>
      </c>
      <c r="BE42" s="15">
        <v>0.77083333333333359</v>
      </c>
      <c r="BF42" s="10">
        <f t="shared" si="10"/>
        <v>9.1</v>
      </c>
      <c r="BG42" s="10">
        <f t="shared" si="16"/>
        <v>11.2</v>
      </c>
      <c r="BH42" s="10">
        <f t="shared" si="17"/>
        <v>9.1</v>
      </c>
      <c r="BI42" s="10">
        <f t="shared" si="18"/>
        <v>10.5</v>
      </c>
      <c r="BJ42" s="10">
        <f t="shared" si="19"/>
        <v>9.1</v>
      </c>
      <c r="BK42" s="10">
        <f t="shared" si="20"/>
        <v>8.3999999999999986</v>
      </c>
      <c r="BL42" s="10">
        <f t="shared" si="21"/>
        <v>11.2</v>
      </c>
      <c r="BN42" s="15">
        <v>0.77083333333333359</v>
      </c>
      <c r="BO42" s="10">
        <f t="shared" si="11"/>
        <v>39.937370567932227</v>
      </c>
      <c r="BP42" s="10">
        <f t="shared" si="22"/>
        <v>51.176102254775245</v>
      </c>
      <c r="BQ42" s="10">
        <f t="shared" si="23"/>
        <v>41.524874590328402</v>
      </c>
      <c r="BR42" s="10">
        <f t="shared" si="24"/>
        <v>47.602005330813135</v>
      </c>
      <c r="BS42" s="10">
        <f t="shared" si="25"/>
        <v>40.53332301621078</v>
      </c>
      <c r="BT42" s="10">
        <f t="shared" si="26"/>
        <v>37.735656293879082</v>
      </c>
      <c r="BU42" s="10">
        <f t="shared" si="27"/>
        <v>50.271317841273714</v>
      </c>
      <c r="BW42" s="15">
        <v>0.77083333333333359</v>
      </c>
      <c r="BX42" s="10">
        <f t="shared" si="12"/>
        <v>0.21358622380193637</v>
      </c>
      <c r="BY42" s="10">
        <f t="shared" si="28"/>
        <v>0.25739250691476023</v>
      </c>
      <c r="BZ42" s="10">
        <f t="shared" si="29"/>
        <v>2.3064815900562845</v>
      </c>
      <c r="CA42" s="10">
        <f t="shared" si="30"/>
        <v>-8.7789243277047291E-2</v>
      </c>
      <c r="CB42" s="10">
        <f t="shared" si="31"/>
        <v>0.79325446459592719</v>
      </c>
      <c r="CC42" s="10">
        <f t="shared" si="32"/>
        <v>0.83156133880926308</v>
      </c>
      <c r="CD42" s="10">
        <f t="shared" si="33"/>
        <v>2.9567309194395186</v>
      </c>
      <c r="CF42" s="15">
        <v>0.77083333333333359</v>
      </c>
      <c r="CG42" s="10">
        <f t="shared" si="14"/>
        <v>0.93737056793222706</v>
      </c>
      <c r="CH42" s="10">
        <f t="shared" si="34"/>
        <v>1.1761022547752447</v>
      </c>
      <c r="CI42" s="10">
        <f t="shared" si="35"/>
        <v>10.524874590328402</v>
      </c>
      <c r="CJ42" s="10">
        <f t="shared" si="36"/>
        <v>-0.39799466918686477</v>
      </c>
      <c r="CK42" s="10">
        <f t="shared" si="37"/>
        <v>3.5333230162107796</v>
      </c>
      <c r="CL42" s="10">
        <f t="shared" si="38"/>
        <v>3.7356562938790816</v>
      </c>
      <c r="CM42" s="10">
        <f t="shared" si="39"/>
        <v>13.271317841273714</v>
      </c>
    </row>
    <row r="43" spans="3:91" x14ac:dyDescent="0.3">
      <c r="C43" s="15">
        <v>0.79166666666666696</v>
      </c>
      <c r="D43" s="7">
        <v>46</v>
      </c>
      <c r="E43" s="7">
        <v>46</v>
      </c>
      <c r="F43" s="7">
        <v>48</v>
      </c>
      <c r="G43" s="7">
        <v>32</v>
      </c>
      <c r="H43" s="7">
        <v>47</v>
      </c>
      <c r="I43" s="7">
        <v>47</v>
      </c>
      <c r="J43" s="7">
        <v>35</v>
      </c>
      <c r="L43" s="15">
        <v>0.79166666666666696</v>
      </c>
      <c r="M43" s="7">
        <v>331.60824742268039</v>
      </c>
      <c r="N43" s="7">
        <v>324.9025641025641</v>
      </c>
      <c r="O43" s="7">
        <v>325.9591836734694</v>
      </c>
      <c r="P43" s="7">
        <v>324.55324675324675</v>
      </c>
      <c r="Q43" s="7">
        <v>314.20050761421322</v>
      </c>
      <c r="R43" s="7">
        <v>326.29931972789115</v>
      </c>
      <c r="S43" s="7">
        <v>330.44309927360774</v>
      </c>
      <c r="U43" s="15">
        <v>0.79166666666666696</v>
      </c>
      <c r="V43" s="8">
        <v>0.3</v>
      </c>
      <c r="W43" s="8">
        <v>0.3</v>
      </c>
      <c r="X43" s="8">
        <v>0.3</v>
      </c>
      <c r="Y43" s="8">
        <v>0.3</v>
      </c>
      <c r="Z43" s="8">
        <v>0.3</v>
      </c>
      <c r="AA43" s="8">
        <v>0.3</v>
      </c>
      <c r="AB43" s="8">
        <v>0.3</v>
      </c>
      <c r="AD43" s="15">
        <v>0.79166666666666696</v>
      </c>
      <c r="AE43" s="8">
        <f>82%</f>
        <v>0.82</v>
      </c>
      <c r="AF43" s="8">
        <f>82%</f>
        <v>0.82</v>
      </c>
      <c r="AG43" s="8">
        <f>82%</f>
        <v>0.82</v>
      </c>
      <c r="AH43" s="8">
        <f>82%</f>
        <v>0.82</v>
      </c>
      <c r="AI43" s="8">
        <f>82%</f>
        <v>0.82</v>
      </c>
      <c r="AJ43" s="8">
        <f>82%</f>
        <v>0.82</v>
      </c>
      <c r="AK43" s="8">
        <f>82%</f>
        <v>0.82</v>
      </c>
      <c r="AM43" s="15">
        <v>0.79166666666666696</v>
      </c>
      <c r="AN43" s="10">
        <f t="shared" si="15"/>
        <v>10.334674377671611</v>
      </c>
      <c r="AO43" s="10">
        <f t="shared" si="13"/>
        <v>10.125689667153082</v>
      </c>
      <c r="AP43" s="10">
        <f t="shared" si="0"/>
        <v>10.600298656047785</v>
      </c>
      <c r="AQ43" s="10">
        <f t="shared" si="1"/>
        <v>7.0363847534579245</v>
      </c>
      <c r="AR43" s="10">
        <f t="shared" si="2"/>
        <v>10.005029714002724</v>
      </c>
      <c r="AS43" s="10">
        <f t="shared" si="3"/>
        <v>10.390289991335287</v>
      </c>
      <c r="AT43" s="10">
        <f t="shared" si="4"/>
        <v>7.8357103486289095</v>
      </c>
      <c r="AV43" s="15">
        <v>0.79166666666666696</v>
      </c>
      <c r="AW43" s="10">
        <f>Roster!I$72</f>
        <v>13</v>
      </c>
      <c r="AX43" s="10">
        <f>Roster!J$72</f>
        <v>16</v>
      </c>
      <c r="AY43" s="10">
        <f>Roster!K$72</f>
        <v>13</v>
      </c>
      <c r="AZ43" s="10">
        <f>Roster!L$72</f>
        <v>15</v>
      </c>
      <c r="BA43" s="10">
        <f>Roster!M$72</f>
        <v>13</v>
      </c>
      <c r="BB43" s="10">
        <f>Roster!N$72</f>
        <v>12</v>
      </c>
      <c r="BC43" s="10">
        <f>Roster!O$72</f>
        <v>16</v>
      </c>
      <c r="BE43" s="15">
        <v>0.79166666666666696</v>
      </c>
      <c r="BF43" s="10">
        <f t="shared" si="10"/>
        <v>9.1</v>
      </c>
      <c r="BG43" s="10">
        <f t="shared" si="16"/>
        <v>11.2</v>
      </c>
      <c r="BH43" s="10">
        <f t="shared" si="17"/>
        <v>9.1</v>
      </c>
      <c r="BI43" s="10">
        <f t="shared" si="18"/>
        <v>10.5</v>
      </c>
      <c r="BJ43" s="10">
        <f t="shared" si="19"/>
        <v>9.1</v>
      </c>
      <c r="BK43" s="10">
        <f t="shared" si="20"/>
        <v>8.3999999999999986</v>
      </c>
      <c r="BL43" s="10">
        <f t="shared" si="21"/>
        <v>11.2</v>
      </c>
      <c r="BN43" s="15">
        <v>0.79166666666666696</v>
      </c>
      <c r="BO43" s="10">
        <f t="shared" si="11"/>
        <v>40.504420817011756</v>
      </c>
      <c r="BP43" s="10">
        <f t="shared" si="22"/>
        <v>50.880484879095903</v>
      </c>
      <c r="BQ43" s="10">
        <f t="shared" si="23"/>
        <v>41.206386175807665</v>
      </c>
      <c r="BR43" s="10">
        <f t="shared" si="24"/>
        <v>47.751794674797722</v>
      </c>
      <c r="BS43" s="10">
        <f t="shared" si="25"/>
        <v>42.748498727735367</v>
      </c>
      <c r="BT43" s="10">
        <f t="shared" si="26"/>
        <v>37.99701455197431</v>
      </c>
      <c r="BU43" s="10">
        <f t="shared" si="27"/>
        <v>50.027372447297267</v>
      </c>
      <c r="BW43" s="15">
        <v>0.79166666666666696</v>
      </c>
      <c r="BX43" s="10">
        <f t="shared" si="12"/>
        <v>-1.2346743776716114</v>
      </c>
      <c r="BY43" s="10">
        <f t="shared" si="28"/>
        <v>1.0743103328469168</v>
      </c>
      <c r="BZ43" s="10">
        <f t="shared" si="29"/>
        <v>-1.5002986560477858</v>
      </c>
      <c r="CA43" s="10">
        <f t="shared" si="30"/>
        <v>3.4636152465420755</v>
      </c>
      <c r="CB43" s="10">
        <f t="shared" si="31"/>
        <v>-0.90502971400272436</v>
      </c>
      <c r="CC43" s="10">
        <f t="shared" si="32"/>
        <v>-1.9902899913352883</v>
      </c>
      <c r="CD43" s="10">
        <f t="shared" si="33"/>
        <v>3.3642896513710898</v>
      </c>
      <c r="CF43" s="15">
        <v>0.79166666666666696</v>
      </c>
      <c r="CG43" s="10">
        <f t="shared" si="14"/>
        <v>-5.4955791829882443</v>
      </c>
      <c r="CH43" s="10">
        <f t="shared" si="34"/>
        <v>4.8804848790959028</v>
      </c>
      <c r="CI43" s="10">
        <f t="shared" si="35"/>
        <v>-6.7936138241923345</v>
      </c>
      <c r="CJ43" s="10">
        <f t="shared" si="36"/>
        <v>15.751794674797722</v>
      </c>
      <c r="CK43" s="10">
        <f t="shared" si="37"/>
        <v>-4.2515012722646333</v>
      </c>
      <c r="CL43" s="10">
        <f t="shared" si="38"/>
        <v>-9.0029854480256901</v>
      </c>
      <c r="CM43" s="10">
        <f t="shared" si="39"/>
        <v>15.027372447297267</v>
      </c>
    </row>
    <row r="44" spans="3:91" x14ac:dyDescent="0.3">
      <c r="C44" s="15">
        <v>0.81250000000000033</v>
      </c>
      <c r="D44" s="7">
        <v>44</v>
      </c>
      <c r="E44" s="7">
        <v>41</v>
      </c>
      <c r="F44" s="7">
        <v>33</v>
      </c>
      <c r="G44" s="7">
        <v>39</v>
      </c>
      <c r="H44" s="7">
        <v>32</v>
      </c>
      <c r="I44" s="7">
        <v>36</v>
      </c>
      <c r="J44" s="7">
        <v>47</v>
      </c>
      <c r="L44" s="15">
        <v>0.81250000000000033</v>
      </c>
      <c r="M44" s="7">
        <v>319.84023668639054</v>
      </c>
      <c r="N44" s="7">
        <v>334.51106194690266</v>
      </c>
      <c r="O44" s="7">
        <v>313.91489361702128</v>
      </c>
      <c r="P44" s="7">
        <v>319.35195530726259</v>
      </c>
      <c r="Q44" s="7">
        <v>325.30666666666667</v>
      </c>
      <c r="R44" s="7">
        <v>333.41558441558442</v>
      </c>
      <c r="S44" s="7">
        <v>325.06233062330625</v>
      </c>
      <c r="U44" s="15">
        <v>0.81250000000000033</v>
      </c>
      <c r="V44" s="8">
        <v>0.3</v>
      </c>
      <c r="W44" s="8">
        <v>0.3</v>
      </c>
      <c r="X44" s="8">
        <v>0.3</v>
      </c>
      <c r="Y44" s="8">
        <v>0.3</v>
      </c>
      <c r="Z44" s="8">
        <v>0.3</v>
      </c>
      <c r="AA44" s="8">
        <v>0.3</v>
      </c>
      <c r="AB44" s="8">
        <v>0.3</v>
      </c>
      <c r="AD44" s="15">
        <v>0.81250000000000033</v>
      </c>
      <c r="AE44" s="8">
        <f>82%</f>
        <v>0.82</v>
      </c>
      <c r="AF44" s="8">
        <f>82%</f>
        <v>0.82</v>
      </c>
      <c r="AG44" s="8">
        <f>82%</f>
        <v>0.82</v>
      </c>
      <c r="AH44" s="8">
        <f>82%</f>
        <v>0.82</v>
      </c>
      <c r="AI44" s="8">
        <f>82%</f>
        <v>0.82</v>
      </c>
      <c r="AJ44" s="8">
        <f>82%</f>
        <v>0.82</v>
      </c>
      <c r="AK44" s="8">
        <f>82%</f>
        <v>0.82</v>
      </c>
      <c r="AM44" s="15">
        <v>0.81250000000000033</v>
      </c>
      <c r="AN44" s="10">
        <f t="shared" si="15"/>
        <v>9.5345328009493109</v>
      </c>
      <c r="AO44" s="10">
        <f t="shared" si="13"/>
        <v>9.2919739429695181</v>
      </c>
      <c r="AP44" s="10">
        <f t="shared" si="0"/>
        <v>7.0184224182667352</v>
      </c>
      <c r="AQ44" s="10">
        <f t="shared" si="1"/>
        <v>8.4381614207203519</v>
      </c>
      <c r="AR44" s="10">
        <f t="shared" si="2"/>
        <v>7.0527190605239385</v>
      </c>
      <c r="AS44" s="10">
        <f t="shared" si="3"/>
        <v>8.1320874247703507</v>
      </c>
      <c r="AT44" s="10">
        <f t="shared" si="4"/>
        <v>10.350900771880347</v>
      </c>
      <c r="AV44" s="15">
        <v>0.81250000000000033</v>
      </c>
      <c r="AW44" s="10">
        <f>Roster!I$72</f>
        <v>13</v>
      </c>
      <c r="AX44" s="10">
        <f>Roster!J$72</f>
        <v>16</v>
      </c>
      <c r="AY44" s="10">
        <f>Roster!K$72</f>
        <v>13</v>
      </c>
      <c r="AZ44" s="10">
        <f>Roster!L$72</f>
        <v>15</v>
      </c>
      <c r="BA44" s="10">
        <f>Roster!M$72</f>
        <v>13</v>
      </c>
      <c r="BB44" s="10">
        <f>Roster!N$72</f>
        <v>12</v>
      </c>
      <c r="BC44" s="10">
        <f>Roster!O$72</f>
        <v>16</v>
      </c>
      <c r="BE44" s="15">
        <v>0.81250000000000033</v>
      </c>
      <c r="BF44" s="10">
        <f t="shared" si="10"/>
        <v>9.1</v>
      </c>
      <c r="BG44" s="10">
        <f t="shared" si="16"/>
        <v>11.2</v>
      </c>
      <c r="BH44" s="10">
        <f t="shared" si="17"/>
        <v>9.1</v>
      </c>
      <c r="BI44" s="10">
        <f t="shared" si="18"/>
        <v>10.5</v>
      </c>
      <c r="BJ44" s="10">
        <f t="shared" si="19"/>
        <v>9.1</v>
      </c>
      <c r="BK44" s="10">
        <f t="shared" si="20"/>
        <v>8.3999999999999986</v>
      </c>
      <c r="BL44" s="10">
        <f t="shared" si="21"/>
        <v>11.2</v>
      </c>
      <c r="BN44" s="15">
        <v>0.81250000000000033</v>
      </c>
      <c r="BO44" s="10">
        <f t="shared" si="11"/>
        <v>41.994716296967788</v>
      </c>
      <c r="BP44" s="10">
        <f t="shared" si="22"/>
        <v>49.418993511861849</v>
      </c>
      <c r="BQ44" s="10">
        <f t="shared" si="23"/>
        <v>42.787393249288328</v>
      </c>
      <c r="BR44" s="10">
        <f t="shared" si="24"/>
        <v>48.529529074242525</v>
      </c>
      <c r="BS44" s="10">
        <f t="shared" si="25"/>
        <v>41.289040085252893</v>
      </c>
      <c r="BT44" s="10">
        <f t="shared" si="26"/>
        <v>37.186024227787939</v>
      </c>
      <c r="BU44" s="10">
        <f t="shared" si="27"/>
        <v>50.855477373528529</v>
      </c>
      <c r="BW44" s="15">
        <v>0.81250000000000033</v>
      </c>
      <c r="BX44" s="10">
        <f t="shared" si="12"/>
        <v>-0.43453280094931124</v>
      </c>
      <c r="BY44" s="10">
        <f t="shared" si="28"/>
        <v>1.9080260570304812</v>
      </c>
      <c r="BZ44" s="10">
        <f t="shared" si="29"/>
        <v>2.0815775817332645</v>
      </c>
      <c r="CA44" s="10">
        <f t="shared" si="30"/>
        <v>2.0618385792796481</v>
      </c>
      <c r="CB44" s="10">
        <f t="shared" si="31"/>
        <v>2.0472809394760612</v>
      </c>
      <c r="CC44" s="10">
        <f t="shared" si="32"/>
        <v>0.26791257522964784</v>
      </c>
      <c r="CD44" s="10">
        <f t="shared" si="33"/>
        <v>0.84909922811965188</v>
      </c>
      <c r="CF44" s="15">
        <v>0.81250000000000033</v>
      </c>
      <c r="CG44" s="10">
        <f t="shared" si="14"/>
        <v>-2.0052837030322124</v>
      </c>
      <c r="CH44" s="10">
        <f t="shared" si="34"/>
        <v>8.4189935118618493</v>
      </c>
      <c r="CI44" s="10">
        <f t="shared" si="35"/>
        <v>9.7873932492883284</v>
      </c>
      <c r="CJ44" s="10">
        <f t="shared" si="36"/>
        <v>9.5295290742425252</v>
      </c>
      <c r="CK44" s="10">
        <f t="shared" si="37"/>
        <v>9.2890400852528927</v>
      </c>
      <c r="CL44" s="10">
        <f t="shared" si="38"/>
        <v>1.1860242277879394</v>
      </c>
      <c r="CM44" s="10">
        <f t="shared" si="39"/>
        <v>3.8554773735285295</v>
      </c>
    </row>
    <row r="45" spans="3:91" x14ac:dyDescent="0.3">
      <c r="C45" s="15">
        <v>0.8333333333333337</v>
      </c>
      <c r="D45" s="7">
        <v>42</v>
      </c>
      <c r="E45" s="7">
        <v>40</v>
      </c>
      <c r="F45" s="7">
        <v>44</v>
      </c>
      <c r="G45" s="7">
        <v>31</v>
      </c>
      <c r="H45" s="7">
        <v>37</v>
      </c>
      <c r="I45" s="7">
        <v>42</v>
      </c>
      <c r="J45" s="7">
        <v>41</v>
      </c>
      <c r="L45" s="15">
        <v>0.8333333333333337</v>
      </c>
      <c r="M45" s="7">
        <v>325.59090909090907</v>
      </c>
      <c r="N45" s="7">
        <v>331.16331658291455</v>
      </c>
      <c r="O45" s="7">
        <v>325.2344139650873</v>
      </c>
      <c r="P45" s="7">
        <v>341.88695652173914</v>
      </c>
      <c r="Q45" s="7">
        <v>314.06153846153848</v>
      </c>
      <c r="R45" s="7">
        <v>329.71428571428572</v>
      </c>
      <c r="S45" s="7">
        <v>318.2357512953368</v>
      </c>
      <c r="U45" s="15">
        <v>0.8333333333333337</v>
      </c>
      <c r="V45" s="8">
        <v>0.3</v>
      </c>
      <c r="W45" s="8">
        <v>0.3</v>
      </c>
      <c r="X45" s="8">
        <v>0.3</v>
      </c>
      <c r="Y45" s="8">
        <v>0.3</v>
      </c>
      <c r="Z45" s="8">
        <v>0.3</v>
      </c>
      <c r="AA45" s="8">
        <v>0.3</v>
      </c>
      <c r="AB45" s="8">
        <v>0.3</v>
      </c>
      <c r="AD45" s="15">
        <v>0.8333333333333337</v>
      </c>
      <c r="AE45" s="8">
        <f>82%</f>
        <v>0.82</v>
      </c>
      <c r="AF45" s="8">
        <f>82%</f>
        <v>0.82</v>
      </c>
      <c r="AG45" s="8">
        <f>82%</f>
        <v>0.82</v>
      </c>
      <c r="AH45" s="8">
        <f>82%</f>
        <v>0.82</v>
      </c>
      <c r="AI45" s="8">
        <f>82%</f>
        <v>0.82</v>
      </c>
      <c r="AJ45" s="8">
        <f>82%</f>
        <v>0.82</v>
      </c>
      <c r="AK45" s="8">
        <f>82%</f>
        <v>0.82</v>
      </c>
      <c r="AM45" s="15">
        <v>0.8333333333333337</v>
      </c>
      <c r="AN45" s="10">
        <f t="shared" si="15"/>
        <v>9.2647819660014772</v>
      </c>
      <c r="AO45" s="10">
        <f t="shared" si="13"/>
        <v>8.9746156255532394</v>
      </c>
      <c r="AP45" s="10">
        <f t="shared" si="0"/>
        <v>9.6953348336475891</v>
      </c>
      <c r="AQ45" s="10">
        <f t="shared" si="1"/>
        <v>7.1805526098739252</v>
      </c>
      <c r="AR45" s="10">
        <f t="shared" si="2"/>
        <v>7.8728163435480507</v>
      </c>
      <c r="AS45" s="10">
        <f t="shared" si="3"/>
        <v>9.382113821138212</v>
      </c>
      <c r="AT45" s="10">
        <f t="shared" si="4"/>
        <v>8.8398819804260214</v>
      </c>
      <c r="AV45" s="15">
        <v>0.8333333333333337</v>
      </c>
      <c r="AW45" s="10">
        <f>Roster!I$72</f>
        <v>13</v>
      </c>
      <c r="AX45" s="10">
        <f>Roster!J$72</f>
        <v>16</v>
      </c>
      <c r="AY45" s="10">
        <f>Roster!K$72</f>
        <v>13</v>
      </c>
      <c r="AZ45" s="10">
        <f>Roster!L$72</f>
        <v>15</v>
      </c>
      <c r="BA45" s="10">
        <f>Roster!M$72</f>
        <v>13</v>
      </c>
      <c r="BB45" s="10">
        <f>Roster!N$72</f>
        <v>12</v>
      </c>
      <c r="BC45" s="10">
        <f>Roster!O$72</f>
        <v>16</v>
      </c>
      <c r="BE45" s="15">
        <v>0.8333333333333337</v>
      </c>
      <c r="BF45" s="10">
        <f t="shared" si="10"/>
        <v>9.1</v>
      </c>
      <c r="BG45" s="10">
        <f t="shared" si="16"/>
        <v>11.2</v>
      </c>
      <c r="BH45" s="10">
        <f t="shared" si="17"/>
        <v>9.1</v>
      </c>
      <c r="BI45" s="10">
        <f t="shared" si="18"/>
        <v>10.5</v>
      </c>
      <c r="BJ45" s="10">
        <f t="shared" si="19"/>
        <v>9.1</v>
      </c>
      <c r="BK45" s="10">
        <f t="shared" si="20"/>
        <v>8.3999999999999986</v>
      </c>
      <c r="BL45" s="10">
        <f t="shared" si="21"/>
        <v>11.2</v>
      </c>
      <c r="BN45" s="15">
        <v>0.8333333333333337</v>
      </c>
      <c r="BO45" s="10">
        <f t="shared" si="11"/>
        <v>41.252994555353908</v>
      </c>
      <c r="BP45" s="10">
        <f t="shared" si="22"/>
        <v>49.918572414891926</v>
      </c>
      <c r="BQ45" s="10">
        <f t="shared" si="23"/>
        <v>41.298212683734732</v>
      </c>
      <c r="BR45" s="10">
        <f t="shared" si="24"/>
        <v>45.330772948088615</v>
      </c>
      <c r="BS45" s="10">
        <f t="shared" si="25"/>
        <v>42.767414519447435</v>
      </c>
      <c r="BT45" s="10">
        <f t="shared" si="26"/>
        <v>37.603466204506056</v>
      </c>
      <c r="BU45" s="10">
        <f t="shared" si="27"/>
        <v>51.946394874591945</v>
      </c>
      <c r="BW45" s="15">
        <v>0.8333333333333337</v>
      </c>
      <c r="BX45" s="10">
        <f t="shared" si="12"/>
        <v>-0.16478196600147754</v>
      </c>
      <c r="BY45" s="10">
        <f t="shared" si="28"/>
        <v>2.2253843744467598</v>
      </c>
      <c r="BZ45" s="10">
        <f t="shared" si="29"/>
        <v>-0.59533483364758943</v>
      </c>
      <c r="CA45" s="10">
        <f t="shared" si="30"/>
        <v>3.3194473901260748</v>
      </c>
      <c r="CB45" s="10">
        <f t="shared" si="31"/>
        <v>1.2271836564519489</v>
      </c>
      <c r="CC45" s="10">
        <f t="shared" si="32"/>
        <v>-0.98211382113821344</v>
      </c>
      <c r="CD45" s="10">
        <f t="shared" si="33"/>
        <v>2.3601180195739779</v>
      </c>
      <c r="CF45" s="15">
        <v>0.8333333333333337</v>
      </c>
      <c r="CG45" s="10">
        <f t="shared" si="14"/>
        <v>-0.74700544464609209</v>
      </c>
      <c r="CH45" s="10">
        <f t="shared" si="34"/>
        <v>9.9185724148919263</v>
      </c>
      <c r="CI45" s="10">
        <f t="shared" si="35"/>
        <v>-2.7017873162652677</v>
      </c>
      <c r="CJ45" s="10">
        <f t="shared" si="36"/>
        <v>14.330772948088615</v>
      </c>
      <c r="CK45" s="10">
        <f t="shared" si="37"/>
        <v>5.7674145194474349</v>
      </c>
      <c r="CL45" s="10">
        <f t="shared" si="38"/>
        <v>-4.3965337954939443</v>
      </c>
      <c r="CM45" s="10">
        <f t="shared" si="39"/>
        <v>10.946394874591945</v>
      </c>
    </row>
    <row r="46" spans="3:91" x14ac:dyDescent="0.3">
      <c r="C46" s="15">
        <v>0.85416666666666707</v>
      </c>
      <c r="D46" s="7">
        <v>31</v>
      </c>
      <c r="E46" s="7">
        <v>35</v>
      </c>
      <c r="F46" s="7">
        <v>36</v>
      </c>
      <c r="G46" s="7">
        <v>35</v>
      </c>
      <c r="H46" s="7">
        <v>40</v>
      </c>
      <c r="I46" s="7">
        <v>50</v>
      </c>
      <c r="J46" s="7">
        <v>38</v>
      </c>
      <c r="L46" s="15">
        <v>0.85416666666666707</v>
      </c>
      <c r="M46" s="7">
        <v>314.10309278350513</v>
      </c>
      <c r="N46" s="7">
        <v>319.23529411764707</v>
      </c>
      <c r="O46" s="7">
        <v>329.40625</v>
      </c>
      <c r="P46" s="7">
        <v>332.61</v>
      </c>
      <c r="Q46" s="7">
        <v>337.40366972477062</v>
      </c>
      <c r="R46" s="7">
        <v>324.32608695652175</v>
      </c>
      <c r="S46" s="7">
        <v>314.10091743119267</v>
      </c>
      <c r="U46" s="15">
        <v>0.85416666666666707</v>
      </c>
      <c r="V46" s="8">
        <v>0.3</v>
      </c>
      <c r="W46" s="8">
        <v>0.3</v>
      </c>
      <c r="X46" s="8">
        <v>0.3</v>
      </c>
      <c r="Y46" s="8">
        <v>0.3</v>
      </c>
      <c r="Z46" s="8">
        <v>0.3</v>
      </c>
      <c r="AA46" s="8">
        <v>0.3</v>
      </c>
      <c r="AB46" s="8">
        <v>0.3</v>
      </c>
      <c r="AD46" s="15">
        <v>0.85416666666666707</v>
      </c>
      <c r="AE46" s="8">
        <f>82%</f>
        <v>0.82</v>
      </c>
      <c r="AF46" s="8">
        <f>82%</f>
        <v>0.82</v>
      </c>
      <c r="AG46" s="8">
        <f>82%</f>
        <v>0.82</v>
      </c>
      <c r="AH46" s="8">
        <f>82%</f>
        <v>0.82</v>
      </c>
      <c r="AI46" s="8">
        <f>82%</f>
        <v>0.82</v>
      </c>
      <c r="AJ46" s="8">
        <f>82%</f>
        <v>0.82</v>
      </c>
      <c r="AK46" s="8">
        <f>82%</f>
        <v>0.82</v>
      </c>
      <c r="AM46" s="15">
        <v>0.85416666666666707</v>
      </c>
      <c r="AN46" s="10">
        <f t="shared" si="15"/>
        <v>6.5970161763473296</v>
      </c>
      <c r="AO46" s="10">
        <f t="shared" si="13"/>
        <v>7.5699426111908172</v>
      </c>
      <c r="AP46" s="10">
        <f t="shared" si="0"/>
        <v>8.0342987804878057</v>
      </c>
      <c r="AQ46" s="10">
        <f t="shared" si="1"/>
        <v>7.8870934959349599</v>
      </c>
      <c r="AR46" s="10">
        <f t="shared" si="2"/>
        <v>9.1437308868501521</v>
      </c>
      <c r="AS46" s="10">
        <f t="shared" si="3"/>
        <v>10.986656062212797</v>
      </c>
      <c r="AT46" s="10">
        <f t="shared" si="4"/>
        <v>8.0866089853559089</v>
      </c>
      <c r="AV46" s="15">
        <v>0.85416666666666707</v>
      </c>
      <c r="AW46" s="10">
        <f>Roster!I$72</f>
        <v>13</v>
      </c>
      <c r="AX46" s="10">
        <f>Roster!J$72</f>
        <v>16</v>
      </c>
      <c r="AY46" s="10">
        <f>Roster!K$72</f>
        <v>13</v>
      </c>
      <c r="AZ46" s="10">
        <f>Roster!L$72</f>
        <v>15</v>
      </c>
      <c r="BA46" s="10">
        <f>Roster!M$72</f>
        <v>13</v>
      </c>
      <c r="BB46" s="10">
        <f>Roster!N$72</f>
        <v>12</v>
      </c>
      <c r="BC46" s="10">
        <f>Roster!O$72</f>
        <v>16</v>
      </c>
      <c r="BE46" s="15">
        <v>0.85416666666666707</v>
      </c>
      <c r="BF46" s="10">
        <f t="shared" si="10"/>
        <v>9.1</v>
      </c>
      <c r="BG46" s="10">
        <f t="shared" si="16"/>
        <v>11.2</v>
      </c>
      <c r="BH46" s="10">
        <f t="shared" si="17"/>
        <v>9.1</v>
      </c>
      <c r="BI46" s="10">
        <f t="shared" si="18"/>
        <v>10.5</v>
      </c>
      <c r="BJ46" s="10">
        <f t="shared" si="19"/>
        <v>9.1</v>
      </c>
      <c r="BK46" s="10">
        <f t="shared" si="20"/>
        <v>8.3999999999999986</v>
      </c>
      <c r="BL46" s="10">
        <f t="shared" si="21"/>
        <v>11.2</v>
      </c>
      <c r="BN46" s="15">
        <v>0.85416666666666707</v>
      </c>
      <c r="BO46" s="10">
        <f t="shared" si="11"/>
        <v>42.761756597085473</v>
      </c>
      <c r="BP46" s="10">
        <f t="shared" si="22"/>
        <v>51.783747927031506</v>
      </c>
      <c r="BQ46" s="10">
        <f t="shared" si="23"/>
        <v>40.775182620244763</v>
      </c>
      <c r="BR46" s="10">
        <f t="shared" si="24"/>
        <v>46.595111391720032</v>
      </c>
      <c r="BS46" s="10">
        <f t="shared" si="25"/>
        <v>39.808695652173917</v>
      </c>
      <c r="BT46" s="10">
        <f t="shared" si="26"/>
        <v>38.228192238085654</v>
      </c>
      <c r="BU46" s="10">
        <f t="shared" si="27"/>
        <v>52.630218769167861</v>
      </c>
      <c r="BW46" s="15">
        <v>0.85416666666666707</v>
      </c>
      <c r="BX46" s="10">
        <f t="shared" si="12"/>
        <v>2.50298382365267</v>
      </c>
      <c r="BY46" s="10">
        <f t="shared" si="28"/>
        <v>3.6300573888091821</v>
      </c>
      <c r="BZ46" s="10">
        <f t="shared" si="29"/>
        <v>1.065701219512194</v>
      </c>
      <c r="CA46" s="10">
        <f t="shared" si="30"/>
        <v>2.6129065040650401</v>
      </c>
      <c r="CB46" s="10">
        <f t="shared" si="31"/>
        <v>-4.3730886850152473E-2</v>
      </c>
      <c r="CC46" s="10">
        <f t="shared" si="32"/>
        <v>-2.5866560622127981</v>
      </c>
      <c r="CD46" s="10">
        <f t="shared" si="33"/>
        <v>3.1133910146440904</v>
      </c>
      <c r="CF46" s="15">
        <v>0.85416666666666707</v>
      </c>
      <c r="CG46" s="10">
        <f t="shared" si="14"/>
        <v>11.761756597085473</v>
      </c>
      <c r="CH46" s="10">
        <f t="shared" si="34"/>
        <v>16.783747927031506</v>
      </c>
      <c r="CI46" s="10">
        <f t="shared" si="35"/>
        <v>4.7751826202447631</v>
      </c>
      <c r="CJ46" s="10">
        <f t="shared" si="36"/>
        <v>11.595111391720032</v>
      </c>
      <c r="CK46" s="10">
        <f t="shared" si="37"/>
        <v>-0.19130434782608319</v>
      </c>
      <c r="CL46" s="10">
        <f t="shared" si="38"/>
        <v>-11.771807761914346</v>
      </c>
      <c r="CM46" s="10">
        <f t="shared" si="39"/>
        <v>14.630218769167861</v>
      </c>
    </row>
    <row r="47" spans="3:91" x14ac:dyDescent="0.3">
      <c r="C47" s="15">
        <v>0.87500000000000044</v>
      </c>
      <c r="D47" s="7">
        <v>46</v>
      </c>
      <c r="E47" s="7">
        <v>31</v>
      </c>
      <c r="F47" s="7">
        <v>33</v>
      </c>
      <c r="G47" s="7">
        <v>32</v>
      </c>
      <c r="H47" s="7">
        <v>47</v>
      </c>
      <c r="I47" s="7">
        <v>33</v>
      </c>
      <c r="J47" s="7">
        <v>43</v>
      </c>
      <c r="L47" s="15">
        <v>0.87500000000000044</v>
      </c>
      <c r="M47" s="7">
        <v>325.42574257425741</v>
      </c>
      <c r="N47" s="7">
        <v>341.19354838709677</v>
      </c>
      <c r="O47" s="7">
        <v>319.55555555555554</v>
      </c>
      <c r="P47" s="7">
        <v>324.85046728971963</v>
      </c>
      <c r="Q47" s="7">
        <v>323.28712871287127</v>
      </c>
      <c r="R47" s="7">
        <v>327.45263157894738</v>
      </c>
      <c r="S47" s="7">
        <v>329.02857142857141</v>
      </c>
      <c r="U47" s="15">
        <v>0.87500000000000044</v>
      </c>
      <c r="V47" s="8">
        <v>0.3</v>
      </c>
      <c r="W47" s="8">
        <v>0.3</v>
      </c>
      <c r="X47" s="8">
        <v>0.3</v>
      </c>
      <c r="Y47" s="8">
        <v>0.3</v>
      </c>
      <c r="Z47" s="8">
        <v>0.3</v>
      </c>
      <c r="AA47" s="8">
        <v>0.3</v>
      </c>
      <c r="AB47" s="8">
        <v>0.3</v>
      </c>
      <c r="AD47" s="15">
        <v>0.87500000000000044</v>
      </c>
      <c r="AE47" s="8">
        <f>82%</f>
        <v>0.82</v>
      </c>
      <c r="AF47" s="8">
        <f>82%</f>
        <v>0.82</v>
      </c>
      <c r="AG47" s="8">
        <f>82%</f>
        <v>0.82</v>
      </c>
      <c r="AH47" s="8">
        <f>82%</f>
        <v>0.82</v>
      </c>
      <c r="AI47" s="8">
        <f>82%</f>
        <v>0.82</v>
      </c>
      <c r="AJ47" s="8">
        <f>82%</f>
        <v>0.82</v>
      </c>
      <c r="AK47" s="8">
        <f>82%</f>
        <v>0.82</v>
      </c>
      <c r="AM47" s="15">
        <v>0.87500000000000044</v>
      </c>
      <c r="AN47" s="10">
        <f t="shared" si="15"/>
        <v>10.141994687273606</v>
      </c>
      <c r="AO47" s="10">
        <f t="shared" si="13"/>
        <v>7.1659891598915992</v>
      </c>
      <c r="AP47" s="10">
        <f t="shared" si="0"/>
        <v>7.1445347786811197</v>
      </c>
      <c r="AQ47" s="10">
        <f t="shared" si="1"/>
        <v>7.042828559126713</v>
      </c>
      <c r="AR47" s="10">
        <f t="shared" si="2"/>
        <v>10.294373339773001</v>
      </c>
      <c r="AS47" s="10">
        <f t="shared" si="3"/>
        <v>7.3210954214805311</v>
      </c>
      <c r="AT47" s="10">
        <f t="shared" si="4"/>
        <v>9.5855207123499788</v>
      </c>
      <c r="AV47" s="15">
        <v>0.87500000000000044</v>
      </c>
      <c r="AW47" s="10">
        <f>Roster!I$72</f>
        <v>13</v>
      </c>
      <c r="AX47" s="10">
        <f>Roster!J$72</f>
        <v>16</v>
      </c>
      <c r="AY47" s="10">
        <f>Roster!K$72</f>
        <v>13</v>
      </c>
      <c r="AZ47" s="10">
        <f>Roster!L$72</f>
        <v>15</v>
      </c>
      <c r="BA47" s="10">
        <f>Roster!M$72</f>
        <v>13</v>
      </c>
      <c r="BB47" s="10">
        <f>Roster!N$72</f>
        <v>12</v>
      </c>
      <c r="BC47" s="10">
        <f>Roster!O$72</f>
        <v>16</v>
      </c>
      <c r="BE47" s="15">
        <v>0.87500000000000044</v>
      </c>
      <c r="BF47" s="10">
        <f t="shared" si="10"/>
        <v>9.1</v>
      </c>
      <c r="BG47" s="10">
        <f t="shared" si="16"/>
        <v>11.2</v>
      </c>
      <c r="BH47" s="10">
        <f t="shared" si="17"/>
        <v>9.1</v>
      </c>
      <c r="BI47" s="10">
        <f t="shared" si="18"/>
        <v>10.5</v>
      </c>
      <c r="BJ47" s="10">
        <f t="shared" si="19"/>
        <v>9.1</v>
      </c>
      <c r="BK47" s="10">
        <f t="shared" si="20"/>
        <v>8.3999999999999986</v>
      </c>
      <c r="BL47" s="10">
        <f t="shared" si="21"/>
        <v>11.2</v>
      </c>
      <c r="BN47" s="15">
        <v>0.87500000000000044</v>
      </c>
      <c r="BO47" s="10">
        <f t="shared" si="11"/>
        <v>41.273932092004387</v>
      </c>
      <c r="BP47" s="10">
        <f t="shared" si="22"/>
        <v>48.451091992058245</v>
      </c>
      <c r="BQ47" s="10">
        <f t="shared" si="23"/>
        <v>42.032127955493742</v>
      </c>
      <c r="BR47" s="10">
        <f t="shared" si="24"/>
        <v>47.708104375845103</v>
      </c>
      <c r="BS47" s="10">
        <f t="shared" si="25"/>
        <v>41.546968026460867</v>
      </c>
      <c r="BT47" s="10">
        <f t="shared" si="26"/>
        <v>37.863186318631854</v>
      </c>
      <c r="BU47" s="10">
        <f t="shared" si="27"/>
        <v>50.242445293504694</v>
      </c>
      <c r="BW47" s="15">
        <v>0.87500000000000044</v>
      </c>
      <c r="BX47" s="10">
        <f t="shared" si="12"/>
        <v>-1.0419946872736059</v>
      </c>
      <c r="BY47" s="10">
        <f t="shared" si="28"/>
        <v>4.0340108401084001</v>
      </c>
      <c r="BZ47" s="10">
        <f t="shared" si="29"/>
        <v>1.9554652213188799</v>
      </c>
      <c r="CA47" s="10">
        <f t="shared" si="30"/>
        <v>3.457171440873287</v>
      </c>
      <c r="CB47" s="10">
        <f t="shared" si="31"/>
        <v>-1.1943733397730014</v>
      </c>
      <c r="CC47" s="10">
        <f t="shared" si="32"/>
        <v>1.0789045785194675</v>
      </c>
      <c r="CD47" s="10">
        <f t="shared" si="33"/>
        <v>1.6144792876500205</v>
      </c>
      <c r="CF47" s="15">
        <v>0.87500000000000044</v>
      </c>
      <c r="CG47" s="10">
        <f t="shared" si="14"/>
        <v>-4.7260679079956134</v>
      </c>
      <c r="CH47" s="10">
        <f t="shared" si="34"/>
        <v>17.451091992058245</v>
      </c>
      <c r="CI47" s="10">
        <f t="shared" si="35"/>
        <v>9.0321279554937419</v>
      </c>
      <c r="CJ47" s="10">
        <f t="shared" si="36"/>
        <v>15.708104375845103</v>
      </c>
      <c r="CK47" s="10">
        <f t="shared" si="37"/>
        <v>-5.453031973539133</v>
      </c>
      <c r="CL47" s="10">
        <f t="shared" si="38"/>
        <v>4.863186318631854</v>
      </c>
      <c r="CM47" s="10">
        <f t="shared" si="39"/>
        <v>7.2424452935046943</v>
      </c>
    </row>
    <row r="48" spans="3:91" x14ac:dyDescent="0.3">
      <c r="C48" s="15">
        <v>0.89583333333333381</v>
      </c>
      <c r="D48" s="7">
        <v>44</v>
      </c>
      <c r="E48" s="7">
        <v>42</v>
      </c>
      <c r="F48" s="7">
        <v>32</v>
      </c>
      <c r="G48" s="7">
        <v>31</v>
      </c>
      <c r="H48" s="7">
        <v>31</v>
      </c>
      <c r="I48" s="7">
        <v>32</v>
      </c>
      <c r="J48" s="7">
        <v>44</v>
      </c>
      <c r="L48" s="15">
        <v>0.89583333333333381</v>
      </c>
      <c r="M48" s="7">
        <v>316.94059405940595</v>
      </c>
      <c r="N48" s="7">
        <v>336.15463917525773</v>
      </c>
      <c r="O48" s="7">
        <v>327.20652173913044</v>
      </c>
      <c r="P48" s="7">
        <v>325.23232323232321</v>
      </c>
      <c r="Q48" s="7">
        <v>317.35185185185185</v>
      </c>
      <c r="R48" s="7">
        <v>311.46296296296299</v>
      </c>
      <c r="S48" s="7">
        <v>327.44660194174759</v>
      </c>
      <c r="U48" s="15">
        <v>0.89583333333333381</v>
      </c>
      <c r="V48" s="8">
        <v>0.3</v>
      </c>
      <c r="W48" s="8">
        <v>0.3</v>
      </c>
      <c r="X48" s="8">
        <v>0.3</v>
      </c>
      <c r="Y48" s="8">
        <v>0.3</v>
      </c>
      <c r="Z48" s="8">
        <v>0.3</v>
      </c>
      <c r="AA48" s="8">
        <v>0.3</v>
      </c>
      <c r="AB48" s="8">
        <v>0.3</v>
      </c>
      <c r="AD48" s="15">
        <v>0.89583333333333381</v>
      </c>
      <c r="AE48" s="8">
        <f>82%</f>
        <v>0.82</v>
      </c>
      <c r="AF48" s="8">
        <f>82%</f>
        <v>0.82</v>
      </c>
      <c r="AG48" s="8">
        <f>82%</f>
        <v>0.82</v>
      </c>
      <c r="AH48" s="8">
        <f>82%</f>
        <v>0.82</v>
      </c>
      <c r="AI48" s="8">
        <f>82%</f>
        <v>0.82</v>
      </c>
      <c r="AJ48" s="8">
        <f>82%</f>
        <v>0.82</v>
      </c>
      <c r="AK48" s="8">
        <f>82%</f>
        <v>0.82</v>
      </c>
      <c r="AM48" s="15">
        <v>0.89583333333333381</v>
      </c>
      <c r="AN48" s="10">
        <f t="shared" si="15"/>
        <v>9.4480935898467902</v>
      </c>
      <c r="AO48" s="10">
        <f t="shared" si="13"/>
        <v>9.5653759114910741</v>
      </c>
      <c r="AP48" s="10">
        <f t="shared" si="0"/>
        <v>7.0939083303876513</v>
      </c>
      <c r="AQ48" s="10">
        <f t="shared" si="1"/>
        <v>6.8307601762886314</v>
      </c>
      <c r="AR48" s="10">
        <f t="shared" si="2"/>
        <v>6.6652489210077279</v>
      </c>
      <c r="AS48" s="10">
        <f t="shared" si="3"/>
        <v>6.7525845628826664</v>
      </c>
      <c r="AT48" s="10">
        <f t="shared" si="4"/>
        <v>9.7612808166916629</v>
      </c>
      <c r="AV48" s="15">
        <v>0.89583333333333381</v>
      </c>
      <c r="AW48" s="10">
        <f>Roster!I$72</f>
        <v>13</v>
      </c>
      <c r="AX48" s="10">
        <f>Roster!J$72</f>
        <v>16</v>
      </c>
      <c r="AY48" s="10">
        <f>Roster!K$72</f>
        <v>13</v>
      </c>
      <c r="AZ48" s="10">
        <f>Roster!L$72</f>
        <v>15</v>
      </c>
      <c r="BA48" s="10">
        <f>Roster!M$72</f>
        <v>13</v>
      </c>
      <c r="BB48" s="10">
        <f>Roster!N$72</f>
        <v>12</v>
      </c>
      <c r="BC48" s="10">
        <f>Roster!O$72</f>
        <v>16</v>
      </c>
      <c r="BE48" s="15">
        <v>0.89583333333333381</v>
      </c>
      <c r="BF48" s="10">
        <f t="shared" si="10"/>
        <v>9.1</v>
      </c>
      <c r="BG48" s="10">
        <f t="shared" si="16"/>
        <v>11.2</v>
      </c>
      <c r="BH48" s="10">
        <f t="shared" si="17"/>
        <v>9.1</v>
      </c>
      <c r="BI48" s="10">
        <f t="shared" si="18"/>
        <v>10.5</v>
      </c>
      <c r="BJ48" s="10">
        <f t="shared" si="19"/>
        <v>9.1</v>
      </c>
      <c r="BK48" s="10">
        <f t="shared" si="20"/>
        <v>8.3999999999999986</v>
      </c>
      <c r="BL48" s="10">
        <f t="shared" si="21"/>
        <v>11.2</v>
      </c>
      <c r="BN48" s="15">
        <v>0.89583333333333381</v>
      </c>
      <c r="BO48" s="10">
        <f t="shared" si="11"/>
        <v>42.378919746337196</v>
      </c>
      <c r="BP48" s="10">
        <f t="shared" si="22"/>
        <v>49.177366823074806</v>
      </c>
      <c r="BQ48" s="10">
        <f t="shared" si="23"/>
        <v>41.049304056074149</v>
      </c>
      <c r="BR48" s="10">
        <f t="shared" si="24"/>
        <v>47.65209019193739</v>
      </c>
      <c r="BS48" s="10">
        <f t="shared" si="25"/>
        <v>42.324000700239253</v>
      </c>
      <c r="BT48" s="10">
        <f t="shared" si="26"/>
        <v>39.806980200963189</v>
      </c>
      <c r="BU48" s="10">
        <f t="shared" si="27"/>
        <v>50.48517804726184</v>
      </c>
      <c r="BW48" s="15">
        <v>0.89583333333333381</v>
      </c>
      <c r="BX48" s="10">
        <f t="shared" si="12"/>
        <v>-0.34809358984679051</v>
      </c>
      <c r="BY48" s="10">
        <f t="shared" si="28"/>
        <v>1.6346240885089252</v>
      </c>
      <c r="BZ48" s="10">
        <f t="shared" si="29"/>
        <v>2.0060916696123483</v>
      </c>
      <c r="CA48" s="10">
        <f t="shared" si="30"/>
        <v>3.6692398237113686</v>
      </c>
      <c r="CB48" s="10">
        <f t="shared" si="31"/>
        <v>2.4347510789922717</v>
      </c>
      <c r="CC48" s="10">
        <f t="shared" si="32"/>
        <v>1.6474154371173322</v>
      </c>
      <c r="CD48" s="10">
        <f t="shared" si="33"/>
        <v>1.4387191833083364</v>
      </c>
      <c r="CF48" s="15">
        <v>0.89583333333333381</v>
      </c>
      <c r="CG48" s="10">
        <f t="shared" si="14"/>
        <v>-1.6210802536628037</v>
      </c>
      <c r="CH48" s="10">
        <f t="shared" si="34"/>
        <v>7.1773668230748058</v>
      </c>
      <c r="CI48" s="10">
        <f t="shared" si="35"/>
        <v>9.0493040560741491</v>
      </c>
      <c r="CJ48" s="10">
        <f t="shared" si="36"/>
        <v>16.65209019193739</v>
      </c>
      <c r="CK48" s="10">
        <f t="shared" si="37"/>
        <v>11.324000700239253</v>
      </c>
      <c r="CL48" s="10">
        <f t="shared" si="38"/>
        <v>7.8069802009631886</v>
      </c>
      <c r="CM48" s="10">
        <f t="shared" si="39"/>
        <v>6.4851780472618401</v>
      </c>
    </row>
    <row r="49" spans="3:91" x14ac:dyDescent="0.3">
      <c r="C49" s="15">
        <v>0.91666666666666718</v>
      </c>
      <c r="D49" s="7">
        <v>38</v>
      </c>
      <c r="E49" s="7">
        <v>47</v>
      </c>
      <c r="F49" s="7">
        <v>41</v>
      </c>
      <c r="G49" s="7">
        <v>35</v>
      </c>
      <c r="H49" s="7">
        <v>32</v>
      </c>
      <c r="I49" s="7">
        <v>31</v>
      </c>
      <c r="J49" s="7">
        <v>37</v>
      </c>
      <c r="L49" s="15">
        <v>0.91666666666666718</v>
      </c>
      <c r="M49" s="7">
        <v>325.13541666666669</v>
      </c>
      <c r="N49" s="7">
        <v>326.41666666666669</v>
      </c>
      <c r="O49" s="7">
        <v>336.59595959595958</v>
      </c>
      <c r="P49" s="7">
        <v>334.69696969696969</v>
      </c>
      <c r="Q49" s="7">
        <v>311.0980392156863</v>
      </c>
      <c r="R49" s="7">
        <v>316.89320388349512</v>
      </c>
      <c r="S49" s="7">
        <v>308.54716981132077</v>
      </c>
      <c r="U49" s="15">
        <v>0.91666666666666718</v>
      </c>
      <c r="V49" s="8">
        <v>0.3</v>
      </c>
      <c r="W49" s="8">
        <v>0.3</v>
      </c>
      <c r="X49" s="8">
        <v>0.3</v>
      </c>
      <c r="Y49" s="8">
        <v>0.3</v>
      </c>
      <c r="Z49" s="8">
        <v>0.3</v>
      </c>
      <c r="AA49" s="8">
        <v>0.3</v>
      </c>
      <c r="AB49" s="8">
        <v>0.3</v>
      </c>
      <c r="AD49" s="15">
        <v>0.91666666666666718</v>
      </c>
      <c r="AE49" s="8">
        <f>82%</f>
        <v>0.82</v>
      </c>
      <c r="AF49" s="8">
        <f>82%</f>
        <v>0.82</v>
      </c>
      <c r="AG49" s="8">
        <f>82%</f>
        <v>0.82</v>
      </c>
      <c r="AH49" s="8">
        <f>82%</f>
        <v>0.82</v>
      </c>
      <c r="AI49" s="8">
        <f>82%</f>
        <v>0.82</v>
      </c>
      <c r="AJ49" s="8">
        <f>82%</f>
        <v>0.82</v>
      </c>
      <c r="AK49" s="8">
        <f>82%</f>
        <v>0.82</v>
      </c>
      <c r="AM49" s="15">
        <v>0.91666666666666718</v>
      </c>
      <c r="AN49" s="10">
        <f t="shared" si="15"/>
        <v>8.3706950090334242</v>
      </c>
      <c r="AO49" s="10">
        <f t="shared" si="13"/>
        <v>10.394026648599819</v>
      </c>
      <c r="AP49" s="10">
        <f t="shared" si="0"/>
        <v>9.3498877665544331</v>
      </c>
      <c r="AQ49" s="10">
        <f t="shared" si="1"/>
        <v>7.9365812597519918</v>
      </c>
      <c r="AR49" s="10">
        <f t="shared" si="2"/>
        <v>6.7446729369254479</v>
      </c>
      <c r="AS49" s="10">
        <f t="shared" si="3"/>
        <v>6.6556160707238128</v>
      </c>
      <c r="AT49" s="10">
        <f t="shared" si="4"/>
        <v>7.7345835250805344</v>
      </c>
      <c r="AV49" s="15">
        <v>0.91666666666666718</v>
      </c>
      <c r="AW49" s="10">
        <f>Roster!I$73</f>
        <v>14</v>
      </c>
      <c r="AX49" s="10">
        <f>Roster!J$73</f>
        <v>15</v>
      </c>
      <c r="AY49" s="10">
        <f>Roster!K$73</f>
        <v>14</v>
      </c>
      <c r="AZ49" s="10">
        <f>Roster!L$73</f>
        <v>16</v>
      </c>
      <c r="BA49" s="10">
        <f>Roster!M$73</f>
        <v>16</v>
      </c>
      <c r="BB49" s="10">
        <f>Roster!N$73</f>
        <v>12</v>
      </c>
      <c r="BC49" s="10">
        <f>Roster!O$73</f>
        <v>18</v>
      </c>
      <c r="BE49" s="15">
        <v>0.91666666666666718</v>
      </c>
      <c r="BF49" s="10">
        <f t="shared" si="10"/>
        <v>9.7999999999999989</v>
      </c>
      <c r="BG49" s="10">
        <f t="shared" si="16"/>
        <v>10.5</v>
      </c>
      <c r="BH49" s="10">
        <f t="shared" si="17"/>
        <v>9.7999999999999989</v>
      </c>
      <c r="BI49" s="10">
        <f t="shared" si="18"/>
        <v>11.2</v>
      </c>
      <c r="BJ49" s="10">
        <f t="shared" si="19"/>
        <v>11.2</v>
      </c>
      <c r="BK49" s="10">
        <f t="shared" si="20"/>
        <v>8.3999999999999986</v>
      </c>
      <c r="BL49" s="10">
        <f t="shared" si="21"/>
        <v>12.6</v>
      </c>
      <c r="BN49" s="15">
        <v>0.91666666666666718</v>
      </c>
      <c r="BO49" s="10">
        <f t="shared" si="11"/>
        <v>44.488540031397172</v>
      </c>
      <c r="BP49" s="10">
        <f t="shared" si="22"/>
        <v>47.479193260148072</v>
      </c>
      <c r="BQ49" s="10">
        <f t="shared" si="23"/>
        <v>42.973777871140051</v>
      </c>
      <c r="BR49" s="10">
        <f t="shared" si="24"/>
        <v>49.39154368492531</v>
      </c>
      <c r="BS49" s="10">
        <f t="shared" si="25"/>
        <v>53.138232698852889</v>
      </c>
      <c r="BT49" s="10">
        <f t="shared" si="26"/>
        <v>39.124852941176464</v>
      </c>
      <c r="BU49" s="10">
        <f t="shared" si="27"/>
        <v>60.274738580077042</v>
      </c>
      <c r="BW49" s="15">
        <v>0.91666666666666718</v>
      </c>
      <c r="BX49" s="10">
        <f t="shared" si="12"/>
        <v>1.4293049909665747</v>
      </c>
      <c r="BY49" s="10">
        <f t="shared" si="28"/>
        <v>0.1059733514001806</v>
      </c>
      <c r="BZ49" s="10">
        <f t="shared" si="29"/>
        <v>0.45011223344556583</v>
      </c>
      <c r="CA49" s="10">
        <f t="shared" si="30"/>
        <v>3.2634187402480075</v>
      </c>
      <c r="CB49" s="10">
        <f t="shared" si="31"/>
        <v>4.4553270630745514</v>
      </c>
      <c r="CC49" s="10">
        <f t="shared" si="32"/>
        <v>1.7443839292761858</v>
      </c>
      <c r="CD49" s="10">
        <f t="shared" si="33"/>
        <v>4.8654164749194653</v>
      </c>
      <c r="CF49" s="15">
        <v>0.91666666666666718</v>
      </c>
      <c r="CG49" s="10">
        <f t="shared" si="14"/>
        <v>6.4885400313971715</v>
      </c>
      <c r="CH49" s="10">
        <f t="shared" si="34"/>
        <v>0.4791932601480724</v>
      </c>
      <c r="CI49" s="10">
        <f t="shared" si="35"/>
        <v>1.9737778711400509</v>
      </c>
      <c r="CJ49" s="10">
        <f t="shared" si="36"/>
        <v>14.39154368492531</v>
      </c>
      <c r="CK49" s="10">
        <f t="shared" si="37"/>
        <v>21.138232698852889</v>
      </c>
      <c r="CL49" s="10">
        <f t="shared" si="38"/>
        <v>8.1248529411764636</v>
      </c>
      <c r="CM49" s="10">
        <f t="shared" si="39"/>
        <v>23.274738580077042</v>
      </c>
    </row>
    <row r="50" spans="3:91" x14ac:dyDescent="0.3">
      <c r="C50" s="15">
        <v>0.93750000000000056</v>
      </c>
      <c r="D50" s="7">
        <v>45</v>
      </c>
      <c r="E50" s="7">
        <v>50</v>
      </c>
      <c r="F50" s="7">
        <v>31</v>
      </c>
      <c r="G50" s="7">
        <v>38</v>
      </c>
      <c r="H50" s="7">
        <v>45</v>
      </c>
      <c r="I50" s="7">
        <v>30</v>
      </c>
      <c r="J50" s="7">
        <v>33</v>
      </c>
      <c r="L50" s="15">
        <v>0.93750000000000056</v>
      </c>
      <c r="M50" s="7">
        <v>335.531914893617</v>
      </c>
      <c r="N50" s="7">
        <v>307.87272727272727</v>
      </c>
      <c r="O50" s="7">
        <v>326.84615384615387</v>
      </c>
      <c r="P50" s="7">
        <v>320.79000000000002</v>
      </c>
      <c r="Q50" s="7">
        <v>341.48076923076923</v>
      </c>
      <c r="R50" s="7">
        <v>327.0625</v>
      </c>
      <c r="S50" s="7">
        <v>329</v>
      </c>
      <c r="U50" s="15">
        <v>0.93750000000000056</v>
      </c>
      <c r="V50" s="8">
        <v>0.3</v>
      </c>
      <c r="W50" s="8">
        <v>0.3</v>
      </c>
      <c r="X50" s="8">
        <v>0.3</v>
      </c>
      <c r="Y50" s="8">
        <v>0.3</v>
      </c>
      <c r="Z50" s="8">
        <v>0.3</v>
      </c>
      <c r="AA50" s="8">
        <v>0.3</v>
      </c>
      <c r="AB50" s="8">
        <v>0.3</v>
      </c>
      <c r="AD50" s="15">
        <v>0.93750000000000056</v>
      </c>
      <c r="AE50" s="8">
        <f>82%</f>
        <v>0.82</v>
      </c>
      <c r="AF50" s="8">
        <f>82%</f>
        <v>0.82</v>
      </c>
      <c r="AG50" s="8">
        <f>82%</f>
        <v>0.82</v>
      </c>
      <c r="AH50" s="8">
        <f>82%</f>
        <v>0.82</v>
      </c>
      <c r="AI50" s="8">
        <f>82%</f>
        <v>0.82</v>
      </c>
      <c r="AJ50" s="8">
        <f>82%</f>
        <v>0.82</v>
      </c>
      <c r="AK50" s="8">
        <f>82%</f>
        <v>0.82</v>
      </c>
      <c r="AM50" s="15">
        <v>0.93750000000000056</v>
      </c>
      <c r="AN50" s="10">
        <f t="shared" si="15"/>
        <v>10.229631551634665</v>
      </c>
      <c r="AO50" s="10">
        <f t="shared" si="13"/>
        <v>10.429292929292929</v>
      </c>
      <c r="AP50" s="10">
        <f t="shared" si="0"/>
        <v>6.8646549927037732</v>
      </c>
      <c r="AQ50" s="10">
        <f t="shared" si="1"/>
        <v>8.258821138211383</v>
      </c>
      <c r="AR50" s="10">
        <f t="shared" si="2"/>
        <v>10.410999061913696</v>
      </c>
      <c r="AS50" s="10">
        <f t="shared" si="3"/>
        <v>6.647611788617886</v>
      </c>
      <c r="AT50" s="10">
        <f t="shared" si="4"/>
        <v>7.3556910569105689</v>
      </c>
      <c r="AV50" s="15">
        <v>0.93750000000000056</v>
      </c>
      <c r="AW50" s="10">
        <f>Roster!I$73</f>
        <v>14</v>
      </c>
      <c r="AX50" s="10">
        <f>Roster!J$73</f>
        <v>15</v>
      </c>
      <c r="AY50" s="10">
        <f>Roster!K$73</f>
        <v>14</v>
      </c>
      <c r="AZ50" s="10">
        <f>Roster!L$73</f>
        <v>16</v>
      </c>
      <c r="BA50" s="10">
        <f>Roster!M$73</f>
        <v>16</v>
      </c>
      <c r="BB50" s="10">
        <f>Roster!N$73</f>
        <v>12</v>
      </c>
      <c r="BC50" s="10">
        <f>Roster!O$73</f>
        <v>18</v>
      </c>
      <c r="BE50" s="15">
        <v>0.93750000000000056</v>
      </c>
      <c r="BF50" s="10">
        <f t="shared" si="10"/>
        <v>9.7999999999999989</v>
      </c>
      <c r="BG50" s="10">
        <f t="shared" si="16"/>
        <v>10.5</v>
      </c>
      <c r="BH50" s="10">
        <f t="shared" si="17"/>
        <v>9.7999999999999989</v>
      </c>
      <c r="BI50" s="10">
        <f t="shared" si="18"/>
        <v>11.2</v>
      </c>
      <c r="BJ50" s="10">
        <f t="shared" si="19"/>
        <v>11.2</v>
      </c>
      <c r="BK50" s="10">
        <f t="shared" si="20"/>
        <v>8.3999999999999986</v>
      </c>
      <c r="BL50" s="10">
        <f t="shared" si="21"/>
        <v>12.6</v>
      </c>
      <c r="BN50" s="15">
        <v>0.93750000000000056</v>
      </c>
      <c r="BO50" s="10">
        <f t="shared" si="11"/>
        <v>43.110057070386809</v>
      </c>
      <c r="BP50" s="10">
        <f t="shared" si="22"/>
        <v>50.33898305084746</v>
      </c>
      <c r="BQ50" s="10">
        <f t="shared" si="23"/>
        <v>44.255683690280058</v>
      </c>
      <c r="BR50" s="10">
        <f t="shared" si="24"/>
        <v>51.532778453193679</v>
      </c>
      <c r="BS50" s="10">
        <f t="shared" si="25"/>
        <v>48.410339584389256</v>
      </c>
      <c r="BT50" s="10">
        <f t="shared" si="26"/>
        <v>37.908350850372628</v>
      </c>
      <c r="BU50" s="10">
        <f t="shared" si="27"/>
        <v>56.527659574468082</v>
      </c>
      <c r="BW50" s="15">
        <v>0.93750000000000056</v>
      </c>
      <c r="BX50" s="10">
        <f t="shared" si="12"/>
        <v>-0.4296315516346656</v>
      </c>
      <c r="BY50" s="10">
        <f t="shared" si="28"/>
        <v>7.070707070707094E-2</v>
      </c>
      <c r="BZ50" s="10">
        <f t="shared" si="29"/>
        <v>2.9353450072962257</v>
      </c>
      <c r="CA50" s="10">
        <f t="shared" si="30"/>
        <v>2.9411788617886163</v>
      </c>
      <c r="CB50" s="10">
        <f t="shared" si="31"/>
        <v>0.78900093808630345</v>
      </c>
      <c r="CC50" s="10">
        <f t="shared" si="32"/>
        <v>1.7523882113821125</v>
      </c>
      <c r="CD50" s="10">
        <f t="shared" si="33"/>
        <v>5.2443089430894307</v>
      </c>
      <c r="CF50" s="15">
        <v>0.93750000000000056</v>
      </c>
      <c r="CG50" s="10">
        <f t="shared" si="14"/>
        <v>-1.8899429296131913</v>
      </c>
      <c r="CH50" s="10">
        <f t="shared" si="34"/>
        <v>0.33898305084746028</v>
      </c>
      <c r="CI50" s="10">
        <f t="shared" si="35"/>
        <v>13.255683690280058</v>
      </c>
      <c r="CJ50" s="10">
        <f t="shared" si="36"/>
        <v>13.532778453193679</v>
      </c>
      <c r="CK50" s="10">
        <f t="shared" si="37"/>
        <v>3.4103395843892557</v>
      </c>
      <c r="CL50" s="10">
        <f t="shared" si="38"/>
        <v>7.9083508503726279</v>
      </c>
      <c r="CM50" s="10">
        <f t="shared" si="39"/>
        <v>23.527659574468082</v>
      </c>
    </row>
    <row r="51" spans="3:91" x14ac:dyDescent="0.3">
      <c r="C51" s="15">
        <v>0.95833333333333393</v>
      </c>
      <c r="D51" s="7">
        <v>45</v>
      </c>
      <c r="E51" s="7">
        <v>45</v>
      </c>
      <c r="F51" s="7">
        <v>45</v>
      </c>
      <c r="G51" s="7">
        <v>44</v>
      </c>
      <c r="H51" s="7">
        <v>45</v>
      </c>
      <c r="I51" s="7">
        <v>46</v>
      </c>
      <c r="J51" s="7">
        <v>38</v>
      </c>
      <c r="L51" s="15">
        <v>0.95833333333333393</v>
      </c>
      <c r="M51" s="7">
        <v>323.93577981651379</v>
      </c>
      <c r="N51" s="7">
        <v>320.031914893617</v>
      </c>
      <c r="O51" s="7">
        <v>321.63</v>
      </c>
      <c r="P51" s="7">
        <v>327.05319148936172</v>
      </c>
      <c r="Q51" s="7">
        <v>325.43589743589746</v>
      </c>
      <c r="R51" s="7">
        <v>314.08695652173913</v>
      </c>
      <c r="S51" s="7">
        <v>316.96226415094338</v>
      </c>
      <c r="U51" s="15">
        <v>0.95833333333333393</v>
      </c>
      <c r="V51" s="8">
        <v>0.3</v>
      </c>
      <c r="W51" s="8">
        <v>0.3</v>
      </c>
      <c r="X51" s="8">
        <v>0.3</v>
      </c>
      <c r="Y51" s="8">
        <v>0.3</v>
      </c>
      <c r="Z51" s="8">
        <v>0.3</v>
      </c>
      <c r="AA51" s="8">
        <v>0.3</v>
      </c>
      <c r="AB51" s="8">
        <v>0.3</v>
      </c>
      <c r="AD51" s="15">
        <v>0.95833333333333393</v>
      </c>
      <c r="AE51" s="8">
        <f>82%</f>
        <v>0.82</v>
      </c>
      <c r="AF51" s="8">
        <f>82%</f>
        <v>0.82</v>
      </c>
      <c r="AG51" s="8">
        <f>82%</f>
        <v>0.82</v>
      </c>
      <c r="AH51" s="8">
        <f>82%</f>
        <v>0.82</v>
      </c>
      <c r="AI51" s="8">
        <f>82%</f>
        <v>0.82</v>
      </c>
      <c r="AJ51" s="8">
        <f>82%</f>
        <v>0.82</v>
      </c>
      <c r="AK51" s="8">
        <f>82%</f>
        <v>0.82</v>
      </c>
      <c r="AM51" s="15">
        <v>0.95833333333333393</v>
      </c>
      <c r="AN51" s="10">
        <f t="shared" si="15"/>
        <v>9.8760908480644449</v>
      </c>
      <c r="AO51" s="10">
        <f t="shared" si="13"/>
        <v>9.7570705760249083</v>
      </c>
      <c r="AP51" s="10">
        <f t="shared" si="0"/>
        <v>9.80579268292683</v>
      </c>
      <c r="AQ51" s="10">
        <f t="shared" si="1"/>
        <v>9.7495531338292114</v>
      </c>
      <c r="AR51" s="10">
        <f t="shared" si="2"/>
        <v>9.9218261413383377</v>
      </c>
      <c r="AS51" s="10">
        <f t="shared" si="3"/>
        <v>9.7886178861788622</v>
      </c>
      <c r="AT51" s="10">
        <f t="shared" si="4"/>
        <v>8.1602750933169705</v>
      </c>
      <c r="AV51" s="15">
        <v>0.95833333333333393</v>
      </c>
      <c r="AW51" s="10">
        <f>Roster!I$73</f>
        <v>14</v>
      </c>
      <c r="AX51" s="10">
        <f>Roster!J$73</f>
        <v>15</v>
      </c>
      <c r="AY51" s="10">
        <f>Roster!K$73</f>
        <v>14</v>
      </c>
      <c r="AZ51" s="10">
        <f>Roster!L$73</f>
        <v>16</v>
      </c>
      <c r="BA51" s="10">
        <f>Roster!M$73</f>
        <v>16</v>
      </c>
      <c r="BB51" s="10">
        <f>Roster!N$73</f>
        <v>12</v>
      </c>
      <c r="BC51" s="10">
        <f>Roster!O$73</f>
        <v>18</v>
      </c>
      <c r="BE51" s="15">
        <v>0.95833333333333393</v>
      </c>
      <c r="BF51" s="10">
        <f t="shared" si="10"/>
        <v>9.7999999999999989</v>
      </c>
      <c r="BG51" s="10">
        <f t="shared" si="16"/>
        <v>10.5</v>
      </c>
      <c r="BH51" s="10">
        <f t="shared" si="17"/>
        <v>9.7999999999999989</v>
      </c>
      <c r="BI51" s="10">
        <f t="shared" si="18"/>
        <v>11.2</v>
      </c>
      <c r="BJ51" s="10">
        <f t="shared" si="19"/>
        <v>11.2</v>
      </c>
      <c r="BK51" s="10">
        <f t="shared" si="20"/>
        <v>8.3999999999999986</v>
      </c>
      <c r="BL51" s="10">
        <f t="shared" si="21"/>
        <v>12.6</v>
      </c>
      <c r="BN51" s="15">
        <v>0.95833333333333393</v>
      </c>
      <c r="BO51" s="10">
        <f t="shared" si="11"/>
        <v>44.653295193859918</v>
      </c>
      <c r="BP51" s="10">
        <f t="shared" si="22"/>
        <v>48.426420237343351</v>
      </c>
      <c r="BQ51" s="10">
        <f t="shared" si="23"/>
        <v>44.973416658893761</v>
      </c>
      <c r="BR51" s="10">
        <f t="shared" si="24"/>
        <v>50.545906385193376</v>
      </c>
      <c r="BS51" s="10">
        <f t="shared" si="25"/>
        <v>50.797100535770561</v>
      </c>
      <c r="BT51" s="10">
        <f t="shared" si="26"/>
        <v>39.474418604651156</v>
      </c>
      <c r="BU51" s="10">
        <f t="shared" si="27"/>
        <v>58.67449252931722</v>
      </c>
      <c r="BW51" s="15">
        <v>0.95833333333333393</v>
      </c>
      <c r="BX51" s="10">
        <f t="shared" si="12"/>
        <v>-7.6090848064445993E-2</v>
      </c>
      <c r="BY51" s="10">
        <f t="shared" si="28"/>
        <v>0.74292942397509165</v>
      </c>
      <c r="BZ51" s="10">
        <f t="shared" si="29"/>
        <v>-5.7926829268311053E-3</v>
      </c>
      <c r="CA51" s="10">
        <f t="shared" si="30"/>
        <v>1.4504468661707879</v>
      </c>
      <c r="CB51" s="10">
        <f t="shared" si="31"/>
        <v>1.2781738586616616</v>
      </c>
      <c r="CC51" s="10">
        <f t="shared" si="32"/>
        <v>-1.3886178861788636</v>
      </c>
      <c r="CD51" s="10">
        <f t="shared" si="33"/>
        <v>4.4397249066830291</v>
      </c>
      <c r="CF51" s="15">
        <v>0.95833333333333393</v>
      </c>
      <c r="CG51" s="10">
        <f t="shared" si="14"/>
        <v>-0.3467048061400817</v>
      </c>
      <c r="CH51" s="10">
        <f t="shared" si="34"/>
        <v>3.4264202373433505</v>
      </c>
      <c r="CI51" s="10">
        <f t="shared" si="35"/>
        <v>-2.6583341106238834E-2</v>
      </c>
      <c r="CJ51" s="10">
        <f t="shared" si="36"/>
        <v>6.5459063851933763</v>
      </c>
      <c r="CK51" s="10">
        <f t="shared" si="37"/>
        <v>5.7971005357705607</v>
      </c>
      <c r="CL51" s="10">
        <f t="shared" si="38"/>
        <v>-6.5255813953488442</v>
      </c>
      <c r="CM51" s="10">
        <f t="shared" si="39"/>
        <v>20.67449252931722</v>
      </c>
    </row>
    <row r="52" spans="3:91" x14ac:dyDescent="0.3">
      <c r="C52" s="15">
        <v>0.9791666666666673</v>
      </c>
      <c r="D52" s="7">
        <v>46</v>
      </c>
      <c r="E52" s="7">
        <v>32</v>
      </c>
      <c r="F52" s="7">
        <v>34</v>
      </c>
      <c r="G52" s="7">
        <v>45</v>
      </c>
      <c r="H52" s="7">
        <v>34</v>
      </c>
      <c r="I52" s="7">
        <v>36</v>
      </c>
      <c r="J52" s="7">
        <v>47</v>
      </c>
      <c r="L52" s="15">
        <v>0.9791666666666673</v>
      </c>
      <c r="M52" s="7">
        <v>318.43434343434342</v>
      </c>
      <c r="N52" s="7">
        <v>315.53932584269666</v>
      </c>
      <c r="O52" s="7">
        <v>333.85263157894735</v>
      </c>
      <c r="P52" s="7">
        <v>319.20833333333331</v>
      </c>
      <c r="Q52" s="7">
        <v>322.31111111111113</v>
      </c>
      <c r="R52" s="7">
        <v>323.33333333333331</v>
      </c>
      <c r="S52" s="7">
        <v>322.30841121495325</v>
      </c>
      <c r="U52" s="17">
        <v>0.9791666666666673</v>
      </c>
      <c r="V52" s="8">
        <v>0.3</v>
      </c>
      <c r="W52" s="8">
        <v>0.3</v>
      </c>
      <c r="X52" s="8">
        <v>0.3</v>
      </c>
      <c r="Y52" s="8">
        <v>0.3</v>
      </c>
      <c r="Z52" s="8">
        <v>0.3</v>
      </c>
      <c r="AA52" s="8">
        <v>0.3</v>
      </c>
      <c r="AB52" s="8">
        <v>0.3</v>
      </c>
      <c r="AD52" s="17">
        <v>0.9791666666666673</v>
      </c>
      <c r="AE52" s="8">
        <f>82%</f>
        <v>0.82</v>
      </c>
      <c r="AF52" s="8">
        <f>82%</f>
        <v>0.82</v>
      </c>
      <c r="AG52" s="8">
        <f>82%</f>
        <v>0.82</v>
      </c>
      <c r="AH52" s="8">
        <f>82%</f>
        <v>0.82</v>
      </c>
      <c r="AI52" s="8">
        <f>82%</f>
        <v>0.82</v>
      </c>
      <c r="AJ52" s="8">
        <f>82%</f>
        <v>0.82</v>
      </c>
      <c r="AK52" s="8">
        <f>82%</f>
        <v>0.82</v>
      </c>
      <c r="AM52" s="17">
        <v>0.9791666666666673</v>
      </c>
      <c r="AN52" s="10">
        <f t="shared" si="15"/>
        <v>9.9241055541868537</v>
      </c>
      <c r="AO52" s="10">
        <f t="shared" si="13"/>
        <v>6.8409609938796025</v>
      </c>
      <c r="AP52" s="10">
        <f t="shared" si="0"/>
        <v>7.6903722721437742</v>
      </c>
      <c r="AQ52" s="10">
        <f t="shared" si="1"/>
        <v>9.7319613821138216</v>
      </c>
      <c r="AR52" s="10">
        <f t="shared" si="2"/>
        <v>7.4245106895513402</v>
      </c>
      <c r="AS52" s="10">
        <f t="shared" si="3"/>
        <v>7.8861788617886175</v>
      </c>
      <c r="AT52" s="10">
        <f t="shared" si="4"/>
        <v>10.263208216194311</v>
      </c>
      <c r="AV52" s="17">
        <v>0.9791666666666673</v>
      </c>
      <c r="AW52" s="10">
        <f>Roster!I$73</f>
        <v>14</v>
      </c>
      <c r="AX52" s="10">
        <f>Roster!J$73</f>
        <v>15</v>
      </c>
      <c r="AY52" s="10">
        <f>Roster!K$73</f>
        <v>14</v>
      </c>
      <c r="AZ52" s="10">
        <f>Roster!L$73</f>
        <v>16</v>
      </c>
      <c r="BA52" s="10">
        <f>Roster!M$73</f>
        <v>16</v>
      </c>
      <c r="BB52" s="10">
        <f>Roster!N$73</f>
        <v>12</v>
      </c>
      <c r="BC52" s="10">
        <f>Roster!O$73</f>
        <v>18</v>
      </c>
      <c r="BE52" s="17">
        <v>0.9791666666666673</v>
      </c>
      <c r="BF52" s="10">
        <f t="shared" si="10"/>
        <v>9.7999999999999989</v>
      </c>
      <c r="BG52" s="10">
        <f t="shared" si="16"/>
        <v>10.5</v>
      </c>
      <c r="BH52" s="10">
        <f t="shared" si="17"/>
        <v>9.7999999999999989</v>
      </c>
      <c r="BI52" s="10">
        <f t="shared" si="18"/>
        <v>11.2</v>
      </c>
      <c r="BJ52" s="10">
        <f t="shared" si="19"/>
        <v>11.2</v>
      </c>
      <c r="BK52" s="10">
        <f t="shared" si="20"/>
        <v>8.3999999999999986</v>
      </c>
      <c r="BL52" s="10">
        <f t="shared" si="21"/>
        <v>12.6</v>
      </c>
      <c r="BN52" s="17">
        <v>0.9791666666666673</v>
      </c>
      <c r="BO52" s="10">
        <f t="shared" si="11"/>
        <v>45.424748612212532</v>
      </c>
      <c r="BP52" s="10">
        <f t="shared" si="22"/>
        <v>49.115906420254241</v>
      </c>
      <c r="BQ52" s="10">
        <f t="shared" si="23"/>
        <v>43.326901248581159</v>
      </c>
      <c r="BR52" s="10">
        <f t="shared" si="24"/>
        <v>51.788121655136408</v>
      </c>
      <c r="BS52" s="10">
        <f t="shared" si="25"/>
        <v>51.289575289575289</v>
      </c>
      <c r="BT52" s="10">
        <f t="shared" si="26"/>
        <v>38.345567010309274</v>
      </c>
      <c r="BU52" s="10">
        <f t="shared" si="27"/>
        <v>57.701255545567896</v>
      </c>
      <c r="BW52" s="17">
        <v>0.9791666666666673</v>
      </c>
      <c r="BX52" s="10">
        <f t="shared" si="12"/>
        <v>-0.12410555418685476</v>
      </c>
      <c r="BY52" s="10">
        <f t="shared" si="28"/>
        <v>3.6590390061203975</v>
      </c>
      <c r="BZ52" s="10">
        <f t="shared" si="29"/>
        <v>2.1096277278562248</v>
      </c>
      <c r="CA52" s="10">
        <f t="shared" si="30"/>
        <v>1.4680386178861777</v>
      </c>
      <c r="CB52" s="10">
        <f t="shared" si="31"/>
        <v>3.7754893104486591</v>
      </c>
      <c r="CC52" s="10">
        <f t="shared" si="32"/>
        <v>0.51382113821138109</v>
      </c>
      <c r="CD52" s="10">
        <f t="shared" si="33"/>
        <v>2.3367917838056886</v>
      </c>
      <c r="CF52" s="17">
        <v>0.9791666666666673</v>
      </c>
      <c r="CG52" s="10">
        <f t="shared" si="14"/>
        <v>-0.57525138778746765</v>
      </c>
      <c r="CH52" s="10">
        <f t="shared" si="34"/>
        <v>17.115906420254241</v>
      </c>
      <c r="CI52" s="10">
        <f t="shared" si="35"/>
        <v>9.3269012485811587</v>
      </c>
      <c r="CJ52" s="10">
        <f t="shared" si="36"/>
        <v>6.7881216551364076</v>
      </c>
      <c r="CK52" s="10">
        <f t="shared" si="37"/>
        <v>17.289575289575289</v>
      </c>
      <c r="CL52" s="10">
        <f t="shared" si="38"/>
        <v>2.3455670103092743</v>
      </c>
      <c r="CM52" s="10">
        <f t="shared" si="39"/>
        <v>10.701255545567896</v>
      </c>
    </row>
    <row r="53" spans="3:91" x14ac:dyDescent="0.3">
      <c r="C53" s="2" t="s">
        <v>11</v>
      </c>
      <c r="D53" s="18">
        <v>2867.25</v>
      </c>
      <c r="E53" s="18">
        <v>2843.75</v>
      </c>
      <c r="F53" s="18">
        <v>2831.75</v>
      </c>
      <c r="G53" s="18">
        <v>2825.5</v>
      </c>
      <c r="H53" s="18">
        <v>2154.7916666666665</v>
      </c>
      <c r="I53" s="18">
        <v>3513.8125</v>
      </c>
      <c r="J53" s="18">
        <v>3565</v>
      </c>
      <c r="L53" s="2" t="s">
        <v>11</v>
      </c>
      <c r="M53" s="18">
        <v>324.55613398357872</v>
      </c>
      <c r="N53" s="18">
        <v>325.34917865967765</v>
      </c>
      <c r="O53" s="18">
        <v>325.3094300081712</v>
      </c>
      <c r="P53" s="18">
        <v>325.93754207118047</v>
      </c>
      <c r="Q53" s="18">
        <v>325.19655134056933</v>
      </c>
      <c r="R53" s="18">
        <v>325.03073627497554</v>
      </c>
      <c r="S53" s="18">
        <v>325.22360272882747</v>
      </c>
      <c r="U53" s="2" t="s">
        <v>11</v>
      </c>
      <c r="V53" s="8">
        <v>0.3</v>
      </c>
      <c r="W53" s="8">
        <v>0.3</v>
      </c>
      <c r="X53" s="8">
        <v>0.3</v>
      </c>
      <c r="Y53" s="8">
        <v>0.3</v>
      </c>
      <c r="Z53" s="8">
        <v>0.3</v>
      </c>
      <c r="AA53" s="8">
        <v>0.3</v>
      </c>
      <c r="AB53" s="8">
        <v>0.3</v>
      </c>
      <c r="AD53" s="2" t="s">
        <v>11</v>
      </c>
      <c r="AE53" s="8">
        <f>82%</f>
        <v>0.82</v>
      </c>
      <c r="AF53" s="8">
        <f>82%</f>
        <v>0.82</v>
      </c>
      <c r="AG53" s="8">
        <f>82%</f>
        <v>0.82</v>
      </c>
      <c r="AH53" s="8">
        <f>82%</f>
        <v>0.82</v>
      </c>
      <c r="AI53" s="8">
        <f>82%</f>
        <v>0.82</v>
      </c>
      <c r="AJ53" s="8">
        <f>82%</f>
        <v>0.82</v>
      </c>
      <c r="AK53" s="8">
        <f>82%</f>
        <v>0.82</v>
      </c>
      <c r="AM53" s="2" t="s">
        <v>17</v>
      </c>
      <c r="AN53" s="37">
        <f>SUM(AN5:AN52)/2</f>
        <v>227.16187870823808</v>
      </c>
      <c r="AO53" s="37">
        <f t="shared" ref="AO53:AT53" si="40">SUM(AO5:AO52)/2</f>
        <v>214.94417446557782</v>
      </c>
      <c r="AP53" s="37">
        <f t="shared" si="40"/>
        <v>207.79676595875665</v>
      </c>
      <c r="AQ53" s="37">
        <f t="shared" si="40"/>
        <v>214.90983261174989</v>
      </c>
      <c r="AR53" s="37">
        <f t="shared" si="40"/>
        <v>208.22814158737793</v>
      </c>
      <c r="AS53" s="37">
        <f t="shared" si="40"/>
        <v>212.81374314974758</v>
      </c>
      <c r="AT53" s="37">
        <f t="shared" si="40"/>
        <v>220.49580705536977</v>
      </c>
      <c r="AV53" s="2" t="s">
        <v>17</v>
      </c>
      <c r="AW53" s="20">
        <f t="shared" ref="AW53:BC53" si="41">SUM(AW5:AW52)</f>
        <v>656</v>
      </c>
      <c r="AX53" s="20">
        <f t="shared" si="41"/>
        <v>720</v>
      </c>
      <c r="AY53" s="20">
        <f t="shared" si="41"/>
        <v>720</v>
      </c>
      <c r="AZ53" s="20">
        <f t="shared" si="41"/>
        <v>800</v>
      </c>
      <c r="BA53" s="20">
        <f t="shared" si="41"/>
        <v>672</v>
      </c>
      <c r="BB53" s="20">
        <f t="shared" si="41"/>
        <v>608</v>
      </c>
      <c r="BC53" s="20">
        <f t="shared" si="41"/>
        <v>816</v>
      </c>
      <c r="BD53" s="46">
        <f>SUM(AW53:BC53)</f>
        <v>4992</v>
      </c>
      <c r="BE53" s="2" t="s">
        <v>17</v>
      </c>
      <c r="BF53" s="20">
        <f>SUM(BF5:BF52)</f>
        <v>459.20000000000056</v>
      </c>
      <c r="BG53" s="20">
        <f t="shared" ref="BG53:BL53" si="42">SUM(BG5:BG52)</f>
        <v>504</v>
      </c>
      <c r="BH53" s="20">
        <f t="shared" si="42"/>
        <v>504.00000000000045</v>
      </c>
      <c r="BI53" s="20">
        <f t="shared" si="42"/>
        <v>560.00000000000034</v>
      </c>
      <c r="BJ53" s="20">
        <f t="shared" si="42"/>
        <v>470.40000000000032</v>
      </c>
      <c r="BK53" s="20">
        <f t="shared" si="42"/>
        <v>425.59999999999968</v>
      </c>
      <c r="BL53" s="20">
        <f t="shared" si="42"/>
        <v>571.19999999999982</v>
      </c>
      <c r="BM53" s="46">
        <f>SUM(BF53:BL53)</f>
        <v>3494.4000000000005</v>
      </c>
      <c r="BN53" s="2" t="s">
        <v>11</v>
      </c>
      <c r="BO53" s="20">
        <f>SUM(BO5:BO52)</f>
        <v>2094.3537682504834</v>
      </c>
      <c r="BP53" s="20">
        <f t="shared" ref="BP53" si="43">SUM(BP5:BP52)</f>
        <v>2291.8967978116643</v>
      </c>
      <c r="BQ53" s="20">
        <f t="shared" ref="BQ53" si="44">SUM(BQ5:BQ52)</f>
        <v>2292.2087982822186</v>
      </c>
      <c r="BR53" s="20">
        <f t="shared" ref="BR53" si="45">SUM(BR5:BR52)</f>
        <v>2543.9641974754654</v>
      </c>
      <c r="BS53" s="20">
        <f t="shared" ref="BS53" si="46">SUM(BS5:BS52)</f>
        <v>2140.1219472554931</v>
      </c>
      <c r="BT53" s="20">
        <f t="shared" ref="BT53" si="47">SUM(BT5:BT52)</f>
        <v>1936.5425054566788</v>
      </c>
      <c r="BU53" s="20">
        <f t="shared" ref="BU53" si="48">SUM(BU5:BU52)</f>
        <v>2598.3241889351184</v>
      </c>
      <c r="BV53" s="46">
        <f>SUM(BO53:BU53)</f>
        <v>15897.412203467124</v>
      </c>
      <c r="BW53" s="2" t="s">
        <v>11</v>
      </c>
      <c r="BX53" s="20">
        <f>COUNTIF(BX5:BX52,"&gt;"&amp;0)</f>
        <v>22</v>
      </c>
      <c r="BY53" s="20">
        <f t="shared" ref="BY53:CD53" si="49">COUNTIF(BY5:BY52,"&gt;"&amp;0)</f>
        <v>37</v>
      </c>
      <c r="BZ53" s="20">
        <f t="shared" si="49"/>
        <v>39</v>
      </c>
      <c r="CA53" s="20">
        <f t="shared" si="49"/>
        <v>43</v>
      </c>
      <c r="CB53" s="20">
        <f t="shared" si="49"/>
        <v>38</v>
      </c>
      <c r="CC53" s="20">
        <f t="shared" si="49"/>
        <v>26</v>
      </c>
      <c r="CD53" s="20">
        <f t="shared" si="49"/>
        <v>44</v>
      </c>
      <c r="CF53" s="2" t="s">
        <v>11</v>
      </c>
      <c r="CG53" s="20">
        <f>COUNTIF(CG5:CG52,"&gt;"&amp;0)</f>
        <v>21</v>
      </c>
      <c r="CH53" s="20">
        <f t="shared" ref="CH53:CM53" si="50">COUNTIF(CH5:CH52,"&gt;"&amp;0)</f>
        <v>37</v>
      </c>
      <c r="CI53" s="20">
        <f t="shared" si="50"/>
        <v>39</v>
      </c>
      <c r="CJ53" s="20">
        <f t="shared" si="50"/>
        <v>43</v>
      </c>
      <c r="CK53" s="20">
        <f t="shared" si="50"/>
        <v>38</v>
      </c>
      <c r="CL53" s="20">
        <f t="shared" si="50"/>
        <v>26</v>
      </c>
      <c r="CM53" s="20">
        <f t="shared" si="50"/>
        <v>44</v>
      </c>
    </row>
    <row r="54" spans="3:91" x14ac:dyDescent="0.3">
      <c r="G54" s="23"/>
      <c r="H54" s="23"/>
      <c r="I54" s="23"/>
      <c r="J54" s="23"/>
      <c r="K54" s="23"/>
      <c r="U54" s="2" t="s">
        <v>13</v>
      </c>
      <c r="V54" s="19">
        <v>0.3</v>
      </c>
      <c r="W54" s="19">
        <v>0.3</v>
      </c>
      <c r="X54" s="19">
        <v>0.3</v>
      </c>
      <c r="Y54" s="19">
        <v>0.3</v>
      </c>
      <c r="Z54" s="19">
        <v>0.3</v>
      </c>
      <c r="AA54" s="19">
        <v>0.3</v>
      </c>
      <c r="AB54" s="19">
        <v>0.3</v>
      </c>
      <c r="AD54" s="2" t="s">
        <v>13</v>
      </c>
      <c r="AE54" s="19">
        <v>0.82</v>
      </c>
      <c r="AF54" s="19">
        <v>0.82</v>
      </c>
      <c r="AG54" s="19">
        <v>0.82</v>
      </c>
      <c r="AH54" s="19">
        <v>0.82</v>
      </c>
      <c r="AI54" s="19">
        <v>0.82</v>
      </c>
      <c r="AJ54" s="19">
        <v>0.82</v>
      </c>
      <c r="AK54" s="19">
        <v>0.82</v>
      </c>
      <c r="BD54" s="46">
        <f>(BD53)*70%</f>
        <v>3494.3999999999996</v>
      </c>
      <c r="CF54" s="29">
        <f>COUNTA(CF5:CF52)</f>
        <v>48</v>
      </c>
      <c r="CM54" s="29">
        <f>SUM(CG53:CM53)</f>
        <v>248</v>
      </c>
    </row>
    <row r="55" spans="3:91" x14ac:dyDescent="0.3">
      <c r="CF55" t="s">
        <v>34</v>
      </c>
      <c r="CL55" t="s">
        <v>35</v>
      </c>
    </row>
    <row r="56" spans="3:91" x14ac:dyDescent="0.3">
      <c r="CH56" s="35" t="s">
        <v>31</v>
      </c>
      <c r="CI56" s="23">
        <f>CM54/(CF54*7)</f>
        <v>0.73809523809523814</v>
      </c>
      <c r="CJ56" t="s">
        <v>36</v>
      </c>
    </row>
    <row r="57" spans="3:91" x14ac:dyDescent="0.3">
      <c r="CH57" s="35" t="s">
        <v>38</v>
      </c>
      <c r="CI57" s="47">
        <f>1-CI56</f>
        <v>0.26190476190476186</v>
      </c>
      <c r="CJ57" t="s">
        <v>37</v>
      </c>
    </row>
  </sheetData>
  <conditionalFormatting sqref="BX5:CD52">
    <cfRule type="cellIs" dxfId="46" priority="2" operator="lessThan">
      <formula>0</formula>
    </cfRule>
  </conditionalFormatting>
  <conditionalFormatting sqref="CG5:CM52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B56F1-137A-410C-96D9-F0C003979203}">
  <sheetPr codeName="Sheet6"/>
  <dimension ref="F2:CM76"/>
  <sheetViews>
    <sheetView topLeftCell="A60" workbookViewId="0">
      <selection activeCell="U78" sqref="U78"/>
    </sheetView>
  </sheetViews>
  <sheetFormatPr defaultRowHeight="14.4" x14ac:dyDescent="0.3"/>
  <cols>
    <col min="7" max="7" width="7.6640625" bestFit="1" customWidth="1"/>
    <col min="8" max="8" width="13.88671875" customWidth="1"/>
    <col min="9" max="16" width="9.33203125" bestFit="1" customWidth="1"/>
    <col min="56" max="56" width="10.109375" bestFit="1" customWidth="1"/>
  </cols>
  <sheetData>
    <row r="2" spans="6:91" ht="15" thickBot="1" x14ac:dyDescent="0.35">
      <c r="I2" s="44">
        <v>46038</v>
      </c>
      <c r="J2" s="44">
        <v>46039</v>
      </c>
      <c r="K2" s="44">
        <v>46040</v>
      </c>
      <c r="L2" s="44">
        <v>46041</v>
      </c>
      <c r="M2" s="44">
        <v>46042</v>
      </c>
      <c r="N2" s="44">
        <v>46043</v>
      </c>
      <c r="O2" s="44">
        <v>46044</v>
      </c>
      <c r="P2" s="44">
        <v>46045</v>
      </c>
    </row>
    <row r="3" spans="6:91" ht="15" thickBot="1" x14ac:dyDescent="0.35">
      <c r="F3" s="38" t="s">
        <v>20</v>
      </c>
      <c r="G3" s="38" t="s">
        <v>21</v>
      </c>
      <c r="H3" s="38" t="s">
        <v>22</v>
      </c>
      <c r="I3" s="45" t="s">
        <v>4</v>
      </c>
      <c r="J3" s="45" t="s">
        <v>5</v>
      </c>
      <c r="K3" s="45" t="s">
        <v>6</v>
      </c>
      <c r="L3" s="45" t="s">
        <v>7</v>
      </c>
      <c r="M3" s="45" t="s">
        <v>8</v>
      </c>
      <c r="N3" s="45" t="s">
        <v>9</v>
      </c>
      <c r="O3" s="45" t="s">
        <v>10</v>
      </c>
      <c r="P3" s="45" t="s">
        <v>23</v>
      </c>
      <c r="BN3" t="s">
        <v>31</v>
      </c>
      <c r="BW3" t="s">
        <v>33</v>
      </c>
      <c r="CF3" t="s">
        <v>32</v>
      </c>
    </row>
    <row r="4" spans="6:91" ht="15" thickBot="1" x14ac:dyDescent="0.35">
      <c r="F4" s="39" t="s">
        <v>24</v>
      </c>
      <c r="G4" s="39" t="s">
        <v>24</v>
      </c>
      <c r="H4" s="39" t="s">
        <v>25</v>
      </c>
      <c r="I4" s="39" t="s">
        <v>27</v>
      </c>
      <c r="J4" s="39" t="s">
        <v>27</v>
      </c>
      <c r="K4" s="39" t="s">
        <v>26</v>
      </c>
      <c r="L4" s="39" t="s">
        <v>26</v>
      </c>
      <c r="M4" s="39" t="s">
        <v>26</v>
      </c>
      <c r="N4" s="39" t="s">
        <v>26</v>
      </c>
      <c r="O4" s="39" t="s">
        <v>26</v>
      </c>
      <c r="P4" s="39">
        <v>2</v>
      </c>
    </row>
    <row r="5" spans="6:91" ht="15" thickBot="1" x14ac:dyDescent="0.35">
      <c r="F5" s="39" t="s">
        <v>24</v>
      </c>
      <c r="G5" s="39" t="s">
        <v>24</v>
      </c>
      <c r="H5" s="39" t="s">
        <v>28</v>
      </c>
      <c r="I5" s="39" t="s">
        <v>26</v>
      </c>
      <c r="J5" s="39" t="s">
        <v>27</v>
      </c>
      <c r="K5" s="39" t="s">
        <v>26</v>
      </c>
      <c r="L5" s="39" t="s">
        <v>27</v>
      </c>
      <c r="M5" s="39" t="s">
        <v>26</v>
      </c>
      <c r="N5" s="39" t="s">
        <v>26</v>
      </c>
      <c r="O5" s="39" t="s">
        <v>26</v>
      </c>
      <c r="P5" s="39">
        <v>2</v>
      </c>
      <c r="BO5" t="e">
        <f>(BF5*(1800*AE5))/M5</f>
        <v>#VALUE!</v>
      </c>
      <c r="BP5" t="e">
        <f t="shared" ref="BP5:BU20" si="0">(BG5*(1800*AF5))/N5</f>
        <v>#VALUE!</v>
      </c>
      <c r="BQ5" t="e">
        <f t="shared" si="0"/>
        <v>#VALUE!</v>
      </c>
      <c r="BR5">
        <f t="shared" si="0"/>
        <v>0</v>
      </c>
      <c r="BS5" t="e">
        <f t="shared" si="0"/>
        <v>#DIV/0!</v>
      </c>
      <c r="BT5" t="e">
        <f t="shared" si="0"/>
        <v>#DIV/0!</v>
      </c>
      <c r="BU5" t="e">
        <f t="shared" si="0"/>
        <v>#DIV/0!</v>
      </c>
      <c r="BX5">
        <f>BF5-AN5</f>
        <v>0</v>
      </c>
      <c r="BY5">
        <f t="shared" ref="BY5:CD20" si="1">BG5-AO5</f>
        <v>0</v>
      </c>
      <c r="BZ5">
        <f t="shared" si="1"/>
        <v>0</v>
      </c>
      <c r="CA5">
        <f t="shared" si="1"/>
        <v>0</v>
      </c>
      <c r="CB5">
        <f t="shared" si="1"/>
        <v>0</v>
      </c>
      <c r="CC5">
        <f t="shared" si="1"/>
        <v>0</v>
      </c>
      <c r="CD5">
        <f t="shared" si="1"/>
        <v>0</v>
      </c>
      <c r="CG5" t="e">
        <f>BO5-D5</f>
        <v>#VALUE!</v>
      </c>
      <c r="CH5" t="e">
        <f t="shared" ref="CH5:CM20" si="2">BP5-E5</f>
        <v>#VALUE!</v>
      </c>
      <c r="CI5" t="e">
        <f t="shared" si="2"/>
        <v>#VALUE!</v>
      </c>
      <c r="CJ5" t="e">
        <f t="shared" si="2"/>
        <v>#VALUE!</v>
      </c>
      <c r="CK5" t="e">
        <f t="shared" si="2"/>
        <v>#DIV/0!</v>
      </c>
      <c r="CL5" t="e">
        <f t="shared" si="2"/>
        <v>#DIV/0!</v>
      </c>
      <c r="CM5" t="e">
        <f t="shared" si="2"/>
        <v>#DIV/0!</v>
      </c>
    </row>
    <row r="6" spans="6:91" ht="15" thickBot="1" x14ac:dyDescent="0.35">
      <c r="F6" s="39" t="s">
        <v>24</v>
      </c>
      <c r="G6" s="39" t="s">
        <v>24</v>
      </c>
      <c r="H6" s="39" t="s">
        <v>29</v>
      </c>
      <c r="I6" s="39" t="s">
        <v>26</v>
      </c>
      <c r="J6" s="39" t="s">
        <v>26</v>
      </c>
      <c r="K6" s="39" t="s">
        <v>26</v>
      </c>
      <c r="L6" s="39" t="s">
        <v>26</v>
      </c>
      <c r="M6" s="39" t="s">
        <v>26</v>
      </c>
      <c r="N6" s="39" t="s">
        <v>26</v>
      </c>
      <c r="O6" s="39" t="s">
        <v>26</v>
      </c>
      <c r="P6" s="39">
        <v>2</v>
      </c>
      <c r="BO6" t="e">
        <f t="shared" ref="BO6:BO48" si="3">(BF6*(1800*AE6))/M6</f>
        <v>#VALUE!</v>
      </c>
      <c r="BP6" t="e">
        <f t="shared" si="0"/>
        <v>#VALUE!</v>
      </c>
      <c r="BQ6" t="e">
        <f t="shared" si="0"/>
        <v>#VALUE!</v>
      </c>
      <c r="BR6">
        <f t="shared" si="0"/>
        <v>0</v>
      </c>
      <c r="BS6" t="e">
        <f t="shared" si="0"/>
        <v>#DIV/0!</v>
      </c>
      <c r="BT6" t="e">
        <f t="shared" si="0"/>
        <v>#DIV/0!</v>
      </c>
      <c r="BU6" t="e">
        <f t="shared" si="0"/>
        <v>#DIV/0!</v>
      </c>
      <c r="BX6">
        <f t="shared" ref="BX6:BX52" si="4">BF6-AN6</f>
        <v>0</v>
      </c>
      <c r="BY6">
        <f t="shared" si="1"/>
        <v>0</v>
      </c>
      <c r="BZ6">
        <f t="shared" si="1"/>
        <v>0</v>
      </c>
      <c r="CA6">
        <f t="shared" si="1"/>
        <v>0</v>
      </c>
      <c r="CB6">
        <f t="shared" si="1"/>
        <v>0</v>
      </c>
      <c r="CC6">
        <f t="shared" si="1"/>
        <v>0</v>
      </c>
      <c r="CD6">
        <f t="shared" si="1"/>
        <v>0</v>
      </c>
      <c r="CG6" t="e">
        <f t="shared" ref="CG6:CG52" si="5">BO6-D6</f>
        <v>#VALUE!</v>
      </c>
      <c r="CH6" t="e">
        <f t="shared" si="2"/>
        <v>#VALUE!</v>
      </c>
      <c r="CI6" t="e">
        <f t="shared" si="2"/>
        <v>#VALUE!</v>
      </c>
      <c r="CJ6" t="e">
        <f t="shared" si="2"/>
        <v>#VALUE!</v>
      </c>
      <c r="CK6" t="e">
        <f t="shared" si="2"/>
        <v>#DIV/0!</v>
      </c>
      <c r="CL6" t="e">
        <f t="shared" si="2"/>
        <v>#DIV/0!</v>
      </c>
      <c r="CM6" t="e">
        <f t="shared" si="2"/>
        <v>#DIV/0!</v>
      </c>
    </row>
    <row r="7" spans="6:91" ht="15" thickBot="1" x14ac:dyDescent="0.35">
      <c r="F7" s="39" t="s">
        <v>24</v>
      </c>
      <c r="G7" s="39" t="s">
        <v>24</v>
      </c>
      <c r="H7" s="39" t="s">
        <v>25</v>
      </c>
      <c r="I7" s="39" t="s">
        <v>27</v>
      </c>
      <c r="J7" s="39" t="s">
        <v>26</v>
      </c>
      <c r="K7" s="39" t="s">
        <v>26</v>
      </c>
      <c r="L7" s="39" t="s">
        <v>27</v>
      </c>
      <c r="M7" s="39" t="s">
        <v>26</v>
      </c>
      <c r="N7" s="39" t="s">
        <v>27</v>
      </c>
      <c r="O7" s="39" t="s">
        <v>26</v>
      </c>
      <c r="P7" s="39">
        <v>2</v>
      </c>
      <c r="BO7" t="e">
        <f t="shared" si="3"/>
        <v>#VALUE!</v>
      </c>
      <c r="BP7" t="e">
        <f t="shared" si="0"/>
        <v>#VALUE!</v>
      </c>
      <c r="BQ7" t="e">
        <f t="shared" si="0"/>
        <v>#VALUE!</v>
      </c>
      <c r="BR7">
        <f t="shared" si="0"/>
        <v>0</v>
      </c>
      <c r="BS7" t="e">
        <f t="shared" si="0"/>
        <v>#DIV/0!</v>
      </c>
      <c r="BT7" t="e">
        <f t="shared" si="0"/>
        <v>#DIV/0!</v>
      </c>
      <c r="BU7" t="e">
        <f t="shared" si="0"/>
        <v>#DIV/0!</v>
      </c>
      <c r="BX7">
        <f t="shared" si="4"/>
        <v>0</v>
      </c>
      <c r="BY7">
        <f t="shared" si="1"/>
        <v>0</v>
      </c>
      <c r="BZ7">
        <f t="shared" si="1"/>
        <v>0</v>
      </c>
      <c r="CA7">
        <f t="shared" si="1"/>
        <v>0</v>
      </c>
      <c r="CB7">
        <f t="shared" si="1"/>
        <v>0</v>
      </c>
      <c r="CC7">
        <f t="shared" si="1"/>
        <v>0</v>
      </c>
      <c r="CD7">
        <f t="shared" si="1"/>
        <v>0</v>
      </c>
      <c r="CG7" t="e">
        <f t="shared" si="5"/>
        <v>#VALUE!</v>
      </c>
      <c r="CH7" t="e">
        <f t="shared" si="2"/>
        <v>#VALUE!</v>
      </c>
      <c r="CI7" t="e">
        <f t="shared" si="2"/>
        <v>#VALUE!</v>
      </c>
      <c r="CJ7" t="e">
        <f t="shared" si="2"/>
        <v>#VALUE!</v>
      </c>
      <c r="CK7" t="e">
        <f t="shared" si="2"/>
        <v>#DIV/0!</v>
      </c>
      <c r="CL7" t="e">
        <f t="shared" si="2"/>
        <v>#DIV/0!</v>
      </c>
      <c r="CM7" t="e">
        <f t="shared" si="2"/>
        <v>#DIV/0!</v>
      </c>
    </row>
    <row r="8" spans="6:91" ht="15" thickBot="1" x14ac:dyDescent="0.35">
      <c r="F8" s="39" t="s">
        <v>24</v>
      </c>
      <c r="G8" s="39" t="s">
        <v>24</v>
      </c>
      <c r="H8" s="39" t="s">
        <v>28</v>
      </c>
      <c r="I8" s="39" t="s">
        <v>26</v>
      </c>
      <c r="J8" s="39" t="s">
        <v>26</v>
      </c>
      <c r="K8" s="39" t="s">
        <v>26</v>
      </c>
      <c r="L8" s="39" t="s">
        <v>26</v>
      </c>
      <c r="M8" s="39" t="s">
        <v>26</v>
      </c>
      <c r="N8" s="39" t="s">
        <v>27</v>
      </c>
      <c r="O8" s="39" t="s">
        <v>27</v>
      </c>
      <c r="P8" s="39">
        <v>2</v>
      </c>
      <c r="BO8" t="e">
        <f t="shared" si="3"/>
        <v>#VALUE!</v>
      </c>
      <c r="BP8" t="e">
        <f t="shared" si="0"/>
        <v>#VALUE!</v>
      </c>
      <c r="BQ8" t="e">
        <f t="shared" si="0"/>
        <v>#VALUE!</v>
      </c>
      <c r="BR8">
        <f t="shared" si="0"/>
        <v>0</v>
      </c>
      <c r="BS8" t="e">
        <f t="shared" si="0"/>
        <v>#DIV/0!</v>
      </c>
      <c r="BT8" t="e">
        <f t="shared" si="0"/>
        <v>#DIV/0!</v>
      </c>
      <c r="BU8" t="e">
        <f t="shared" si="0"/>
        <v>#DIV/0!</v>
      </c>
      <c r="BX8">
        <f t="shared" si="4"/>
        <v>0</v>
      </c>
      <c r="BY8">
        <f t="shared" si="1"/>
        <v>0</v>
      </c>
      <c r="BZ8">
        <f t="shared" si="1"/>
        <v>0</v>
      </c>
      <c r="CA8">
        <f t="shared" si="1"/>
        <v>0</v>
      </c>
      <c r="CB8">
        <f t="shared" si="1"/>
        <v>0</v>
      </c>
      <c r="CC8">
        <f t="shared" si="1"/>
        <v>0</v>
      </c>
      <c r="CD8">
        <f t="shared" si="1"/>
        <v>0</v>
      </c>
      <c r="CG8" t="e">
        <f t="shared" si="5"/>
        <v>#VALUE!</v>
      </c>
      <c r="CH8" t="e">
        <f t="shared" si="2"/>
        <v>#VALUE!</v>
      </c>
      <c r="CI8" t="e">
        <f t="shared" si="2"/>
        <v>#VALUE!</v>
      </c>
      <c r="CJ8" t="e">
        <f t="shared" si="2"/>
        <v>#VALUE!</v>
      </c>
      <c r="CK8" t="e">
        <f t="shared" si="2"/>
        <v>#DIV/0!</v>
      </c>
      <c r="CL8" t="e">
        <f t="shared" si="2"/>
        <v>#DIV/0!</v>
      </c>
      <c r="CM8" t="e">
        <f t="shared" si="2"/>
        <v>#DIV/0!</v>
      </c>
    </row>
    <row r="9" spans="6:91" ht="15" thickBot="1" x14ac:dyDescent="0.35">
      <c r="F9" s="39" t="s">
        <v>24</v>
      </c>
      <c r="G9" s="39" t="s">
        <v>24</v>
      </c>
      <c r="H9" s="39" t="s">
        <v>29</v>
      </c>
      <c r="I9" s="39" t="s">
        <v>27</v>
      </c>
      <c r="J9" s="39" t="s">
        <v>27</v>
      </c>
      <c r="K9" s="39" t="s">
        <v>27</v>
      </c>
      <c r="L9" s="39" t="s">
        <v>26</v>
      </c>
      <c r="M9" s="39" t="s">
        <v>26</v>
      </c>
      <c r="N9" s="39" t="s">
        <v>26</v>
      </c>
      <c r="O9" s="39" t="s">
        <v>26</v>
      </c>
      <c r="P9" s="39">
        <v>2</v>
      </c>
      <c r="BO9" t="e">
        <f t="shared" si="3"/>
        <v>#VALUE!</v>
      </c>
      <c r="BP9" t="e">
        <f t="shared" si="0"/>
        <v>#VALUE!</v>
      </c>
      <c r="BQ9" t="e">
        <f t="shared" si="0"/>
        <v>#VALUE!</v>
      </c>
      <c r="BR9">
        <f t="shared" si="0"/>
        <v>0</v>
      </c>
      <c r="BS9" t="e">
        <f t="shared" si="0"/>
        <v>#DIV/0!</v>
      </c>
      <c r="BT9" t="e">
        <f t="shared" si="0"/>
        <v>#DIV/0!</v>
      </c>
      <c r="BU9" t="e">
        <f t="shared" si="0"/>
        <v>#DIV/0!</v>
      </c>
      <c r="BX9">
        <f t="shared" si="4"/>
        <v>0</v>
      </c>
      <c r="BY9">
        <f t="shared" si="1"/>
        <v>0</v>
      </c>
      <c r="BZ9">
        <f t="shared" si="1"/>
        <v>0</v>
      </c>
      <c r="CA9">
        <f t="shared" si="1"/>
        <v>0</v>
      </c>
      <c r="CB9">
        <f t="shared" si="1"/>
        <v>0</v>
      </c>
      <c r="CC9">
        <f t="shared" si="1"/>
        <v>0</v>
      </c>
      <c r="CD9">
        <f t="shared" si="1"/>
        <v>0</v>
      </c>
      <c r="CG9" t="e">
        <f t="shared" si="5"/>
        <v>#VALUE!</v>
      </c>
      <c r="CH9" t="e">
        <f t="shared" si="2"/>
        <v>#VALUE!</v>
      </c>
      <c r="CI9" t="e">
        <f t="shared" si="2"/>
        <v>#VALUE!</v>
      </c>
      <c r="CJ9" t="e">
        <f t="shared" si="2"/>
        <v>#VALUE!</v>
      </c>
      <c r="CK9" t="e">
        <f t="shared" si="2"/>
        <v>#DIV/0!</v>
      </c>
      <c r="CL9" t="e">
        <f t="shared" si="2"/>
        <v>#DIV/0!</v>
      </c>
      <c r="CM9" t="e">
        <f t="shared" si="2"/>
        <v>#DIV/0!</v>
      </c>
    </row>
    <row r="10" spans="6:91" ht="15" thickBot="1" x14ac:dyDescent="0.35">
      <c r="F10" s="39" t="s">
        <v>24</v>
      </c>
      <c r="G10" s="39" t="s">
        <v>24</v>
      </c>
      <c r="H10" s="39" t="s">
        <v>25</v>
      </c>
      <c r="I10" s="39" t="s">
        <v>26</v>
      </c>
      <c r="J10" s="39" t="s">
        <v>27</v>
      </c>
      <c r="K10" s="39" t="s">
        <v>26</v>
      </c>
      <c r="L10" s="39" t="s">
        <v>26</v>
      </c>
      <c r="M10" s="39" t="s">
        <v>26</v>
      </c>
      <c r="N10" s="39" t="s">
        <v>26</v>
      </c>
      <c r="O10" s="39" t="s">
        <v>26</v>
      </c>
      <c r="P10" s="39">
        <v>2</v>
      </c>
      <c r="BO10" t="e">
        <f t="shared" si="3"/>
        <v>#VALUE!</v>
      </c>
      <c r="BP10" t="e">
        <f t="shared" si="0"/>
        <v>#VALUE!</v>
      </c>
      <c r="BQ10" t="e">
        <f t="shared" si="0"/>
        <v>#VALUE!</v>
      </c>
      <c r="BR10">
        <f t="shared" si="0"/>
        <v>0</v>
      </c>
      <c r="BS10" t="e">
        <f t="shared" si="0"/>
        <v>#DIV/0!</v>
      </c>
      <c r="BT10" t="e">
        <f t="shared" si="0"/>
        <v>#DIV/0!</v>
      </c>
      <c r="BU10" t="e">
        <f t="shared" si="0"/>
        <v>#DIV/0!</v>
      </c>
      <c r="BX10">
        <f t="shared" si="4"/>
        <v>0</v>
      </c>
      <c r="BY10">
        <f t="shared" si="1"/>
        <v>0</v>
      </c>
      <c r="BZ10">
        <f t="shared" si="1"/>
        <v>0</v>
      </c>
      <c r="CA10">
        <f t="shared" si="1"/>
        <v>0</v>
      </c>
      <c r="CB10">
        <f t="shared" si="1"/>
        <v>0</v>
      </c>
      <c r="CC10">
        <f t="shared" si="1"/>
        <v>0</v>
      </c>
      <c r="CD10">
        <f t="shared" si="1"/>
        <v>0</v>
      </c>
      <c r="CG10" t="e">
        <f t="shared" si="5"/>
        <v>#VALUE!</v>
      </c>
      <c r="CH10" t="e">
        <f t="shared" si="2"/>
        <v>#VALUE!</v>
      </c>
      <c r="CI10" t="e">
        <f t="shared" si="2"/>
        <v>#VALUE!</v>
      </c>
      <c r="CJ10" t="e">
        <f t="shared" si="2"/>
        <v>#VALUE!</v>
      </c>
      <c r="CK10" t="e">
        <f t="shared" si="2"/>
        <v>#DIV/0!</v>
      </c>
      <c r="CL10" t="e">
        <f t="shared" si="2"/>
        <v>#DIV/0!</v>
      </c>
      <c r="CM10" t="e">
        <f t="shared" si="2"/>
        <v>#DIV/0!</v>
      </c>
    </row>
    <row r="11" spans="6:91" ht="15" thickBot="1" x14ac:dyDescent="0.35">
      <c r="F11" s="39" t="s">
        <v>24</v>
      </c>
      <c r="G11" s="39" t="s">
        <v>24</v>
      </c>
      <c r="H11" s="39" t="s">
        <v>28</v>
      </c>
      <c r="I11" s="39" t="s">
        <v>26</v>
      </c>
      <c r="J11" s="39" t="s">
        <v>26</v>
      </c>
      <c r="K11" s="39" t="s">
        <v>27</v>
      </c>
      <c r="L11" s="39" t="s">
        <v>26</v>
      </c>
      <c r="M11" s="39" t="s">
        <v>27</v>
      </c>
      <c r="N11" s="39" t="s">
        <v>26</v>
      </c>
      <c r="O11" s="39" t="s">
        <v>26</v>
      </c>
      <c r="P11" s="39">
        <v>2</v>
      </c>
      <c r="BO11" t="e">
        <f t="shared" si="3"/>
        <v>#VALUE!</v>
      </c>
      <c r="BP11" t="e">
        <f t="shared" si="0"/>
        <v>#VALUE!</v>
      </c>
      <c r="BQ11" t="e">
        <f t="shared" si="0"/>
        <v>#VALUE!</v>
      </c>
      <c r="BR11">
        <f t="shared" si="0"/>
        <v>0</v>
      </c>
      <c r="BS11" t="e">
        <f t="shared" si="0"/>
        <v>#DIV/0!</v>
      </c>
      <c r="BT11" t="e">
        <f t="shared" si="0"/>
        <v>#DIV/0!</v>
      </c>
      <c r="BU11" t="e">
        <f t="shared" si="0"/>
        <v>#DIV/0!</v>
      </c>
      <c r="BX11">
        <f t="shared" si="4"/>
        <v>0</v>
      </c>
      <c r="BY11">
        <f t="shared" si="1"/>
        <v>0</v>
      </c>
      <c r="BZ11">
        <f t="shared" si="1"/>
        <v>0</v>
      </c>
      <c r="CA11">
        <f t="shared" si="1"/>
        <v>0</v>
      </c>
      <c r="CB11">
        <f t="shared" si="1"/>
        <v>0</v>
      </c>
      <c r="CC11">
        <f t="shared" si="1"/>
        <v>0</v>
      </c>
      <c r="CD11">
        <f t="shared" si="1"/>
        <v>0</v>
      </c>
      <c r="CG11" t="e">
        <f t="shared" si="5"/>
        <v>#VALUE!</v>
      </c>
      <c r="CH11" t="e">
        <f t="shared" si="2"/>
        <v>#VALUE!</v>
      </c>
      <c r="CI11" t="e">
        <f t="shared" si="2"/>
        <v>#VALUE!</v>
      </c>
      <c r="CJ11" t="e">
        <f t="shared" si="2"/>
        <v>#VALUE!</v>
      </c>
      <c r="CK11" t="e">
        <f t="shared" si="2"/>
        <v>#DIV/0!</v>
      </c>
      <c r="CL11" t="e">
        <f t="shared" si="2"/>
        <v>#DIV/0!</v>
      </c>
      <c r="CM11" t="e">
        <f t="shared" si="2"/>
        <v>#DIV/0!</v>
      </c>
    </row>
    <row r="12" spans="6:91" ht="15" thickBot="1" x14ac:dyDescent="0.35">
      <c r="F12" s="39" t="s">
        <v>24</v>
      </c>
      <c r="G12" s="39" t="s">
        <v>24</v>
      </c>
      <c r="H12" s="39" t="s">
        <v>29</v>
      </c>
      <c r="I12" s="39" t="s">
        <v>26</v>
      </c>
      <c r="J12" s="39" t="s">
        <v>26</v>
      </c>
      <c r="K12" s="39" t="s">
        <v>26</v>
      </c>
      <c r="L12" s="39" t="s">
        <v>26</v>
      </c>
      <c r="M12" s="39" t="s">
        <v>26</v>
      </c>
      <c r="N12" s="39" t="s">
        <v>27</v>
      </c>
      <c r="O12" s="39" t="s">
        <v>26</v>
      </c>
      <c r="P12" s="39">
        <v>2</v>
      </c>
      <c r="BO12" t="e">
        <f t="shared" si="3"/>
        <v>#VALUE!</v>
      </c>
      <c r="BP12" t="e">
        <f t="shared" si="0"/>
        <v>#VALUE!</v>
      </c>
      <c r="BQ12" t="e">
        <f t="shared" si="0"/>
        <v>#VALUE!</v>
      </c>
      <c r="BR12">
        <f t="shared" si="0"/>
        <v>0</v>
      </c>
      <c r="BS12" t="e">
        <f t="shared" si="0"/>
        <v>#DIV/0!</v>
      </c>
      <c r="BT12" t="e">
        <f t="shared" si="0"/>
        <v>#DIV/0!</v>
      </c>
      <c r="BU12" t="e">
        <f t="shared" si="0"/>
        <v>#DIV/0!</v>
      </c>
      <c r="BX12">
        <f t="shared" si="4"/>
        <v>0</v>
      </c>
      <c r="BY12">
        <f t="shared" si="1"/>
        <v>0</v>
      </c>
      <c r="BZ12">
        <f t="shared" si="1"/>
        <v>0</v>
      </c>
      <c r="CA12">
        <f t="shared" si="1"/>
        <v>0</v>
      </c>
      <c r="CB12">
        <f t="shared" si="1"/>
        <v>0</v>
      </c>
      <c r="CC12">
        <f t="shared" si="1"/>
        <v>0</v>
      </c>
      <c r="CD12">
        <f t="shared" si="1"/>
        <v>0</v>
      </c>
      <c r="CG12" t="e">
        <f t="shared" si="5"/>
        <v>#VALUE!</v>
      </c>
      <c r="CH12" t="e">
        <f t="shared" si="2"/>
        <v>#VALUE!</v>
      </c>
      <c r="CI12" t="e">
        <f t="shared" si="2"/>
        <v>#VALUE!</v>
      </c>
      <c r="CJ12" t="e">
        <f t="shared" si="2"/>
        <v>#VALUE!</v>
      </c>
      <c r="CK12" t="e">
        <f t="shared" si="2"/>
        <v>#DIV/0!</v>
      </c>
      <c r="CL12" t="e">
        <f t="shared" si="2"/>
        <v>#DIV/0!</v>
      </c>
      <c r="CM12" t="e">
        <f t="shared" si="2"/>
        <v>#DIV/0!</v>
      </c>
    </row>
    <row r="13" spans="6:91" ht="15" thickBot="1" x14ac:dyDescent="0.35">
      <c r="F13" s="39" t="s">
        <v>24</v>
      </c>
      <c r="G13" s="39" t="s">
        <v>24</v>
      </c>
      <c r="H13" s="39" t="s">
        <v>25</v>
      </c>
      <c r="I13" s="39" t="s">
        <v>26</v>
      </c>
      <c r="J13" s="39" t="s">
        <v>26</v>
      </c>
      <c r="K13" s="39" t="s">
        <v>26</v>
      </c>
      <c r="L13" s="39" t="s">
        <v>26</v>
      </c>
      <c r="M13" s="39" t="s">
        <v>27</v>
      </c>
      <c r="N13" s="39" t="s">
        <v>27</v>
      </c>
      <c r="O13" s="39" t="s">
        <v>27</v>
      </c>
      <c r="P13" s="39">
        <v>2</v>
      </c>
      <c r="BO13" t="e">
        <f t="shared" si="3"/>
        <v>#VALUE!</v>
      </c>
      <c r="BP13" t="e">
        <f t="shared" si="0"/>
        <v>#VALUE!</v>
      </c>
      <c r="BQ13" t="e">
        <f t="shared" si="0"/>
        <v>#VALUE!</v>
      </c>
      <c r="BR13">
        <f t="shared" si="0"/>
        <v>0</v>
      </c>
      <c r="BS13" t="e">
        <f t="shared" si="0"/>
        <v>#DIV/0!</v>
      </c>
      <c r="BT13" t="e">
        <f t="shared" si="0"/>
        <v>#DIV/0!</v>
      </c>
      <c r="BU13" t="e">
        <f t="shared" si="0"/>
        <v>#DIV/0!</v>
      </c>
      <c r="BX13">
        <f t="shared" si="4"/>
        <v>0</v>
      </c>
      <c r="BY13">
        <f t="shared" si="1"/>
        <v>0</v>
      </c>
      <c r="BZ13">
        <f t="shared" si="1"/>
        <v>0</v>
      </c>
      <c r="CA13">
        <f t="shared" si="1"/>
        <v>0</v>
      </c>
      <c r="CB13">
        <f t="shared" si="1"/>
        <v>0</v>
      </c>
      <c r="CC13">
        <f t="shared" si="1"/>
        <v>0</v>
      </c>
      <c r="CD13">
        <f t="shared" si="1"/>
        <v>0</v>
      </c>
      <c r="CG13" t="e">
        <f t="shared" si="5"/>
        <v>#VALUE!</v>
      </c>
      <c r="CH13" t="e">
        <f t="shared" si="2"/>
        <v>#VALUE!</v>
      </c>
      <c r="CI13" t="e">
        <f t="shared" si="2"/>
        <v>#VALUE!</v>
      </c>
      <c r="CJ13" t="e">
        <f t="shared" si="2"/>
        <v>#VALUE!</v>
      </c>
      <c r="CK13" t="e">
        <f t="shared" si="2"/>
        <v>#DIV/0!</v>
      </c>
      <c r="CL13" t="e">
        <f t="shared" si="2"/>
        <v>#DIV/0!</v>
      </c>
      <c r="CM13" t="e">
        <f t="shared" si="2"/>
        <v>#DIV/0!</v>
      </c>
    </row>
    <row r="14" spans="6:91" ht="15" thickBot="1" x14ac:dyDescent="0.35">
      <c r="F14" s="39" t="s">
        <v>24</v>
      </c>
      <c r="G14" s="39" t="s">
        <v>24</v>
      </c>
      <c r="H14" s="39" t="s">
        <v>28</v>
      </c>
      <c r="I14" s="39" t="s">
        <v>27</v>
      </c>
      <c r="J14" s="39" t="s">
        <v>26</v>
      </c>
      <c r="K14" s="39" t="s">
        <v>27</v>
      </c>
      <c r="L14" s="39" t="s">
        <v>26</v>
      </c>
      <c r="M14" s="39" t="s">
        <v>26</v>
      </c>
      <c r="N14" s="39" t="s">
        <v>26</v>
      </c>
      <c r="O14" s="39" t="s">
        <v>26</v>
      </c>
      <c r="P14" s="39">
        <v>2</v>
      </c>
      <c r="BO14" t="e">
        <f t="shared" si="3"/>
        <v>#VALUE!</v>
      </c>
      <c r="BP14" t="e">
        <f t="shared" si="0"/>
        <v>#VALUE!</v>
      </c>
      <c r="BQ14" t="e">
        <f t="shared" si="0"/>
        <v>#VALUE!</v>
      </c>
      <c r="BR14">
        <f t="shared" si="0"/>
        <v>0</v>
      </c>
      <c r="BS14" t="e">
        <f t="shared" si="0"/>
        <v>#DIV/0!</v>
      </c>
      <c r="BT14" t="e">
        <f t="shared" si="0"/>
        <v>#DIV/0!</v>
      </c>
      <c r="BU14" t="e">
        <f t="shared" si="0"/>
        <v>#DIV/0!</v>
      </c>
      <c r="BX14">
        <f t="shared" si="4"/>
        <v>0</v>
      </c>
      <c r="BY14">
        <f t="shared" si="1"/>
        <v>0</v>
      </c>
      <c r="BZ14">
        <f t="shared" si="1"/>
        <v>0</v>
      </c>
      <c r="CA14">
        <f t="shared" si="1"/>
        <v>0</v>
      </c>
      <c r="CB14">
        <f t="shared" si="1"/>
        <v>0</v>
      </c>
      <c r="CC14">
        <f t="shared" si="1"/>
        <v>0</v>
      </c>
      <c r="CD14">
        <f t="shared" si="1"/>
        <v>0</v>
      </c>
      <c r="CG14" t="e">
        <f t="shared" si="5"/>
        <v>#VALUE!</v>
      </c>
      <c r="CH14" t="e">
        <f t="shared" si="2"/>
        <v>#VALUE!</v>
      </c>
      <c r="CI14" t="e">
        <f t="shared" si="2"/>
        <v>#VALUE!</v>
      </c>
      <c r="CJ14" t="e">
        <f t="shared" si="2"/>
        <v>#VALUE!</v>
      </c>
      <c r="CK14" t="e">
        <f t="shared" si="2"/>
        <v>#DIV/0!</v>
      </c>
      <c r="CL14" t="e">
        <f t="shared" si="2"/>
        <v>#DIV/0!</v>
      </c>
      <c r="CM14" t="e">
        <f t="shared" si="2"/>
        <v>#DIV/0!</v>
      </c>
    </row>
    <row r="15" spans="6:91" ht="15" thickBot="1" x14ac:dyDescent="0.35">
      <c r="F15" s="39" t="s">
        <v>24</v>
      </c>
      <c r="G15" s="39" t="s">
        <v>24</v>
      </c>
      <c r="H15" s="39" t="s">
        <v>29</v>
      </c>
      <c r="I15" s="39" t="s">
        <v>26</v>
      </c>
      <c r="J15" s="39" t="s">
        <v>27</v>
      </c>
      <c r="K15" s="39" t="s">
        <v>26</v>
      </c>
      <c r="L15" s="39" t="s">
        <v>27</v>
      </c>
      <c r="M15" s="39" t="s">
        <v>26</v>
      </c>
      <c r="N15" s="39" t="s">
        <v>26</v>
      </c>
      <c r="O15" s="39" t="s">
        <v>26</v>
      </c>
      <c r="P15" s="39">
        <v>2</v>
      </c>
      <c r="BO15" t="e">
        <f t="shared" si="3"/>
        <v>#VALUE!</v>
      </c>
      <c r="BP15" t="e">
        <f t="shared" si="0"/>
        <v>#VALUE!</v>
      </c>
      <c r="BQ15" t="e">
        <f t="shared" si="0"/>
        <v>#VALUE!</v>
      </c>
      <c r="BR15">
        <f t="shared" si="0"/>
        <v>0</v>
      </c>
      <c r="BS15" t="e">
        <f t="shared" si="0"/>
        <v>#DIV/0!</v>
      </c>
      <c r="BT15" t="e">
        <f t="shared" si="0"/>
        <v>#DIV/0!</v>
      </c>
      <c r="BU15" t="e">
        <f t="shared" si="0"/>
        <v>#DIV/0!</v>
      </c>
      <c r="BX15">
        <f t="shared" si="4"/>
        <v>0</v>
      </c>
      <c r="BY15">
        <f t="shared" si="1"/>
        <v>0</v>
      </c>
      <c r="BZ15">
        <f t="shared" si="1"/>
        <v>0</v>
      </c>
      <c r="CA15">
        <f t="shared" si="1"/>
        <v>0</v>
      </c>
      <c r="CB15">
        <f t="shared" si="1"/>
        <v>0</v>
      </c>
      <c r="CC15">
        <f t="shared" si="1"/>
        <v>0</v>
      </c>
      <c r="CD15">
        <f t="shared" si="1"/>
        <v>0</v>
      </c>
      <c r="CG15" t="e">
        <f t="shared" si="5"/>
        <v>#VALUE!</v>
      </c>
      <c r="CH15" t="e">
        <f t="shared" si="2"/>
        <v>#VALUE!</v>
      </c>
      <c r="CI15" t="e">
        <f t="shared" si="2"/>
        <v>#VALUE!</v>
      </c>
      <c r="CJ15" t="e">
        <f t="shared" si="2"/>
        <v>#VALUE!</v>
      </c>
      <c r="CK15" t="e">
        <f t="shared" si="2"/>
        <v>#DIV/0!</v>
      </c>
      <c r="CL15" t="e">
        <f t="shared" si="2"/>
        <v>#DIV/0!</v>
      </c>
      <c r="CM15" t="e">
        <f t="shared" si="2"/>
        <v>#DIV/0!</v>
      </c>
    </row>
    <row r="16" spans="6:91" ht="15" thickBot="1" x14ac:dyDescent="0.35">
      <c r="F16" s="39" t="s">
        <v>24</v>
      </c>
      <c r="G16" s="39" t="s">
        <v>24</v>
      </c>
      <c r="H16" s="39" t="s">
        <v>25</v>
      </c>
      <c r="I16" s="39" t="s">
        <v>27</v>
      </c>
      <c r="J16" s="39" t="s">
        <v>26</v>
      </c>
      <c r="K16" s="39" t="s">
        <v>27</v>
      </c>
      <c r="L16" s="39" t="s">
        <v>26</v>
      </c>
      <c r="M16" s="39" t="s">
        <v>27</v>
      </c>
      <c r="N16" s="39" t="s">
        <v>26</v>
      </c>
      <c r="O16" s="39" t="s">
        <v>26</v>
      </c>
      <c r="P16" s="39">
        <v>2</v>
      </c>
      <c r="BO16" t="e">
        <f t="shared" si="3"/>
        <v>#VALUE!</v>
      </c>
      <c r="BP16" t="e">
        <f t="shared" si="0"/>
        <v>#VALUE!</v>
      </c>
      <c r="BQ16" t="e">
        <f t="shared" si="0"/>
        <v>#VALUE!</v>
      </c>
      <c r="BR16">
        <f t="shared" si="0"/>
        <v>0</v>
      </c>
      <c r="BS16" t="e">
        <f t="shared" si="0"/>
        <v>#DIV/0!</v>
      </c>
      <c r="BT16" t="e">
        <f t="shared" si="0"/>
        <v>#DIV/0!</v>
      </c>
      <c r="BU16" t="e">
        <f t="shared" si="0"/>
        <v>#DIV/0!</v>
      </c>
      <c r="BX16">
        <f t="shared" si="4"/>
        <v>0</v>
      </c>
      <c r="BY16">
        <f t="shared" si="1"/>
        <v>0</v>
      </c>
      <c r="BZ16">
        <f t="shared" si="1"/>
        <v>0</v>
      </c>
      <c r="CA16">
        <f t="shared" si="1"/>
        <v>0</v>
      </c>
      <c r="CB16">
        <f t="shared" si="1"/>
        <v>0</v>
      </c>
      <c r="CC16">
        <f t="shared" si="1"/>
        <v>0</v>
      </c>
      <c r="CD16">
        <f t="shared" si="1"/>
        <v>0</v>
      </c>
      <c r="CG16" t="e">
        <f t="shared" si="5"/>
        <v>#VALUE!</v>
      </c>
      <c r="CH16" t="e">
        <f t="shared" si="2"/>
        <v>#VALUE!</v>
      </c>
      <c r="CI16" t="e">
        <f t="shared" si="2"/>
        <v>#VALUE!</v>
      </c>
      <c r="CJ16" t="e">
        <f t="shared" si="2"/>
        <v>#VALUE!</v>
      </c>
      <c r="CK16" t="e">
        <f t="shared" si="2"/>
        <v>#DIV/0!</v>
      </c>
      <c r="CL16" t="e">
        <f t="shared" si="2"/>
        <v>#DIV/0!</v>
      </c>
      <c r="CM16" t="e">
        <f t="shared" si="2"/>
        <v>#DIV/0!</v>
      </c>
    </row>
    <row r="17" spans="6:91" ht="15" thickBot="1" x14ac:dyDescent="0.35">
      <c r="F17" s="39" t="s">
        <v>24</v>
      </c>
      <c r="G17" s="39" t="s">
        <v>24</v>
      </c>
      <c r="H17" s="39" t="s">
        <v>28</v>
      </c>
      <c r="I17" s="39" t="s">
        <v>27</v>
      </c>
      <c r="J17" s="39" t="s">
        <v>26</v>
      </c>
      <c r="K17" s="39" t="s">
        <v>26</v>
      </c>
      <c r="L17" s="39" t="s">
        <v>27</v>
      </c>
      <c r="M17" s="39" t="s">
        <v>26</v>
      </c>
      <c r="N17" s="39" t="s">
        <v>27</v>
      </c>
      <c r="O17" s="39" t="s">
        <v>26</v>
      </c>
      <c r="P17" s="39">
        <v>2</v>
      </c>
      <c r="BO17" t="e">
        <f t="shared" si="3"/>
        <v>#VALUE!</v>
      </c>
      <c r="BP17" t="e">
        <f t="shared" si="0"/>
        <v>#VALUE!</v>
      </c>
      <c r="BQ17" t="e">
        <f t="shared" si="0"/>
        <v>#VALUE!</v>
      </c>
      <c r="BR17">
        <f t="shared" si="0"/>
        <v>0</v>
      </c>
      <c r="BS17" t="e">
        <f t="shared" si="0"/>
        <v>#DIV/0!</v>
      </c>
      <c r="BT17" t="e">
        <f t="shared" si="0"/>
        <v>#DIV/0!</v>
      </c>
      <c r="BU17" t="e">
        <f t="shared" si="0"/>
        <v>#DIV/0!</v>
      </c>
      <c r="BX17">
        <f t="shared" si="4"/>
        <v>0</v>
      </c>
      <c r="BY17">
        <f t="shared" si="1"/>
        <v>0</v>
      </c>
      <c r="BZ17">
        <f t="shared" si="1"/>
        <v>0</v>
      </c>
      <c r="CA17">
        <f t="shared" si="1"/>
        <v>0</v>
      </c>
      <c r="CB17">
        <f t="shared" si="1"/>
        <v>0</v>
      </c>
      <c r="CC17">
        <f t="shared" si="1"/>
        <v>0</v>
      </c>
      <c r="CD17">
        <f t="shared" si="1"/>
        <v>0</v>
      </c>
      <c r="CG17" t="e">
        <f t="shared" si="5"/>
        <v>#VALUE!</v>
      </c>
      <c r="CH17" t="e">
        <f t="shared" si="2"/>
        <v>#VALUE!</v>
      </c>
      <c r="CI17" t="e">
        <f t="shared" si="2"/>
        <v>#VALUE!</v>
      </c>
      <c r="CJ17" t="e">
        <f t="shared" si="2"/>
        <v>#VALUE!</v>
      </c>
      <c r="CK17" t="e">
        <f t="shared" si="2"/>
        <v>#DIV/0!</v>
      </c>
      <c r="CL17" t="e">
        <f t="shared" si="2"/>
        <v>#DIV/0!</v>
      </c>
      <c r="CM17" t="e">
        <f t="shared" si="2"/>
        <v>#DIV/0!</v>
      </c>
    </row>
    <row r="18" spans="6:91" ht="15" thickBot="1" x14ac:dyDescent="0.35">
      <c r="F18" s="39" t="s">
        <v>24</v>
      </c>
      <c r="G18" s="39" t="s">
        <v>24</v>
      </c>
      <c r="H18" s="39" t="s">
        <v>29</v>
      </c>
      <c r="I18" s="39" t="s">
        <v>26</v>
      </c>
      <c r="J18" s="39" t="s">
        <v>26</v>
      </c>
      <c r="K18" s="39" t="s">
        <v>26</v>
      </c>
      <c r="L18" s="39" t="s">
        <v>26</v>
      </c>
      <c r="M18" s="39" t="s">
        <v>27</v>
      </c>
      <c r="N18" s="39" t="s">
        <v>27</v>
      </c>
      <c r="O18" s="39" t="s">
        <v>27</v>
      </c>
      <c r="P18" s="39">
        <v>2</v>
      </c>
      <c r="BO18" t="e">
        <f t="shared" si="3"/>
        <v>#VALUE!</v>
      </c>
      <c r="BP18" t="e">
        <f t="shared" si="0"/>
        <v>#VALUE!</v>
      </c>
      <c r="BQ18" t="e">
        <f t="shared" si="0"/>
        <v>#VALUE!</v>
      </c>
      <c r="BR18">
        <f t="shared" si="0"/>
        <v>0</v>
      </c>
      <c r="BS18" t="e">
        <f t="shared" si="0"/>
        <v>#DIV/0!</v>
      </c>
      <c r="BT18" t="e">
        <f t="shared" si="0"/>
        <v>#DIV/0!</v>
      </c>
      <c r="BU18" t="e">
        <f t="shared" si="0"/>
        <v>#DIV/0!</v>
      </c>
      <c r="BX18">
        <f t="shared" si="4"/>
        <v>0</v>
      </c>
      <c r="BY18">
        <f t="shared" si="1"/>
        <v>0</v>
      </c>
      <c r="BZ18">
        <f t="shared" si="1"/>
        <v>0</v>
      </c>
      <c r="CA18">
        <f t="shared" si="1"/>
        <v>0</v>
      </c>
      <c r="CB18">
        <f t="shared" si="1"/>
        <v>0</v>
      </c>
      <c r="CC18">
        <f t="shared" si="1"/>
        <v>0</v>
      </c>
      <c r="CD18">
        <f t="shared" si="1"/>
        <v>0</v>
      </c>
      <c r="CG18" t="e">
        <f t="shared" si="5"/>
        <v>#VALUE!</v>
      </c>
      <c r="CH18" t="e">
        <f t="shared" si="2"/>
        <v>#VALUE!</v>
      </c>
      <c r="CI18" t="e">
        <f t="shared" si="2"/>
        <v>#VALUE!</v>
      </c>
      <c r="CJ18" t="e">
        <f t="shared" si="2"/>
        <v>#VALUE!</v>
      </c>
      <c r="CK18" t="e">
        <f t="shared" si="2"/>
        <v>#DIV/0!</v>
      </c>
      <c r="CL18" t="e">
        <f t="shared" si="2"/>
        <v>#DIV/0!</v>
      </c>
      <c r="CM18" t="e">
        <f t="shared" si="2"/>
        <v>#DIV/0!</v>
      </c>
    </row>
    <row r="19" spans="6:91" ht="15" thickBot="1" x14ac:dyDescent="0.35">
      <c r="F19" s="39" t="s">
        <v>24</v>
      </c>
      <c r="G19" s="39" t="s">
        <v>24</v>
      </c>
      <c r="H19" s="39" t="s">
        <v>25</v>
      </c>
      <c r="I19" s="39" t="s">
        <v>27</v>
      </c>
      <c r="J19" s="39" t="s">
        <v>27</v>
      </c>
      <c r="K19" s="39" t="s">
        <v>27</v>
      </c>
      <c r="L19" s="39" t="s">
        <v>26</v>
      </c>
      <c r="M19" s="39" t="s">
        <v>26</v>
      </c>
      <c r="N19" s="39" t="s">
        <v>26</v>
      </c>
      <c r="O19" s="39" t="s">
        <v>26</v>
      </c>
      <c r="P19" s="39">
        <v>2</v>
      </c>
      <c r="BO19" t="e">
        <f t="shared" si="3"/>
        <v>#VALUE!</v>
      </c>
      <c r="BP19" t="e">
        <f t="shared" si="0"/>
        <v>#VALUE!</v>
      </c>
      <c r="BQ19" t="e">
        <f t="shared" si="0"/>
        <v>#VALUE!</v>
      </c>
      <c r="BR19">
        <f t="shared" si="0"/>
        <v>0</v>
      </c>
      <c r="BS19" t="e">
        <f t="shared" si="0"/>
        <v>#DIV/0!</v>
      </c>
      <c r="BT19" t="e">
        <f t="shared" si="0"/>
        <v>#DIV/0!</v>
      </c>
      <c r="BU19" t="e">
        <f t="shared" si="0"/>
        <v>#DIV/0!</v>
      </c>
      <c r="BX19">
        <f t="shared" si="4"/>
        <v>0</v>
      </c>
      <c r="BY19">
        <f t="shared" si="1"/>
        <v>0</v>
      </c>
      <c r="BZ19">
        <f t="shared" si="1"/>
        <v>0</v>
      </c>
      <c r="CA19">
        <f t="shared" si="1"/>
        <v>0</v>
      </c>
      <c r="CB19">
        <f t="shared" si="1"/>
        <v>0</v>
      </c>
      <c r="CC19">
        <f t="shared" si="1"/>
        <v>0</v>
      </c>
      <c r="CD19">
        <f t="shared" si="1"/>
        <v>0</v>
      </c>
      <c r="CG19" t="e">
        <f t="shared" si="5"/>
        <v>#VALUE!</v>
      </c>
      <c r="CH19" t="e">
        <f t="shared" si="2"/>
        <v>#VALUE!</v>
      </c>
      <c r="CI19" t="e">
        <f t="shared" si="2"/>
        <v>#VALUE!</v>
      </c>
      <c r="CJ19" t="e">
        <f t="shared" si="2"/>
        <v>#VALUE!</v>
      </c>
      <c r="CK19" t="e">
        <f t="shared" si="2"/>
        <v>#DIV/0!</v>
      </c>
      <c r="CL19" t="e">
        <f t="shared" si="2"/>
        <v>#DIV/0!</v>
      </c>
      <c r="CM19" t="e">
        <f t="shared" si="2"/>
        <v>#DIV/0!</v>
      </c>
    </row>
    <row r="20" spans="6:91" ht="15" thickBot="1" x14ac:dyDescent="0.35">
      <c r="F20" s="39" t="s">
        <v>24</v>
      </c>
      <c r="G20" s="39" t="s">
        <v>24</v>
      </c>
      <c r="H20" s="39" t="s">
        <v>28</v>
      </c>
      <c r="I20" s="39" t="s">
        <v>26</v>
      </c>
      <c r="J20" s="39" t="s">
        <v>27</v>
      </c>
      <c r="K20" s="39" t="s">
        <v>26</v>
      </c>
      <c r="L20" s="39" t="s">
        <v>26</v>
      </c>
      <c r="M20" s="39" t="s">
        <v>26</v>
      </c>
      <c r="N20" s="39" t="s">
        <v>26</v>
      </c>
      <c r="O20" s="39" t="s">
        <v>26</v>
      </c>
      <c r="P20" s="39">
        <v>2</v>
      </c>
      <c r="BO20" t="e">
        <f t="shared" si="3"/>
        <v>#VALUE!</v>
      </c>
      <c r="BP20" t="e">
        <f t="shared" si="0"/>
        <v>#VALUE!</v>
      </c>
      <c r="BQ20" t="e">
        <f t="shared" si="0"/>
        <v>#VALUE!</v>
      </c>
      <c r="BR20">
        <f t="shared" si="0"/>
        <v>0</v>
      </c>
      <c r="BS20" t="e">
        <f t="shared" si="0"/>
        <v>#DIV/0!</v>
      </c>
      <c r="BT20" t="e">
        <f t="shared" si="0"/>
        <v>#DIV/0!</v>
      </c>
      <c r="BU20" t="e">
        <f t="shared" si="0"/>
        <v>#DIV/0!</v>
      </c>
      <c r="BX20">
        <f t="shared" si="4"/>
        <v>0</v>
      </c>
      <c r="BY20">
        <f t="shared" si="1"/>
        <v>0</v>
      </c>
      <c r="BZ20">
        <f t="shared" si="1"/>
        <v>0</v>
      </c>
      <c r="CA20">
        <f t="shared" si="1"/>
        <v>0</v>
      </c>
      <c r="CB20">
        <f t="shared" si="1"/>
        <v>0</v>
      </c>
      <c r="CC20">
        <f t="shared" si="1"/>
        <v>0</v>
      </c>
      <c r="CD20">
        <f t="shared" si="1"/>
        <v>0</v>
      </c>
      <c r="CG20" t="e">
        <f t="shared" si="5"/>
        <v>#VALUE!</v>
      </c>
      <c r="CH20" t="e">
        <f t="shared" si="2"/>
        <v>#VALUE!</v>
      </c>
      <c r="CI20" t="e">
        <f t="shared" si="2"/>
        <v>#VALUE!</v>
      </c>
      <c r="CJ20" t="e">
        <f t="shared" si="2"/>
        <v>#VALUE!</v>
      </c>
      <c r="CK20" t="e">
        <f t="shared" si="2"/>
        <v>#DIV/0!</v>
      </c>
      <c r="CL20" t="e">
        <f t="shared" si="2"/>
        <v>#DIV/0!</v>
      </c>
      <c r="CM20" t="e">
        <f t="shared" si="2"/>
        <v>#DIV/0!</v>
      </c>
    </row>
    <row r="21" spans="6:91" ht="15" thickBot="1" x14ac:dyDescent="0.35">
      <c r="F21" s="39" t="s">
        <v>24</v>
      </c>
      <c r="G21" s="39" t="s">
        <v>24</v>
      </c>
      <c r="H21" s="39" t="s">
        <v>29</v>
      </c>
      <c r="I21" s="39" t="s">
        <v>26</v>
      </c>
      <c r="J21" s="39" t="s">
        <v>26</v>
      </c>
      <c r="K21" s="39" t="s">
        <v>27</v>
      </c>
      <c r="L21" s="39" t="s">
        <v>26</v>
      </c>
      <c r="M21" s="39" t="s">
        <v>27</v>
      </c>
      <c r="N21" s="39" t="s">
        <v>26</v>
      </c>
      <c r="O21" s="39" t="s">
        <v>26</v>
      </c>
      <c r="P21" s="39">
        <v>2</v>
      </c>
      <c r="BO21" t="e">
        <f t="shared" si="3"/>
        <v>#VALUE!</v>
      </c>
      <c r="BP21" t="e">
        <f t="shared" ref="BP21:BP48" si="6">(BG21*(1800*AF21))/N21</f>
        <v>#VALUE!</v>
      </c>
      <c r="BQ21" t="e">
        <f t="shared" ref="BQ21:BQ48" si="7">(BH21*(1800*AG21))/O21</f>
        <v>#VALUE!</v>
      </c>
      <c r="BR21">
        <f t="shared" ref="BR21:BR48" si="8">(BI21*(1800*AH21))/P21</f>
        <v>0</v>
      </c>
      <c r="BS21" t="e">
        <f t="shared" ref="BS21:BS52" si="9">(BJ21*(1800*AI21))/Q21</f>
        <v>#DIV/0!</v>
      </c>
      <c r="BT21" t="e">
        <f t="shared" ref="BT21:BT52" si="10">(BK21*(1800*AJ21))/R21</f>
        <v>#DIV/0!</v>
      </c>
      <c r="BU21" t="e">
        <f t="shared" ref="BU21:BU52" si="11">(BL21*(1800*AK21))/S21</f>
        <v>#DIV/0!</v>
      </c>
      <c r="BX21">
        <f t="shared" si="4"/>
        <v>0</v>
      </c>
      <c r="BY21">
        <f t="shared" ref="BY21:BY52" si="12">BG21-AO21</f>
        <v>0</v>
      </c>
      <c r="BZ21">
        <f t="shared" ref="BZ21:BZ52" si="13">BH21-AP21</f>
        <v>0</v>
      </c>
      <c r="CA21">
        <f t="shared" ref="CA21:CA52" si="14">BI21-AQ21</f>
        <v>0</v>
      </c>
      <c r="CB21">
        <f t="shared" ref="CB21:CB52" si="15">BJ21-AR21</f>
        <v>0</v>
      </c>
      <c r="CC21">
        <f t="shared" ref="CC21:CC52" si="16">BK21-AS21</f>
        <v>0</v>
      </c>
      <c r="CD21">
        <f t="shared" ref="CD21:CD52" si="17">BL21-AT21</f>
        <v>0</v>
      </c>
      <c r="CG21" t="e">
        <f t="shared" si="5"/>
        <v>#VALUE!</v>
      </c>
      <c r="CH21" t="e">
        <f t="shared" ref="CH21:CH52" si="18">BP21-E21</f>
        <v>#VALUE!</v>
      </c>
      <c r="CI21" t="e">
        <f t="shared" ref="CI21:CI52" si="19">BQ21-F21</f>
        <v>#VALUE!</v>
      </c>
      <c r="CJ21" t="e">
        <f t="shared" ref="CJ21:CJ51" si="20">BR21-G21</f>
        <v>#VALUE!</v>
      </c>
      <c r="CK21" t="e">
        <f t="shared" ref="CK21:CK48" si="21">BS21-H21</f>
        <v>#DIV/0!</v>
      </c>
      <c r="CL21" t="e">
        <f t="shared" ref="CL21:CL48" si="22">BT21-I21</f>
        <v>#DIV/0!</v>
      </c>
      <c r="CM21" t="e">
        <f t="shared" ref="CM21:CM48" si="23">BU21-J21</f>
        <v>#DIV/0!</v>
      </c>
    </row>
    <row r="22" spans="6:91" ht="15" thickBot="1" x14ac:dyDescent="0.35">
      <c r="F22" s="39" t="s">
        <v>24</v>
      </c>
      <c r="G22" s="39" t="s">
        <v>24</v>
      </c>
      <c r="H22" s="39" t="s">
        <v>25</v>
      </c>
      <c r="I22" s="39" t="s">
        <v>26</v>
      </c>
      <c r="J22" s="39" t="s">
        <v>26</v>
      </c>
      <c r="K22" s="39" t="s">
        <v>26</v>
      </c>
      <c r="L22" s="39" t="s">
        <v>26</v>
      </c>
      <c r="M22" s="39" t="s">
        <v>27</v>
      </c>
      <c r="N22" s="39" t="s">
        <v>26</v>
      </c>
      <c r="O22" s="39" t="s">
        <v>26</v>
      </c>
      <c r="P22" s="39">
        <v>2</v>
      </c>
      <c r="BO22" t="e">
        <f t="shared" si="3"/>
        <v>#VALUE!</v>
      </c>
      <c r="BP22" t="e">
        <f t="shared" si="6"/>
        <v>#VALUE!</v>
      </c>
      <c r="BQ22" t="e">
        <f t="shared" si="7"/>
        <v>#VALUE!</v>
      </c>
      <c r="BR22">
        <f t="shared" si="8"/>
        <v>0</v>
      </c>
      <c r="BS22" t="e">
        <f t="shared" si="9"/>
        <v>#DIV/0!</v>
      </c>
      <c r="BT22" t="e">
        <f t="shared" si="10"/>
        <v>#DIV/0!</v>
      </c>
      <c r="BU22" t="e">
        <f t="shared" si="11"/>
        <v>#DIV/0!</v>
      </c>
      <c r="BX22">
        <f t="shared" si="4"/>
        <v>0</v>
      </c>
      <c r="BY22">
        <f t="shared" si="12"/>
        <v>0</v>
      </c>
      <c r="BZ22">
        <f t="shared" si="13"/>
        <v>0</v>
      </c>
      <c r="CA22">
        <f t="shared" si="14"/>
        <v>0</v>
      </c>
      <c r="CB22">
        <f t="shared" si="15"/>
        <v>0</v>
      </c>
      <c r="CC22">
        <f t="shared" si="16"/>
        <v>0</v>
      </c>
      <c r="CD22">
        <f t="shared" si="17"/>
        <v>0</v>
      </c>
      <c r="CG22" t="e">
        <f t="shared" si="5"/>
        <v>#VALUE!</v>
      </c>
      <c r="CH22" t="e">
        <f t="shared" si="18"/>
        <v>#VALUE!</v>
      </c>
      <c r="CI22" t="e">
        <f t="shared" si="19"/>
        <v>#VALUE!</v>
      </c>
      <c r="CJ22" t="e">
        <f t="shared" si="20"/>
        <v>#VALUE!</v>
      </c>
      <c r="CK22" t="e">
        <f t="shared" si="21"/>
        <v>#DIV/0!</v>
      </c>
      <c r="CL22" t="e">
        <f t="shared" si="22"/>
        <v>#DIV/0!</v>
      </c>
      <c r="CM22" t="e">
        <f t="shared" si="23"/>
        <v>#DIV/0!</v>
      </c>
    </row>
    <row r="23" spans="6:91" ht="15" thickBot="1" x14ac:dyDescent="0.35">
      <c r="F23" s="39" t="s">
        <v>24</v>
      </c>
      <c r="G23" s="39" t="s">
        <v>24</v>
      </c>
      <c r="H23" s="39" t="s">
        <v>28</v>
      </c>
      <c r="I23" s="39" t="s">
        <v>26</v>
      </c>
      <c r="J23" s="39" t="s">
        <v>26</v>
      </c>
      <c r="K23" s="39" t="s">
        <v>26</v>
      </c>
      <c r="L23" s="39" t="s">
        <v>26</v>
      </c>
      <c r="M23" s="39" t="s">
        <v>27</v>
      </c>
      <c r="N23" s="39" t="s">
        <v>27</v>
      </c>
      <c r="O23" s="39" t="s">
        <v>27</v>
      </c>
      <c r="P23" s="39">
        <v>2</v>
      </c>
      <c r="BO23" t="e">
        <f t="shared" si="3"/>
        <v>#VALUE!</v>
      </c>
      <c r="BP23" t="e">
        <f t="shared" si="6"/>
        <v>#VALUE!</v>
      </c>
      <c r="BQ23" t="e">
        <f t="shared" si="7"/>
        <v>#VALUE!</v>
      </c>
      <c r="BR23">
        <f t="shared" si="8"/>
        <v>0</v>
      </c>
      <c r="BS23" t="e">
        <f t="shared" si="9"/>
        <v>#DIV/0!</v>
      </c>
      <c r="BT23" t="e">
        <f t="shared" si="10"/>
        <v>#DIV/0!</v>
      </c>
      <c r="BU23" t="e">
        <f t="shared" si="11"/>
        <v>#DIV/0!</v>
      </c>
      <c r="BX23">
        <f t="shared" si="4"/>
        <v>0</v>
      </c>
      <c r="BY23">
        <f t="shared" si="12"/>
        <v>0</v>
      </c>
      <c r="BZ23">
        <f t="shared" si="13"/>
        <v>0</v>
      </c>
      <c r="CA23">
        <f t="shared" si="14"/>
        <v>0</v>
      </c>
      <c r="CB23">
        <f t="shared" si="15"/>
        <v>0</v>
      </c>
      <c r="CC23">
        <f t="shared" si="16"/>
        <v>0</v>
      </c>
      <c r="CD23">
        <f t="shared" si="17"/>
        <v>0</v>
      </c>
      <c r="CG23" t="e">
        <f t="shared" si="5"/>
        <v>#VALUE!</v>
      </c>
      <c r="CH23" t="e">
        <f t="shared" si="18"/>
        <v>#VALUE!</v>
      </c>
      <c r="CI23" t="e">
        <f t="shared" si="19"/>
        <v>#VALUE!</v>
      </c>
      <c r="CJ23" t="e">
        <f t="shared" si="20"/>
        <v>#VALUE!</v>
      </c>
      <c r="CK23" t="e">
        <f t="shared" si="21"/>
        <v>#DIV/0!</v>
      </c>
      <c r="CL23" t="e">
        <f t="shared" si="22"/>
        <v>#DIV/0!</v>
      </c>
      <c r="CM23" t="e">
        <f t="shared" si="23"/>
        <v>#DIV/0!</v>
      </c>
    </row>
    <row r="24" spans="6:91" ht="15" thickBot="1" x14ac:dyDescent="0.35">
      <c r="F24" s="39" t="s">
        <v>24</v>
      </c>
      <c r="G24" s="39" t="s">
        <v>24</v>
      </c>
      <c r="H24" s="39" t="s">
        <v>29</v>
      </c>
      <c r="I24" s="39" t="s">
        <v>27</v>
      </c>
      <c r="J24" s="39" t="s">
        <v>27</v>
      </c>
      <c r="K24" s="39" t="s">
        <v>27</v>
      </c>
      <c r="L24" s="39" t="s">
        <v>26</v>
      </c>
      <c r="M24" s="39" t="s">
        <v>26</v>
      </c>
      <c r="N24" s="39" t="s">
        <v>26</v>
      </c>
      <c r="O24" s="39" t="s">
        <v>26</v>
      </c>
      <c r="P24" s="39">
        <v>2</v>
      </c>
      <c r="BO24" t="e">
        <f t="shared" si="3"/>
        <v>#VALUE!</v>
      </c>
      <c r="BP24" t="e">
        <f t="shared" si="6"/>
        <v>#VALUE!</v>
      </c>
      <c r="BQ24" t="e">
        <f t="shared" si="7"/>
        <v>#VALUE!</v>
      </c>
      <c r="BR24">
        <f t="shared" si="8"/>
        <v>0</v>
      </c>
      <c r="BS24" t="e">
        <f t="shared" si="9"/>
        <v>#DIV/0!</v>
      </c>
      <c r="BT24" t="e">
        <f t="shared" si="10"/>
        <v>#DIV/0!</v>
      </c>
      <c r="BU24" t="e">
        <f t="shared" si="11"/>
        <v>#DIV/0!</v>
      </c>
      <c r="BX24">
        <f t="shared" si="4"/>
        <v>0</v>
      </c>
      <c r="BY24">
        <f t="shared" si="12"/>
        <v>0</v>
      </c>
      <c r="BZ24">
        <f t="shared" si="13"/>
        <v>0</v>
      </c>
      <c r="CA24">
        <f t="shared" si="14"/>
        <v>0</v>
      </c>
      <c r="CB24">
        <f t="shared" si="15"/>
        <v>0</v>
      </c>
      <c r="CC24">
        <f t="shared" si="16"/>
        <v>0</v>
      </c>
      <c r="CD24">
        <f t="shared" si="17"/>
        <v>0</v>
      </c>
      <c r="CG24" t="e">
        <f t="shared" si="5"/>
        <v>#VALUE!</v>
      </c>
      <c r="CH24" t="e">
        <f t="shared" si="18"/>
        <v>#VALUE!</v>
      </c>
      <c r="CI24" t="e">
        <f t="shared" si="19"/>
        <v>#VALUE!</v>
      </c>
      <c r="CJ24" t="e">
        <f t="shared" si="20"/>
        <v>#VALUE!</v>
      </c>
      <c r="CK24" t="e">
        <f t="shared" si="21"/>
        <v>#DIV/0!</v>
      </c>
      <c r="CL24" t="e">
        <f t="shared" si="22"/>
        <v>#DIV/0!</v>
      </c>
      <c r="CM24" t="e">
        <f t="shared" si="23"/>
        <v>#DIV/0!</v>
      </c>
    </row>
    <row r="25" spans="6:91" ht="15" thickBot="1" x14ac:dyDescent="0.35">
      <c r="F25" s="39" t="s">
        <v>24</v>
      </c>
      <c r="G25" s="39" t="s">
        <v>24</v>
      </c>
      <c r="H25" s="39" t="s">
        <v>25</v>
      </c>
      <c r="I25" s="39" t="s">
        <v>26</v>
      </c>
      <c r="J25" s="39" t="s">
        <v>27</v>
      </c>
      <c r="K25" s="39" t="s">
        <v>26</v>
      </c>
      <c r="L25" s="39" t="s">
        <v>26</v>
      </c>
      <c r="M25" s="39" t="s">
        <v>26</v>
      </c>
      <c r="N25" s="39" t="s">
        <v>26</v>
      </c>
      <c r="O25" s="39" t="s">
        <v>26</v>
      </c>
      <c r="P25" s="39">
        <v>2</v>
      </c>
      <c r="BO25" t="e">
        <f t="shared" si="3"/>
        <v>#VALUE!</v>
      </c>
      <c r="BP25" t="e">
        <f t="shared" si="6"/>
        <v>#VALUE!</v>
      </c>
      <c r="BQ25" t="e">
        <f t="shared" si="7"/>
        <v>#VALUE!</v>
      </c>
      <c r="BR25">
        <f t="shared" si="8"/>
        <v>0</v>
      </c>
      <c r="BS25" t="e">
        <f t="shared" si="9"/>
        <v>#DIV/0!</v>
      </c>
      <c r="BT25" t="e">
        <f t="shared" si="10"/>
        <v>#DIV/0!</v>
      </c>
      <c r="BU25" t="e">
        <f t="shared" si="11"/>
        <v>#DIV/0!</v>
      </c>
      <c r="BX25">
        <f t="shared" si="4"/>
        <v>0</v>
      </c>
      <c r="BY25">
        <f t="shared" si="12"/>
        <v>0</v>
      </c>
      <c r="BZ25">
        <f t="shared" si="13"/>
        <v>0</v>
      </c>
      <c r="CA25">
        <f t="shared" si="14"/>
        <v>0</v>
      </c>
      <c r="CB25">
        <f t="shared" si="15"/>
        <v>0</v>
      </c>
      <c r="CC25">
        <f t="shared" si="16"/>
        <v>0</v>
      </c>
      <c r="CD25">
        <f t="shared" si="17"/>
        <v>0</v>
      </c>
      <c r="CG25" t="e">
        <f t="shared" si="5"/>
        <v>#VALUE!</v>
      </c>
      <c r="CH25" t="e">
        <f t="shared" si="18"/>
        <v>#VALUE!</v>
      </c>
      <c r="CI25" t="e">
        <f t="shared" si="19"/>
        <v>#VALUE!</v>
      </c>
      <c r="CJ25" t="e">
        <f t="shared" si="20"/>
        <v>#VALUE!</v>
      </c>
      <c r="CK25" t="e">
        <f t="shared" si="21"/>
        <v>#DIV/0!</v>
      </c>
      <c r="CL25" t="e">
        <f t="shared" si="22"/>
        <v>#DIV/0!</v>
      </c>
      <c r="CM25" t="e">
        <f t="shared" si="23"/>
        <v>#DIV/0!</v>
      </c>
    </row>
    <row r="26" spans="6:91" ht="15" thickBot="1" x14ac:dyDescent="0.35">
      <c r="F26" s="39" t="s">
        <v>24</v>
      </c>
      <c r="G26" s="39" t="s">
        <v>24</v>
      </c>
      <c r="H26" s="39" t="s">
        <v>28</v>
      </c>
      <c r="I26" s="39" t="s">
        <v>26</v>
      </c>
      <c r="J26" s="39" t="s">
        <v>26</v>
      </c>
      <c r="K26" s="39" t="s">
        <v>27</v>
      </c>
      <c r="L26" s="39" t="s">
        <v>26</v>
      </c>
      <c r="M26" s="39" t="s">
        <v>27</v>
      </c>
      <c r="N26" s="39" t="s">
        <v>26</v>
      </c>
      <c r="O26" s="39" t="s">
        <v>26</v>
      </c>
      <c r="P26" s="39">
        <v>2</v>
      </c>
      <c r="BO26" t="e">
        <f t="shared" si="3"/>
        <v>#VALUE!</v>
      </c>
      <c r="BP26" t="e">
        <f t="shared" si="6"/>
        <v>#VALUE!</v>
      </c>
      <c r="BQ26" t="e">
        <f t="shared" si="7"/>
        <v>#VALUE!</v>
      </c>
      <c r="BR26">
        <f t="shared" si="8"/>
        <v>0</v>
      </c>
      <c r="BS26" t="e">
        <f t="shared" si="9"/>
        <v>#DIV/0!</v>
      </c>
      <c r="BT26" t="e">
        <f t="shared" si="10"/>
        <v>#DIV/0!</v>
      </c>
      <c r="BU26" t="e">
        <f t="shared" si="11"/>
        <v>#DIV/0!</v>
      </c>
      <c r="BX26">
        <f t="shared" si="4"/>
        <v>0</v>
      </c>
      <c r="BY26">
        <f t="shared" si="12"/>
        <v>0</v>
      </c>
      <c r="BZ26">
        <f t="shared" si="13"/>
        <v>0</v>
      </c>
      <c r="CA26">
        <f t="shared" si="14"/>
        <v>0</v>
      </c>
      <c r="CB26">
        <f t="shared" si="15"/>
        <v>0</v>
      </c>
      <c r="CC26">
        <f t="shared" si="16"/>
        <v>0</v>
      </c>
      <c r="CD26">
        <f t="shared" si="17"/>
        <v>0</v>
      </c>
      <c r="CG26" t="e">
        <f t="shared" si="5"/>
        <v>#VALUE!</v>
      </c>
      <c r="CH26" t="e">
        <f t="shared" si="18"/>
        <v>#VALUE!</v>
      </c>
      <c r="CI26" t="e">
        <f t="shared" si="19"/>
        <v>#VALUE!</v>
      </c>
      <c r="CJ26" t="e">
        <f t="shared" si="20"/>
        <v>#VALUE!</v>
      </c>
      <c r="CK26" t="e">
        <f t="shared" si="21"/>
        <v>#DIV/0!</v>
      </c>
      <c r="CL26" t="e">
        <f t="shared" si="22"/>
        <v>#DIV/0!</v>
      </c>
      <c r="CM26" t="e">
        <f t="shared" si="23"/>
        <v>#DIV/0!</v>
      </c>
    </row>
    <row r="27" spans="6:91" ht="15" thickBot="1" x14ac:dyDescent="0.35">
      <c r="F27" s="39" t="s">
        <v>24</v>
      </c>
      <c r="G27" s="39" t="s">
        <v>24</v>
      </c>
      <c r="H27" s="39" t="s">
        <v>29</v>
      </c>
      <c r="I27" s="39" t="s">
        <v>26</v>
      </c>
      <c r="J27" s="39" t="s">
        <v>26</v>
      </c>
      <c r="K27" s="39" t="s">
        <v>26</v>
      </c>
      <c r="L27" s="39" t="s">
        <v>26</v>
      </c>
      <c r="M27" s="39" t="s">
        <v>26</v>
      </c>
      <c r="N27" s="39" t="s">
        <v>27</v>
      </c>
      <c r="O27" s="39" t="s">
        <v>26</v>
      </c>
      <c r="P27" s="39">
        <v>2</v>
      </c>
      <c r="BO27" t="e">
        <f t="shared" si="3"/>
        <v>#VALUE!</v>
      </c>
      <c r="BP27" t="e">
        <f t="shared" si="6"/>
        <v>#VALUE!</v>
      </c>
      <c r="BQ27" t="e">
        <f t="shared" si="7"/>
        <v>#VALUE!</v>
      </c>
      <c r="BR27">
        <f t="shared" si="8"/>
        <v>0</v>
      </c>
      <c r="BS27" t="e">
        <f t="shared" si="9"/>
        <v>#DIV/0!</v>
      </c>
      <c r="BT27" t="e">
        <f t="shared" si="10"/>
        <v>#DIV/0!</v>
      </c>
      <c r="BU27" t="e">
        <f t="shared" si="11"/>
        <v>#DIV/0!</v>
      </c>
      <c r="BX27">
        <f t="shared" si="4"/>
        <v>0</v>
      </c>
      <c r="BY27">
        <f t="shared" si="12"/>
        <v>0</v>
      </c>
      <c r="BZ27">
        <f t="shared" si="13"/>
        <v>0</v>
      </c>
      <c r="CA27">
        <f t="shared" si="14"/>
        <v>0</v>
      </c>
      <c r="CB27">
        <f t="shared" si="15"/>
        <v>0</v>
      </c>
      <c r="CC27">
        <f t="shared" si="16"/>
        <v>0</v>
      </c>
      <c r="CD27">
        <f t="shared" si="17"/>
        <v>0</v>
      </c>
      <c r="CG27" t="e">
        <f t="shared" si="5"/>
        <v>#VALUE!</v>
      </c>
      <c r="CH27" t="e">
        <f t="shared" si="18"/>
        <v>#VALUE!</v>
      </c>
      <c r="CI27" t="e">
        <f t="shared" si="19"/>
        <v>#VALUE!</v>
      </c>
      <c r="CJ27" t="e">
        <f t="shared" si="20"/>
        <v>#VALUE!</v>
      </c>
      <c r="CK27" t="e">
        <f t="shared" si="21"/>
        <v>#DIV/0!</v>
      </c>
      <c r="CL27" t="e">
        <f t="shared" si="22"/>
        <v>#DIV/0!</v>
      </c>
      <c r="CM27" t="e">
        <f t="shared" si="23"/>
        <v>#DIV/0!</v>
      </c>
    </row>
    <row r="28" spans="6:91" ht="15" thickBot="1" x14ac:dyDescent="0.35">
      <c r="F28" s="39" t="s">
        <v>24</v>
      </c>
      <c r="G28" s="39" t="s">
        <v>24</v>
      </c>
      <c r="H28" s="39" t="s">
        <v>25</v>
      </c>
      <c r="I28" s="39" t="s">
        <v>27</v>
      </c>
      <c r="J28" s="39" t="s">
        <v>26</v>
      </c>
      <c r="K28" s="39" t="s">
        <v>26</v>
      </c>
      <c r="L28" s="39" t="s">
        <v>26</v>
      </c>
      <c r="M28" s="39" t="s">
        <v>27</v>
      </c>
      <c r="N28" s="39" t="s">
        <v>27</v>
      </c>
      <c r="O28" s="39" t="s">
        <v>27</v>
      </c>
      <c r="P28" s="39">
        <v>2</v>
      </c>
      <c r="BO28" t="e">
        <f t="shared" si="3"/>
        <v>#VALUE!</v>
      </c>
      <c r="BP28" t="e">
        <f t="shared" si="6"/>
        <v>#VALUE!</v>
      </c>
      <c r="BQ28" t="e">
        <f t="shared" si="7"/>
        <v>#VALUE!</v>
      </c>
      <c r="BR28">
        <f t="shared" si="8"/>
        <v>0</v>
      </c>
      <c r="BS28" t="e">
        <f t="shared" si="9"/>
        <v>#DIV/0!</v>
      </c>
      <c r="BT28" t="e">
        <f t="shared" si="10"/>
        <v>#DIV/0!</v>
      </c>
      <c r="BU28" t="e">
        <f t="shared" si="11"/>
        <v>#DIV/0!</v>
      </c>
      <c r="BX28">
        <f t="shared" si="4"/>
        <v>0</v>
      </c>
      <c r="BY28">
        <f t="shared" si="12"/>
        <v>0</v>
      </c>
      <c r="BZ28">
        <f t="shared" si="13"/>
        <v>0</v>
      </c>
      <c r="CA28">
        <f t="shared" si="14"/>
        <v>0</v>
      </c>
      <c r="CB28">
        <f t="shared" si="15"/>
        <v>0</v>
      </c>
      <c r="CC28">
        <f t="shared" si="16"/>
        <v>0</v>
      </c>
      <c r="CD28">
        <f t="shared" si="17"/>
        <v>0</v>
      </c>
      <c r="CG28" t="e">
        <f t="shared" si="5"/>
        <v>#VALUE!</v>
      </c>
      <c r="CH28" t="e">
        <f t="shared" si="18"/>
        <v>#VALUE!</v>
      </c>
      <c r="CI28" t="e">
        <f t="shared" si="19"/>
        <v>#VALUE!</v>
      </c>
      <c r="CJ28" t="e">
        <f t="shared" si="20"/>
        <v>#VALUE!</v>
      </c>
      <c r="CK28" t="e">
        <f t="shared" si="21"/>
        <v>#DIV/0!</v>
      </c>
      <c r="CL28" t="e">
        <f t="shared" si="22"/>
        <v>#DIV/0!</v>
      </c>
      <c r="CM28" t="e">
        <f t="shared" si="23"/>
        <v>#DIV/0!</v>
      </c>
    </row>
    <row r="29" spans="6:91" ht="15" thickBot="1" x14ac:dyDescent="0.35">
      <c r="F29" s="39" t="s">
        <v>24</v>
      </c>
      <c r="G29" s="39" t="s">
        <v>24</v>
      </c>
      <c r="H29" s="39" t="s">
        <v>28</v>
      </c>
      <c r="I29" s="39" t="s">
        <v>27</v>
      </c>
      <c r="J29" s="39" t="s">
        <v>27</v>
      </c>
      <c r="K29" s="39" t="s">
        <v>27</v>
      </c>
      <c r="L29" s="39" t="s">
        <v>26</v>
      </c>
      <c r="M29" s="39" t="s">
        <v>26</v>
      </c>
      <c r="N29" s="39" t="s">
        <v>26</v>
      </c>
      <c r="O29" s="39" t="s">
        <v>26</v>
      </c>
      <c r="P29" s="39">
        <v>2</v>
      </c>
      <c r="BO29" t="e">
        <f t="shared" si="3"/>
        <v>#VALUE!</v>
      </c>
      <c r="BP29" t="e">
        <f t="shared" si="6"/>
        <v>#VALUE!</v>
      </c>
      <c r="BQ29" t="e">
        <f t="shared" si="7"/>
        <v>#VALUE!</v>
      </c>
      <c r="BR29">
        <f t="shared" si="8"/>
        <v>0</v>
      </c>
      <c r="BS29" t="e">
        <f t="shared" si="9"/>
        <v>#DIV/0!</v>
      </c>
      <c r="BT29" t="e">
        <f t="shared" si="10"/>
        <v>#DIV/0!</v>
      </c>
      <c r="BU29" t="e">
        <f t="shared" si="11"/>
        <v>#DIV/0!</v>
      </c>
      <c r="BX29">
        <f t="shared" si="4"/>
        <v>0</v>
      </c>
      <c r="BY29">
        <f t="shared" si="12"/>
        <v>0</v>
      </c>
      <c r="BZ29">
        <f t="shared" si="13"/>
        <v>0</v>
      </c>
      <c r="CA29">
        <f t="shared" si="14"/>
        <v>0</v>
      </c>
      <c r="CB29">
        <f t="shared" si="15"/>
        <v>0</v>
      </c>
      <c r="CC29">
        <f t="shared" si="16"/>
        <v>0</v>
      </c>
      <c r="CD29">
        <f t="shared" si="17"/>
        <v>0</v>
      </c>
      <c r="CG29" t="e">
        <f t="shared" si="5"/>
        <v>#VALUE!</v>
      </c>
      <c r="CH29" t="e">
        <f t="shared" si="18"/>
        <v>#VALUE!</v>
      </c>
      <c r="CI29" t="e">
        <f t="shared" si="19"/>
        <v>#VALUE!</v>
      </c>
      <c r="CJ29" t="e">
        <f t="shared" si="20"/>
        <v>#VALUE!</v>
      </c>
      <c r="CK29" t="e">
        <f t="shared" si="21"/>
        <v>#DIV/0!</v>
      </c>
      <c r="CL29" t="e">
        <f t="shared" si="22"/>
        <v>#DIV/0!</v>
      </c>
      <c r="CM29" t="e">
        <f t="shared" si="23"/>
        <v>#DIV/0!</v>
      </c>
    </row>
    <row r="30" spans="6:91" ht="15" thickBot="1" x14ac:dyDescent="0.35">
      <c r="F30" s="39" t="s">
        <v>24</v>
      </c>
      <c r="G30" s="39" t="s">
        <v>24</v>
      </c>
      <c r="H30" s="39" t="s">
        <v>29</v>
      </c>
      <c r="I30" s="39" t="s">
        <v>26</v>
      </c>
      <c r="J30" s="39" t="s">
        <v>27</v>
      </c>
      <c r="K30" s="39" t="s">
        <v>26</v>
      </c>
      <c r="L30" s="39" t="s">
        <v>27</v>
      </c>
      <c r="M30" s="39" t="s">
        <v>26</v>
      </c>
      <c r="N30" s="39" t="s">
        <v>26</v>
      </c>
      <c r="O30" s="39" t="s">
        <v>26</v>
      </c>
      <c r="P30" s="39">
        <v>2</v>
      </c>
      <c r="BO30" t="e">
        <f t="shared" si="3"/>
        <v>#VALUE!</v>
      </c>
      <c r="BP30" t="e">
        <f t="shared" si="6"/>
        <v>#VALUE!</v>
      </c>
      <c r="BQ30" t="e">
        <f t="shared" si="7"/>
        <v>#VALUE!</v>
      </c>
      <c r="BR30">
        <f t="shared" si="8"/>
        <v>0</v>
      </c>
      <c r="BS30" t="e">
        <f t="shared" si="9"/>
        <v>#DIV/0!</v>
      </c>
      <c r="BT30" t="e">
        <f t="shared" si="10"/>
        <v>#DIV/0!</v>
      </c>
      <c r="BU30" t="e">
        <f t="shared" si="11"/>
        <v>#DIV/0!</v>
      </c>
      <c r="BX30">
        <f t="shared" si="4"/>
        <v>0</v>
      </c>
      <c r="BY30">
        <f t="shared" si="12"/>
        <v>0</v>
      </c>
      <c r="BZ30">
        <f t="shared" si="13"/>
        <v>0</v>
      </c>
      <c r="CA30">
        <f t="shared" si="14"/>
        <v>0</v>
      </c>
      <c r="CB30">
        <f t="shared" si="15"/>
        <v>0</v>
      </c>
      <c r="CC30">
        <f t="shared" si="16"/>
        <v>0</v>
      </c>
      <c r="CD30">
        <f t="shared" si="17"/>
        <v>0</v>
      </c>
      <c r="CG30" t="e">
        <f t="shared" si="5"/>
        <v>#VALUE!</v>
      </c>
      <c r="CH30" t="e">
        <f t="shared" si="18"/>
        <v>#VALUE!</v>
      </c>
      <c r="CI30" t="e">
        <f t="shared" si="19"/>
        <v>#VALUE!</v>
      </c>
      <c r="CJ30" t="e">
        <f t="shared" si="20"/>
        <v>#VALUE!</v>
      </c>
      <c r="CK30" t="e">
        <f t="shared" si="21"/>
        <v>#DIV/0!</v>
      </c>
      <c r="CL30" t="e">
        <f t="shared" si="22"/>
        <v>#DIV/0!</v>
      </c>
      <c r="CM30" t="e">
        <f t="shared" si="23"/>
        <v>#DIV/0!</v>
      </c>
    </row>
    <row r="31" spans="6:91" ht="15" thickBot="1" x14ac:dyDescent="0.35">
      <c r="F31" s="39" t="s">
        <v>24</v>
      </c>
      <c r="G31" s="39" t="s">
        <v>24</v>
      </c>
      <c r="H31" s="39" t="s">
        <v>25</v>
      </c>
      <c r="I31" s="39" t="s">
        <v>26</v>
      </c>
      <c r="J31" s="39" t="s">
        <v>26</v>
      </c>
      <c r="K31" s="39" t="s">
        <v>27</v>
      </c>
      <c r="L31" s="39" t="s">
        <v>26</v>
      </c>
      <c r="M31" s="39" t="s">
        <v>27</v>
      </c>
      <c r="N31" s="39" t="s">
        <v>26</v>
      </c>
      <c r="O31" s="39" t="s">
        <v>26</v>
      </c>
      <c r="P31" s="39">
        <v>2</v>
      </c>
      <c r="BO31" t="e">
        <f t="shared" si="3"/>
        <v>#VALUE!</v>
      </c>
      <c r="BP31" t="e">
        <f t="shared" si="6"/>
        <v>#VALUE!</v>
      </c>
      <c r="BQ31" t="e">
        <f t="shared" si="7"/>
        <v>#VALUE!</v>
      </c>
      <c r="BR31">
        <f t="shared" si="8"/>
        <v>0</v>
      </c>
      <c r="BS31" t="e">
        <f t="shared" si="9"/>
        <v>#DIV/0!</v>
      </c>
      <c r="BT31" t="e">
        <f t="shared" si="10"/>
        <v>#DIV/0!</v>
      </c>
      <c r="BU31" t="e">
        <f t="shared" si="11"/>
        <v>#DIV/0!</v>
      </c>
      <c r="BX31">
        <f t="shared" si="4"/>
        <v>0</v>
      </c>
      <c r="BY31">
        <f t="shared" si="12"/>
        <v>0</v>
      </c>
      <c r="BZ31">
        <f t="shared" si="13"/>
        <v>0</v>
      </c>
      <c r="CA31">
        <f t="shared" si="14"/>
        <v>0</v>
      </c>
      <c r="CB31">
        <f t="shared" si="15"/>
        <v>0</v>
      </c>
      <c r="CC31">
        <f t="shared" si="16"/>
        <v>0</v>
      </c>
      <c r="CD31">
        <f t="shared" si="17"/>
        <v>0</v>
      </c>
      <c r="CG31" t="e">
        <f t="shared" si="5"/>
        <v>#VALUE!</v>
      </c>
      <c r="CH31" t="e">
        <f t="shared" si="18"/>
        <v>#VALUE!</v>
      </c>
      <c r="CI31" t="e">
        <f t="shared" si="19"/>
        <v>#VALUE!</v>
      </c>
      <c r="CJ31" t="e">
        <f t="shared" si="20"/>
        <v>#VALUE!</v>
      </c>
      <c r="CK31" t="e">
        <f t="shared" si="21"/>
        <v>#DIV/0!</v>
      </c>
      <c r="CL31" t="e">
        <f t="shared" si="22"/>
        <v>#DIV/0!</v>
      </c>
      <c r="CM31" t="e">
        <f t="shared" si="23"/>
        <v>#DIV/0!</v>
      </c>
    </row>
    <row r="32" spans="6:91" ht="15" thickBot="1" x14ac:dyDescent="0.35">
      <c r="F32" s="39" t="s">
        <v>24</v>
      </c>
      <c r="G32" s="39" t="s">
        <v>24</v>
      </c>
      <c r="H32" s="39" t="s">
        <v>28</v>
      </c>
      <c r="I32" s="39" t="s">
        <v>26</v>
      </c>
      <c r="J32" s="39" t="s">
        <v>26</v>
      </c>
      <c r="K32" s="39" t="s">
        <v>26</v>
      </c>
      <c r="L32" s="39" t="s">
        <v>27</v>
      </c>
      <c r="M32" s="39" t="s">
        <v>26</v>
      </c>
      <c r="N32" s="39" t="s">
        <v>27</v>
      </c>
      <c r="O32" s="39" t="s">
        <v>26</v>
      </c>
      <c r="P32" s="39">
        <v>2</v>
      </c>
      <c r="BO32" t="e">
        <f t="shared" si="3"/>
        <v>#VALUE!</v>
      </c>
      <c r="BP32" t="e">
        <f t="shared" si="6"/>
        <v>#VALUE!</v>
      </c>
      <c r="BQ32" t="e">
        <f t="shared" si="7"/>
        <v>#VALUE!</v>
      </c>
      <c r="BR32">
        <f t="shared" si="8"/>
        <v>0</v>
      </c>
      <c r="BS32" t="e">
        <f t="shared" si="9"/>
        <v>#DIV/0!</v>
      </c>
      <c r="BT32" t="e">
        <f t="shared" si="10"/>
        <v>#DIV/0!</v>
      </c>
      <c r="BU32" t="e">
        <f t="shared" si="11"/>
        <v>#DIV/0!</v>
      </c>
      <c r="BX32">
        <f t="shared" si="4"/>
        <v>0</v>
      </c>
      <c r="BY32">
        <f t="shared" si="12"/>
        <v>0</v>
      </c>
      <c r="BZ32">
        <f t="shared" si="13"/>
        <v>0</v>
      </c>
      <c r="CA32">
        <f t="shared" si="14"/>
        <v>0</v>
      </c>
      <c r="CB32">
        <f t="shared" si="15"/>
        <v>0</v>
      </c>
      <c r="CC32">
        <f t="shared" si="16"/>
        <v>0</v>
      </c>
      <c r="CD32">
        <f t="shared" si="17"/>
        <v>0</v>
      </c>
      <c r="CG32" t="e">
        <f t="shared" si="5"/>
        <v>#VALUE!</v>
      </c>
      <c r="CH32" t="e">
        <f t="shared" si="18"/>
        <v>#VALUE!</v>
      </c>
      <c r="CI32" t="e">
        <f t="shared" si="19"/>
        <v>#VALUE!</v>
      </c>
      <c r="CJ32" t="e">
        <f t="shared" si="20"/>
        <v>#VALUE!</v>
      </c>
      <c r="CK32" t="e">
        <f t="shared" si="21"/>
        <v>#DIV/0!</v>
      </c>
      <c r="CL32" t="e">
        <f t="shared" si="22"/>
        <v>#DIV/0!</v>
      </c>
      <c r="CM32" t="e">
        <f t="shared" si="23"/>
        <v>#DIV/0!</v>
      </c>
    </row>
    <row r="33" spans="6:91" ht="15" thickBot="1" x14ac:dyDescent="0.35">
      <c r="F33" s="39" t="s">
        <v>24</v>
      </c>
      <c r="G33" s="39" t="s">
        <v>24</v>
      </c>
      <c r="H33" s="39" t="s">
        <v>29</v>
      </c>
      <c r="I33" s="39" t="s">
        <v>26</v>
      </c>
      <c r="J33" s="39" t="s">
        <v>26</v>
      </c>
      <c r="K33" s="39" t="s">
        <v>26</v>
      </c>
      <c r="L33" s="39" t="s">
        <v>26</v>
      </c>
      <c r="M33" s="39" t="s">
        <v>27</v>
      </c>
      <c r="N33" s="39" t="s">
        <v>27</v>
      </c>
      <c r="O33" s="39" t="s">
        <v>26</v>
      </c>
      <c r="P33" s="39">
        <v>2</v>
      </c>
      <c r="BO33" t="e">
        <f t="shared" si="3"/>
        <v>#VALUE!</v>
      </c>
      <c r="BP33" t="e">
        <f t="shared" si="6"/>
        <v>#VALUE!</v>
      </c>
      <c r="BQ33" t="e">
        <f t="shared" si="7"/>
        <v>#VALUE!</v>
      </c>
      <c r="BR33">
        <f t="shared" si="8"/>
        <v>0</v>
      </c>
      <c r="BS33" t="e">
        <f t="shared" si="9"/>
        <v>#DIV/0!</v>
      </c>
      <c r="BT33" t="e">
        <f t="shared" si="10"/>
        <v>#DIV/0!</v>
      </c>
      <c r="BU33" t="e">
        <f t="shared" si="11"/>
        <v>#DIV/0!</v>
      </c>
      <c r="BX33">
        <f t="shared" si="4"/>
        <v>0</v>
      </c>
      <c r="BY33">
        <f t="shared" si="12"/>
        <v>0</v>
      </c>
      <c r="BZ33">
        <f t="shared" si="13"/>
        <v>0</v>
      </c>
      <c r="CA33">
        <f t="shared" si="14"/>
        <v>0</v>
      </c>
      <c r="CB33">
        <f t="shared" si="15"/>
        <v>0</v>
      </c>
      <c r="CC33">
        <f t="shared" si="16"/>
        <v>0</v>
      </c>
      <c r="CD33">
        <f t="shared" si="17"/>
        <v>0</v>
      </c>
      <c r="CG33" t="e">
        <f t="shared" si="5"/>
        <v>#VALUE!</v>
      </c>
      <c r="CH33" t="e">
        <f t="shared" si="18"/>
        <v>#VALUE!</v>
      </c>
      <c r="CI33" t="e">
        <f t="shared" si="19"/>
        <v>#VALUE!</v>
      </c>
      <c r="CJ33" t="e">
        <f t="shared" si="20"/>
        <v>#VALUE!</v>
      </c>
      <c r="CK33" t="e">
        <f t="shared" si="21"/>
        <v>#DIV/0!</v>
      </c>
      <c r="CL33" t="e">
        <f t="shared" si="22"/>
        <v>#DIV/0!</v>
      </c>
      <c r="CM33" t="e">
        <f t="shared" si="23"/>
        <v>#DIV/0!</v>
      </c>
    </row>
    <row r="34" spans="6:91" ht="15" thickBot="1" x14ac:dyDescent="0.35">
      <c r="F34" s="39" t="s">
        <v>24</v>
      </c>
      <c r="G34" s="39" t="s">
        <v>24</v>
      </c>
      <c r="H34" s="39" t="s">
        <v>25</v>
      </c>
      <c r="I34" s="39" t="s">
        <v>27</v>
      </c>
      <c r="J34" s="39" t="s">
        <v>27</v>
      </c>
      <c r="K34" s="39" t="s">
        <v>26</v>
      </c>
      <c r="L34" s="39" t="s">
        <v>26</v>
      </c>
      <c r="M34" s="39" t="s">
        <v>26</v>
      </c>
      <c r="N34" s="39" t="s">
        <v>26</v>
      </c>
      <c r="O34" s="39" t="s">
        <v>26</v>
      </c>
      <c r="P34" s="39">
        <v>2</v>
      </c>
      <c r="BO34" t="e">
        <f t="shared" si="3"/>
        <v>#VALUE!</v>
      </c>
      <c r="BP34" t="e">
        <f t="shared" si="6"/>
        <v>#VALUE!</v>
      </c>
      <c r="BQ34" t="e">
        <f t="shared" si="7"/>
        <v>#VALUE!</v>
      </c>
      <c r="BR34">
        <f t="shared" si="8"/>
        <v>0</v>
      </c>
      <c r="BS34" t="e">
        <f t="shared" si="9"/>
        <v>#DIV/0!</v>
      </c>
      <c r="BT34" t="e">
        <f t="shared" si="10"/>
        <v>#DIV/0!</v>
      </c>
      <c r="BU34" t="e">
        <f t="shared" si="11"/>
        <v>#DIV/0!</v>
      </c>
      <c r="BX34">
        <f t="shared" si="4"/>
        <v>0</v>
      </c>
      <c r="BY34">
        <f t="shared" si="12"/>
        <v>0</v>
      </c>
      <c r="BZ34">
        <f t="shared" si="13"/>
        <v>0</v>
      </c>
      <c r="CA34">
        <f t="shared" si="14"/>
        <v>0</v>
      </c>
      <c r="CB34">
        <f t="shared" si="15"/>
        <v>0</v>
      </c>
      <c r="CC34">
        <f t="shared" si="16"/>
        <v>0</v>
      </c>
      <c r="CD34">
        <f t="shared" si="17"/>
        <v>0</v>
      </c>
      <c r="CG34" t="e">
        <f t="shared" si="5"/>
        <v>#VALUE!</v>
      </c>
      <c r="CH34" t="e">
        <f t="shared" si="18"/>
        <v>#VALUE!</v>
      </c>
      <c r="CI34" t="e">
        <f t="shared" si="19"/>
        <v>#VALUE!</v>
      </c>
      <c r="CJ34" t="e">
        <f t="shared" si="20"/>
        <v>#VALUE!</v>
      </c>
      <c r="CK34" t="e">
        <f t="shared" si="21"/>
        <v>#DIV/0!</v>
      </c>
      <c r="CL34" t="e">
        <f t="shared" si="22"/>
        <v>#DIV/0!</v>
      </c>
      <c r="CM34" t="e">
        <f t="shared" si="23"/>
        <v>#DIV/0!</v>
      </c>
    </row>
    <row r="35" spans="6:91" ht="15" thickBot="1" x14ac:dyDescent="0.35">
      <c r="F35" s="39" t="s">
        <v>24</v>
      </c>
      <c r="G35" s="39" t="s">
        <v>24</v>
      </c>
      <c r="H35" s="39" t="s">
        <v>28</v>
      </c>
      <c r="I35" s="39" t="s">
        <v>26</v>
      </c>
      <c r="J35" s="39" t="s">
        <v>27</v>
      </c>
      <c r="K35" s="39" t="s">
        <v>26</v>
      </c>
      <c r="L35" s="39" t="s">
        <v>27</v>
      </c>
      <c r="M35" s="39" t="s">
        <v>26</v>
      </c>
      <c r="N35" s="39" t="s">
        <v>26</v>
      </c>
      <c r="O35" s="39" t="s">
        <v>26</v>
      </c>
      <c r="P35" s="39">
        <v>2</v>
      </c>
      <c r="BO35" t="e">
        <f t="shared" ref="BO35:BQ39" si="24">(BF35*(1800*AE35))/M70</f>
        <v>#VALUE!</v>
      </c>
      <c r="BP35" t="e">
        <f t="shared" si="24"/>
        <v>#VALUE!</v>
      </c>
      <c r="BQ35" t="e">
        <f t="shared" si="24"/>
        <v>#VALUE!</v>
      </c>
      <c r="BR35">
        <f t="shared" si="8"/>
        <v>0</v>
      </c>
      <c r="BS35" t="e">
        <f t="shared" si="9"/>
        <v>#DIV/0!</v>
      </c>
      <c r="BT35" t="e">
        <f t="shared" si="10"/>
        <v>#DIV/0!</v>
      </c>
      <c r="BU35" t="e">
        <f t="shared" si="11"/>
        <v>#DIV/0!</v>
      </c>
      <c r="BX35">
        <f t="shared" si="4"/>
        <v>0</v>
      </c>
      <c r="BY35">
        <f t="shared" si="12"/>
        <v>0</v>
      </c>
      <c r="BZ35">
        <f t="shared" si="13"/>
        <v>0</v>
      </c>
      <c r="CA35">
        <f t="shared" si="14"/>
        <v>0</v>
      </c>
      <c r="CB35">
        <f t="shared" si="15"/>
        <v>0</v>
      </c>
      <c r="CC35">
        <f t="shared" si="16"/>
        <v>0</v>
      </c>
      <c r="CD35">
        <f t="shared" si="17"/>
        <v>0</v>
      </c>
      <c r="CG35" t="e">
        <f t="shared" si="5"/>
        <v>#VALUE!</v>
      </c>
      <c r="CH35" t="e">
        <f t="shared" si="18"/>
        <v>#VALUE!</v>
      </c>
      <c r="CI35" t="e">
        <f t="shared" si="19"/>
        <v>#VALUE!</v>
      </c>
      <c r="CJ35" t="e">
        <f t="shared" si="20"/>
        <v>#VALUE!</v>
      </c>
      <c r="CK35" t="e">
        <f t="shared" ref="CK35:CM39" si="25">BS35-H70</f>
        <v>#DIV/0!</v>
      </c>
      <c r="CL35" t="e">
        <f t="shared" si="25"/>
        <v>#DIV/0!</v>
      </c>
      <c r="CM35" t="e">
        <f t="shared" si="25"/>
        <v>#DIV/0!</v>
      </c>
    </row>
    <row r="36" spans="6:91" ht="15" thickBot="1" x14ac:dyDescent="0.35">
      <c r="F36" s="39" t="s">
        <v>24</v>
      </c>
      <c r="G36" s="39" t="s">
        <v>24</v>
      </c>
      <c r="H36" s="39" t="s">
        <v>29</v>
      </c>
      <c r="I36" s="39" t="s">
        <v>26</v>
      </c>
      <c r="J36" s="39" t="s">
        <v>26</v>
      </c>
      <c r="K36" s="39" t="s">
        <v>26</v>
      </c>
      <c r="L36" s="39" t="s">
        <v>26</v>
      </c>
      <c r="M36" s="39" t="s">
        <v>26</v>
      </c>
      <c r="N36" s="39" t="s">
        <v>26</v>
      </c>
      <c r="O36" s="39" t="s">
        <v>26</v>
      </c>
      <c r="P36" s="39">
        <v>2</v>
      </c>
      <c r="BO36">
        <f t="shared" si="24"/>
        <v>0</v>
      </c>
      <c r="BP36">
        <f t="shared" si="24"/>
        <v>0</v>
      </c>
      <c r="BQ36">
        <f t="shared" si="24"/>
        <v>0</v>
      </c>
      <c r="BR36">
        <f t="shared" si="8"/>
        <v>0</v>
      </c>
      <c r="BS36" t="e">
        <f t="shared" si="9"/>
        <v>#DIV/0!</v>
      </c>
      <c r="BT36" t="e">
        <f t="shared" si="10"/>
        <v>#DIV/0!</v>
      </c>
      <c r="BU36" t="e">
        <f t="shared" si="11"/>
        <v>#DIV/0!</v>
      </c>
      <c r="BX36">
        <f t="shared" si="4"/>
        <v>0</v>
      </c>
      <c r="BY36">
        <f t="shared" si="12"/>
        <v>0</v>
      </c>
      <c r="BZ36">
        <f t="shared" si="13"/>
        <v>0</v>
      </c>
      <c r="CA36">
        <f t="shared" si="14"/>
        <v>0</v>
      </c>
      <c r="CB36">
        <f t="shared" si="15"/>
        <v>0</v>
      </c>
      <c r="CC36">
        <f t="shared" si="16"/>
        <v>0</v>
      </c>
      <c r="CD36">
        <f t="shared" si="17"/>
        <v>0</v>
      </c>
      <c r="CG36">
        <f t="shared" si="5"/>
        <v>0</v>
      </c>
      <c r="CH36">
        <f t="shared" si="18"/>
        <v>0</v>
      </c>
      <c r="CI36" t="e">
        <f t="shared" si="19"/>
        <v>#VALUE!</v>
      </c>
      <c r="CJ36" t="e">
        <f t="shared" si="20"/>
        <v>#VALUE!</v>
      </c>
      <c r="CK36" t="e">
        <f t="shared" si="25"/>
        <v>#DIV/0!</v>
      </c>
      <c r="CL36" t="e">
        <f t="shared" si="25"/>
        <v>#DIV/0!</v>
      </c>
      <c r="CM36" t="e">
        <f t="shared" si="25"/>
        <v>#DIV/0!</v>
      </c>
    </row>
    <row r="37" spans="6:91" ht="15" thickBot="1" x14ac:dyDescent="0.35">
      <c r="F37" s="39" t="s">
        <v>24</v>
      </c>
      <c r="G37" s="39" t="s">
        <v>24</v>
      </c>
      <c r="H37" s="39" t="s">
        <v>25</v>
      </c>
      <c r="I37" s="39" t="s">
        <v>27</v>
      </c>
      <c r="J37" s="39" t="s">
        <v>26</v>
      </c>
      <c r="K37" s="39" t="s">
        <v>26</v>
      </c>
      <c r="L37" s="39" t="s">
        <v>27</v>
      </c>
      <c r="M37" s="39" t="s">
        <v>26</v>
      </c>
      <c r="N37" s="39" t="s">
        <v>27</v>
      </c>
      <c r="O37" s="39" t="s">
        <v>26</v>
      </c>
      <c r="P37" s="39">
        <v>2</v>
      </c>
      <c r="BO37">
        <f t="shared" si="24"/>
        <v>0</v>
      </c>
      <c r="BP37">
        <f t="shared" si="24"/>
        <v>0</v>
      </c>
      <c r="BQ37">
        <f t="shared" si="24"/>
        <v>0</v>
      </c>
      <c r="BR37">
        <f t="shared" si="8"/>
        <v>0</v>
      </c>
      <c r="BS37" t="e">
        <f t="shared" si="9"/>
        <v>#DIV/0!</v>
      </c>
      <c r="BT37" t="e">
        <f t="shared" si="10"/>
        <v>#DIV/0!</v>
      </c>
      <c r="BU37" t="e">
        <f t="shared" si="11"/>
        <v>#DIV/0!</v>
      </c>
      <c r="BX37">
        <f t="shared" si="4"/>
        <v>0</v>
      </c>
      <c r="BY37">
        <f t="shared" si="12"/>
        <v>0</v>
      </c>
      <c r="BZ37">
        <f t="shared" si="13"/>
        <v>0</v>
      </c>
      <c r="CA37">
        <f t="shared" si="14"/>
        <v>0</v>
      </c>
      <c r="CB37">
        <f t="shared" si="15"/>
        <v>0</v>
      </c>
      <c r="CC37">
        <f t="shared" si="16"/>
        <v>0</v>
      </c>
      <c r="CD37">
        <f t="shared" si="17"/>
        <v>0</v>
      </c>
      <c r="CG37">
        <f t="shared" si="5"/>
        <v>0</v>
      </c>
      <c r="CH37">
        <f t="shared" si="18"/>
        <v>0</v>
      </c>
      <c r="CI37" t="e">
        <f t="shared" si="19"/>
        <v>#VALUE!</v>
      </c>
      <c r="CJ37" t="e">
        <f t="shared" si="20"/>
        <v>#VALUE!</v>
      </c>
      <c r="CK37" t="e">
        <f t="shared" si="25"/>
        <v>#DIV/0!</v>
      </c>
      <c r="CL37" t="e">
        <f t="shared" si="25"/>
        <v>#DIV/0!</v>
      </c>
      <c r="CM37" t="e">
        <f t="shared" si="25"/>
        <v>#DIV/0!</v>
      </c>
    </row>
    <row r="38" spans="6:91" ht="15" thickBot="1" x14ac:dyDescent="0.35">
      <c r="F38" s="39" t="s">
        <v>24</v>
      </c>
      <c r="G38" s="39" t="s">
        <v>24</v>
      </c>
      <c r="H38" s="39" t="s">
        <v>28</v>
      </c>
      <c r="I38" s="39" t="s">
        <v>26</v>
      </c>
      <c r="J38" s="39" t="s">
        <v>26</v>
      </c>
      <c r="K38" s="39" t="s">
        <v>26</v>
      </c>
      <c r="L38" s="39" t="s">
        <v>26</v>
      </c>
      <c r="M38" s="39" t="s">
        <v>26</v>
      </c>
      <c r="N38" s="39" t="s">
        <v>27</v>
      </c>
      <c r="O38" s="39" t="s">
        <v>27</v>
      </c>
      <c r="P38" s="39">
        <v>2</v>
      </c>
      <c r="BO38">
        <f t="shared" si="24"/>
        <v>0</v>
      </c>
      <c r="BP38">
        <f t="shared" si="24"/>
        <v>0</v>
      </c>
      <c r="BQ38">
        <f t="shared" si="24"/>
        <v>0</v>
      </c>
      <c r="BR38">
        <f t="shared" si="8"/>
        <v>0</v>
      </c>
      <c r="BS38" t="e">
        <f t="shared" si="9"/>
        <v>#DIV/0!</v>
      </c>
      <c r="BT38" t="e">
        <f t="shared" si="10"/>
        <v>#DIV/0!</v>
      </c>
      <c r="BU38" t="e">
        <f t="shared" si="11"/>
        <v>#DIV/0!</v>
      </c>
      <c r="BX38">
        <f t="shared" si="4"/>
        <v>0</v>
      </c>
      <c r="BY38">
        <f t="shared" si="12"/>
        <v>0</v>
      </c>
      <c r="BZ38">
        <f t="shared" si="13"/>
        <v>0</v>
      </c>
      <c r="CA38">
        <f t="shared" si="14"/>
        <v>0</v>
      </c>
      <c r="CB38">
        <f t="shared" si="15"/>
        <v>0</v>
      </c>
      <c r="CC38">
        <f t="shared" si="16"/>
        <v>0</v>
      </c>
      <c r="CD38">
        <f t="shared" si="17"/>
        <v>0</v>
      </c>
      <c r="CG38">
        <f t="shared" si="5"/>
        <v>0</v>
      </c>
      <c r="CH38">
        <f t="shared" si="18"/>
        <v>0</v>
      </c>
      <c r="CI38" t="e">
        <f t="shared" si="19"/>
        <v>#VALUE!</v>
      </c>
      <c r="CJ38" t="e">
        <f t="shared" si="20"/>
        <v>#VALUE!</v>
      </c>
      <c r="CK38" t="e">
        <f t="shared" si="25"/>
        <v>#DIV/0!</v>
      </c>
      <c r="CL38" t="e">
        <f t="shared" si="25"/>
        <v>#DIV/0!</v>
      </c>
      <c r="CM38" t="e">
        <f t="shared" si="25"/>
        <v>#DIV/0!</v>
      </c>
    </row>
    <row r="39" spans="6:91" ht="15" thickBot="1" x14ac:dyDescent="0.35">
      <c r="F39" s="39" t="s">
        <v>24</v>
      </c>
      <c r="G39" s="39" t="s">
        <v>24</v>
      </c>
      <c r="H39" s="39" t="s">
        <v>29</v>
      </c>
      <c r="I39" s="39" t="s">
        <v>27</v>
      </c>
      <c r="J39" s="39" t="s">
        <v>27</v>
      </c>
      <c r="K39" s="39" t="s">
        <v>27</v>
      </c>
      <c r="L39" s="39" t="s">
        <v>26</v>
      </c>
      <c r="M39" s="39" t="s">
        <v>26</v>
      </c>
      <c r="N39" s="39" t="s">
        <v>26</v>
      </c>
      <c r="O39" s="39" t="s">
        <v>26</v>
      </c>
      <c r="P39" s="39">
        <v>2</v>
      </c>
      <c r="BO39">
        <f t="shared" si="24"/>
        <v>0</v>
      </c>
      <c r="BP39">
        <f t="shared" si="24"/>
        <v>0</v>
      </c>
      <c r="BQ39">
        <f t="shared" si="24"/>
        <v>0</v>
      </c>
      <c r="BR39">
        <f t="shared" si="8"/>
        <v>0</v>
      </c>
      <c r="BS39" t="e">
        <f t="shared" si="9"/>
        <v>#DIV/0!</v>
      </c>
      <c r="BT39" t="e">
        <f t="shared" si="10"/>
        <v>#DIV/0!</v>
      </c>
      <c r="BU39" t="e">
        <f t="shared" si="11"/>
        <v>#DIV/0!</v>
      </c>
      <c r="BX39">
        <f t="shared" si="4"/>
        <v>0</v>
      </c>
      <c r="BY39">
        <f t="shared" si="12"/>
        <v>0</v>
      </c>
      <c r="BZ39">
        <f t="shared" si="13"/>
        <v>0</v>
      </c>
      <c r="CA39">
        <f t="shared" si="14"/>
        <v>0</v>
      </c>
      <c r="CB39">
        <f t="shared" si="15"/>
        <v>0</v>
      </c>
      <c r="CC39">
        <f t="shared" si="16"/>
        <v>0</v>
      </c>
      <c r="CD39">
        <f t="shared" si="17"/>
        <v>0</v>
      </c>
      <c r="CG39">
        <f t="shared" si="5"/>
        <v>0</v>
      </c>
      <c r="CH39">
        <f t="shared" si="18"/>
        <v>0</v>
      </c>
      <c r="CI39" t="e">
        <f t="shared" si="19"/>
        <v>#VALUE!</v>
      </c>
      <c r="CJ39" t="e">
        <f t="shared" si="20"/>
        <v>#VALUE!</v>
      </c>
      <c r="CK39" t="e">
        <f t="shared" si="25"/>
        <v>#DIV/0!</v>
      </c>
      <c r="CL39" t="e">
        <f t="shared" si="25"/>
        <v>#DIV/0!</v>
      </c>
      <c r="CM39" t="e">
        <f t="shared" si="25"/>
        <v>#DIV/0!</v>
      </c>
    </row>
    <row r="40" spans="6:91" ht="15" thickBot="1" x14ac:dyDescent="0.35">
      <c r="F40" s="39" t="s">
        <v>24</v>
      </c>
      <c r="G40" s="39" t="s">
        <v>24</v>
      </c>
      <c r="H40" s="39" t="s">
        <v>25</v>
      </c>
      <c r="I40" s="39" t="s">
        <v>26</v>
      </c>
      <c r="J40" s="39" t="s">
        <v>27</v>
      </c>
      <c r="K40" s="39" t="s">
        <v>26</v>
      </c>
      <c r="L40" s="39" t="s">
        <v>26</v>
      </c>
      <c r="M40" s="39" t="s">
        <v>26</v>
      </c>
      <c r="N40" s="39" t="s">
        <v>26</v>
      </c>
      <c r="O40" s="39" t="s">
        <v>26</v>
      </c>
      <c r="P40" s="39">
        <v>2</v>
      </c>
      <c r="BO40" t="e">
        <f t="shared" si="3"/>
        <v>#VALUE!</v>
      </c>
      <c r="BP40" t="e">
        <f t="shared" si="6"/>
        <v>#VALUE!</v>
      </c>
      <c r="BQ40" t="e">
        <f t="shared" si="7"/>
        <v>#VALUE!</v>
      </c>
      <c r="BR40">
        <f t="shared" si="8"/>
        <v>0</v>
      </c>
      <c r="BS40" t="e">
        <f t="shared" si="9"/>
        <v>#DIV/0!</v>
      </c>
      <c r="BT40" t="e">
        <f t="shared" si="10"/>
        <v>#DIV/0!</v>
      </c>
      <c r="BU40" t="e">
        <f t="shared" si="11"/>
        <v>#DIV/0!</v>
      </c>
      <c r="BX40">
        <f t="shared" si="4"/>
        <v>0</v>
      </c>
      <c r="BY40">
        <f t="shared" si="12"/>
        <v>0</v>
      </c>
      <c r="BZ40">
        <f t="shared" si="13"/>
        <v>0</v>
      </c>
      <c r="CA40">
        <f t="shared" si="14"/>
        <v>0</v>
      </c>
      <c r="CB40">
        <f t="shared" si="15"/>
        <v>0</v>
      </c>
      <c r="CC40">
        <f t="shared" si="16"/>
        <v>0</v>
      </c>
      <c r="CD40">
        <f t="shared" si="17"/>
        <v>0</v>
      </c>
      <c r="CG40" t="e">
        <f t="shared" si="5"/>
        <v>#VALUE!</v>
      </c>
      <c r="CH40" t="e">
        <f t="shared" si="18"/>
        <v>#VALUE!</v>
      </c>
      <c r="CI40" t="e">
        <f t="shared" si="19"/>
        <v>#VALUE!</v>
      </c>
      <c r="CJ40" t="e">
        <f t="shared" si="20"/>
        <v>#VALUE!</v>
      </c>
      <c r="CK40" t="e">
        <f t="shared" si="21"/>
        <v>#DIV/0!</v>
      </c>
      <c r="CL40" t="e">
        <f t="shared" si="22"/>
        <v>#DIV/0!</v>
      </c>
      <c r="CM40" t="e">
        <f t="shared" si="23"/>
        <v>#DIV/0!</v>
      </c>
    </row>
    <row r="41" spans="6:91" ht="15" thickBot="1" x14ac:dyDescent="0.35">
      <c r="F41" s="39" t="s">
        <v>24</v>
      </c>
      <c r="G41" s="39" t="s">
        <v>24</v>
      </c>
      <c r="H41" s="39" t="s">
        <v>28</v>
      </c>
      <c r="I41" s="39" t="s">
        <v>26</v>
      </c>
      <c r="J41" s="39" t="s">
        <v>26</v>
      </c>
      <c r="K41" s="39" t="s">
        <v>27</v>
      </c>
      <c r="L41" s="39" t="s">
        <v>26</v>
      </c>
      <c r="M41" s="39" t="s">
        <v>27</v>
      </c>
      <c r="N41" s="39" t="s">
        <v>26</v>
      </c>
      <c r="O41" s="39" t="s">
        <v>26</v>
      </c>
      <c r="P41" s="39">
        <v>2</v>
      </c>
      <c r="BO41" t="e">
        <f t="shared" si="3"/>
        <v>#VALUE!</v>
      </c>
      <c r="BP41" t="e">
        <f t="shared" si="6"/>
        <v>#VALUE!</v>
      </c>
      <c r="BQ41" t="e">
        <f t="shared" si="7"/>
        <v>#VALUE!</v>
      </c>
      <c r="BR41">
        <f t="shared" si="8"/>
        <v>0</v>
      </c>
      <c r="BS41" t="e">
        <f t="shared" si="9"/>
        <v>#DIV/0!</v>
      </c>
      <c r="BT41" t="e">
        <f t="shared" si="10"/>
        <v>#DIV/0!</v>
      </c>
      <c r="BU41" t="e">
        <f t="shared" si="11"/>
        <v>#DIV/0!</v>
      </c>
      <c r="BX41">
        <f t="shared" si="4"/>
        <v>0</v>
      </c>
      <c r="BY41">
        <f t="shared" si="12"/>
        <v>0</v>
      </c>
      <c r="BZ41">
        <f t="shared" si="13"/>
        <v>0</v>
      </c>
      <c r="CA41">
        <f t="shared" si="14"/>
        <v>0</v>
      </c>
      <c r="CB41">
        <f t="shared" si="15"/>
        <v>0</v>
      </c>
      <c r="CC41">
        <f t="shared" si="16"/>
        <v>0</v>
      </c>
      <c r="CD41">
        <f t="shared" si="17"/>
        <v>0</v>
      </c>
      <c r="CG41" t="e">
        <f t="shared" si="5"/>
        <v>#VALUE!</v>
      </c>
      <c r="CH41" t="e">
        <f t="shared" si="18"/>
        <v>#VALUE!</v>
      </c>
      <c r="CI41" t="e">
        <f t="shared" si="19"/>
        <v>#VALUE!</v>
      </c>
      <c r="CJ41" t="e">
        <f t="shared" si="20"/>
        <v>#VALUE!</v>
      </c>
      <c r="CK41" t="e">
        <f t="shared" si="21"/>
        <v>#DIV/0!</v>
      </c>
      <c r="CL41" t="e">
        <f t="shared" si="22"/>
        <v>#DIV/0!</v>
      </c>
      <c r="CM41" t="e">
        <f t="shared" si="23"/>
        <v>#DIV/0!</v>
      </c>
    </row>
    <row r="42" spans="6:91" ht="15" thickBot="1" x14ac:dyDescent="0.35">
      <c r="F42" s="39" t="s">
        <v>24</v>
      </c>
      <c r="G42" s="39" t="s">
        <v>24</v>
      </c>
      <c r="H42" s="39" t="s">
        <v>29</v>
      </c>
      <c r="I42" s="39" t="s">
        <v>26</v>
      </c>
      <c r="J42" s="39" t="s">
        <v>26</v>
      </c>
      <c r="K42" s="39" t="s">
        <v>26</v>
      </c>
      <c r="L42" s="39" t="s">
        <v>26</v>
      </c>
      <c r="M42" s="39" t="s">
        <v>26</v>
      </c>
      <c r="N42" s="39" t="s">
        <v>27</v>
      </c>
      <c r="O42" s="39" t="s">
        <v>26</v>
      </c>
      <c r="P42" s="39">
        <v>2</v>
      </c>
      <c r="BO42" t="e">
        <f t="shared" si="3"/>
        <v>#VALUE!</v>
      </c>
      <c r="BP42" t="e">
        <f t="shared" si="6"/>
        <v>#VALUE!</v>
      </c>
      <c r="BQ42" t="e">
        <f t="shared" si="7"/>
        <v>#VALUE!</v>
      </c>
      <c r="BR42">
        <f t="shared" si="8"/>
        <v>0</v>
      </c>
      <c r="BS42" t="e">
        <f t="shared" si="9"/>
        <v>#DIV/0!</v>
      </c>
      <c r="BT42" t="e">
        <f t="shared" si="10"/>
        <v>#DIV/0!</v>
      </c>
      <c r="BU42" t="e">
        <f t="shared" si="11"/>
        <v>#DIV/0!</v>
      </c>
      <c r="BX42">
        <f t="shared" si="4"/>
        <v>0</v>
      </c>
      <c r="BY42">
        <f t="shared" si="12"/>
        <v>0</v>
      </c>
      <c r="BZ42">
        <f t="shared" si="13"/>
        <v>0</v>
      </c>
      <c r="CA42">
        <f t="shared" si="14"/>
        <v>0</v>
      </c>
      <c r="CB42">
        <f t="shared" si="15"/>
        <v>0</v>
      </c>
      <c r="CC42">
        <f t="shared" si="16"/>
        <v>0</v>
      </c>
      <c r="CD42">
        <f t="shared" si="17"/>
        <v>0</v>
      </c>
      <c r="CG42" t="e">
        <f t="shared" si="5"/>
        <v>#VALUE!</v>
      </c>
      <c r="CH42" t="e">
        <f t="shared" si="18"/>
        <v>#VALUE!</v>
      </c>
      <c r="CI42" t="e">
        <f t="shared" si="19"/>
        <v>#VALUE!</v>
      </c>
      <c r="CJ42" t="e">
        <f t="shared" si="20"/>
        <v>#VALUE!</v>
      </c>
      <c r="CK42" t="e">
        <f t="shared" si="21"/>
        <v>#DIV/0!</v>
      </c>
      <c r="CL42" t="e">
        <f t="shared" si="22"/>
        <v>#DIV/0!</v>
      </c>
      <c r="CM42" t="e">
        <f t="shared" si="23"/>
        <v>#DIV/0!</v>
      </c>
    </row>
    <row r="43" spans="6:91" ht="15" thickBot="1" x14ac:dyDescent="0.35">
      <c r="F43" s="39" t="s">
        <v>24</v>
      </c>
      <c r="G43" s="39" t="s">
        <v>24</v>
      </c>
      <c r="H43" s="39" t="s">
        <v>25</v>
      </c>
      <c r="I43" s="39" t="s">
        <v>26</v>
      </c>
      <c r="J43" s="39" t="s">
        <v>26</v>
      </c>
      <c r="K43" s="39" t="s">
        <v>26</v>
      </c>
      <c r="L43" s="39" t="s">
        <v>26</v>
      </c>
      <c r="M43" s="39" t="s">
        <v>27</v>
      </c>
      <c r="N43" s="39" t="s">
        <v>27</v>
      </c>
      <c r="O43" s="39" t="s">
        <v>27</v>
      </c>
      <c r="P43" s="39">
        <v>2</v>
      </c>
      <c r="BO43" t="e">
        <f t="shared" si="3"/>
        <v>#VALUE!</v>
      </c>
      <c r="BP43" t="e">
        <f t="shared" si="6"/>
        <v>#VALUE!</v>
      </c>
      <c r="BQ43" t="e">
        <f t="shared" si="7"/>
        <v>#VALUE!</v>
      </c>
      <c r="BR43">
        <f t="shared" si="8"/>
        <v>0</v>
      </c>
      <c r="BS43" t="e">
        <f t="shared" si="9"/>
        <v>#DIV/0!</v>
      </c>
      <c r="BT43" t="e">
        <f t="shared" si="10"/>
        <v>#DIV/0!</v>
      </c>
      <c r="BU43" t="e">
        <f t="shared" si="11"/>
        <v>#DIV/0!</v>
      </c>
      <c r="BX43">
        <f t="shared" si="4"/>
        <v>0</v>
      </c>
      <c r="BY43">
        <f t="shared" si="12"/>
        <v>0</v>
      </c>
      <c r="BZ43">
        <f t="shared" si="13"/>
        <v>0</v>
      </c>
      <c r="CA43">
        <f t="shared" si="14"/>
        <v>0</v>
      </c>
      <c r="CB43">
        <f t="shared" si="15"/>
        <v>0</v>
      </c>
      <c r="CC43">
        <f t="shared" si="16"/>
        <v>0</v>
      </c>
      <c r="CD43">
        <f t="shared" si="17"/>
        <v>0</v>
      </c>
      <c r="CG43" t="e">
        <f t="shared" si="5"/>
        <v>#VALUE!</v>
      </c>
      <c r="CH43" t="e">
        <f t="shared" si="18"/>
        <v>#VALUE!</v>
      </c>
      <c r="CI43" t="e">
        <f t="shared" si="19"/>
        <v>#VALUE!</v>
      </c>
      <c r="CJ43" t="e">
        <f t="shared" si="20"/>
        <v>#VALUE!</v>
      </c>
      <c r="CK43" t="e">
        <f t="shared" si="21"/>
        <v>#DIV/0!</v>
      </c>
      <c r="CL43" t="e">
        <f t="shared" si="22"/>
        <v>#DIV/0!</v>
      </c>
      <c r="CM43" t="e">
        <f t="shared" si="23"/>
        <v>#DIV/0!</v>
      </c>
    </row>
    <row r="44" spans="6:91" ht="15" thickBot="1" x14ac:dyDescent="0.35">
      <c r="F44" s="39" t="s">
        <v>24</v>
      </c>
      <c r="G44" s="39" t="s">
        <v>24</v>
      </c>
      <c r="H44" s="39" t="s">
        <v>28</v>
      </c>
      <c r="I44" s="39" t="s">
        <v>27</v>
      </c>
      <c r="J44" s="39" t="s">
        <v>26</v>
      </c>
      <c r="K44" s="39" t="s">
        <v>27</v>
      </c>
      <c r="L44" s="39" t="s">
        <v>26</v>
      </c>
      <c r="M44" s="39" t="s">
        <v>26</v>
      </c>
      <c r="N44" s="39" t="s">
        <v>26</v>
      </c>
      <c r="O44" s="39" t="s">
        <v>26</v>
      </c>
      <c r="P44" s="39">
        <v>2</v>
      </c>
      <c r="BO44" t="e">
        <f t="shared" si="3"/>
        <v>#VALUE!</v>
      </c>
      <c r="BP44" t="e">
        <f t="shared" si="6"/>
        <v>#VALUE!</v>
      </c>
      <c r="BQ44" t="e">
        <f t="shared" si="7"/>
        <v>#VALUE!</v>
      </c>
      <c r="BR44">
        <f t="shared" si="8"/>
        <v>0</v>
      </c>
      <c r="BS44" t="e">
        <f t="shared" si="9"/>
        <v>#DIV/0!</v>
      </c>
      <c r="BT44" t="e">
        <f t="shared" si="10"/>
        <v>#DIV/0!</v>
      </c>
      <c r="BU44" t="e">
        <f t="shared" si="11"/>
        <v>#DIV/0!</v>
      </c>
      <c r="BX44">
        <f t="shared" si="4"/>
        <v>0</v>
      </c>
      <c r="BY44">
        <f t="shared" si="12"/>
        <v>0</v>
      </c>
      <c r="BZ44">
        <f t="shared" si="13"/>
        <v>0</v>
      </c>
      <c r="CA44">
        <f t="shared" si="14"/>
        <v>0</v>
      </c>
      <c r="CB44">
        <f t="shared" si="15"/>
        <v>0</v>
      </c>
      <c r="CC44">
        <f t="shared" si="16"/>
        <v>0</v>
      </c>
      <c r="CD44">
        <f t="shared" si="17"/>
        <v>0</v>
      </c>
      <c r="CG44" t="e">
        <f t="shared" si="5"/>
        <v>#VALUE!</v>
      </c>
      <c r="CH44" t="e">
        <f t="shared" si="18"/>
        <v>#VALUE!</v>
      </c>
      <c r="CI44" t="e">
        <f t="shared" si="19"/>
        <v>#VALUE!</v>
      </c>
      <c r="CJ44" t="e">
        <f t="shared" si="20"/>
        <v>#VALUE!</v>
      </c>
      <c r="CK44" t="e">
        <f t="shared" si="21"/>
        <v>#DIV/0!</v>
      </c>
      <c r="CL44" t="e">
        <f t="shared" si="22"/>
        <v>#DIV/0!</v>
      </c>
      <c r="CM44" t="e">
        <f t="shared" si="23"/>
        <v>#DIV/0!</v>
      </c>
    </row>
    <row r="45" spans="6:91" ht="15" thickBot="1" x14ac:dyDescent="0.35">
      <c r="F45" s="39" t="s">
        <v>24</v>
      </c>
      <c r="G45" s="39" t="s">
        <v>24</v>
      </c>
      <c r="H45" s="39" t="s">
        <v>29</v>
      </c>
      <c r="I45" s="39" t="s">
        <v>26</v>
      </c>
      <c r="J45" s="39" t="s">
        <v>27</v>
      </c>
      <c r="K45" s="39" t="s">
        <v>26</v>
      </c>
      <c r="L45" s="39" t="s">
        <v>27</v>
      </c>
      <c r="M45" s="39" t="s">
        <v>26</v>
      </c>
      <c r="N45" s="39" t="s">
        <v>26</v>
      </c>
      <c r="O45" s="39" t="s">
        <v>26</v>
      </c>
      <c r="P45" s="39">
        <v>2</v>
      </c>
      <c r="BO45" t="e">
        <f t="shared" si="3"/>
        <v>#VALUE!</v>
      </c>
      <c r="BP45" t="e">
        <f t="shared" si="6"/>
        <v>#VALUE!</v>
      </c>
      <c r="BQ45" t="e">
        <f t="shared" si="7"/>
        <v>#VALUE!</v>
      </c>
      <c r="BR45">
        <f t="shared" si="8"/>
        <v>0</v>
      </c>
      <c r="BS45" t="e">
        <f t="shared" si="9"/>
        <v>#DIV/0!</v>
      </c>
      <c r="BT45" t="e">
        <f t="shared" si="10"/>
        <v>#DIV/0!</v>
      </c>
      <c r="BU45" t="e">
        <f t="shared" si="11"/>
        <v>#DIV/0!</v>
      </c>
      <c r="BX45">
        <f t="shared" si="4"/>
        <v>0</v>
      </c>
      <c r="BY45">
        <f t="shared" si="12"/>
        <v>0</v>
      </c>
      <c r="BZ45">
        <f t="shared" si="13"/>
        <v>0</v>
      </c>
      <c r="CA45">
        <f t="shared" si="14"/>
        <v>0</v>
      </c>
      <c r="CB45">
        <f t="shared" si="15"/>
        <v>0</v>
      </c>
      <c r="CC45">
        <f t="shared" si="16"/>
        <v>0</v>
      </c>
      <c r="CD45">
        <f t="shared" si="17"/>
        <v>0</v>
      </c>
      <c r="CG45" t="e">
        <f t="shared" si="5"/>
        <v>#VALUE!</v>
      </c>
      <c r="CH45" t="e">
        <f t="shared" si="18"/>
        <v>#VALUE!</v>
      </c>
      <c r="CI45" t="e">
        <f t="shared" si="19"/>
        <v>#VALUE!</v>
      </c>
      <c r="CJ45" t="e">
        <f t="shared" si="20"/>
        <v>#VALUE!</v>
      </c>
      <c r="CK45" t="e">
        <f t="shared" si="21"/>
        <v>#DIV/0!</v>
      </c>
      <c r="CL45" t="e">
        <f t="shared" si="22"/>
        <v>#DIV/0!</v>
      </c>
      <c r="CM45" t="e">
        <f t="shared" si="23"/>
        <v>#DIV/0!</v>
      </c>
    </row>
    <row r="46" spans="6:91" ht="15" thickBot="1" x14ac:dyDescent="0.35">
      <c r="F46" s="39" t="s">
        <v>24</v>
      </c>
      <c r="G46" s="39" t="s">
        <v>24</v>
      </c>
      <c r="H46" s="39" t="s">
        <v>25</v>
      </c>
      <c r="I46" s="39" t="s">
        <v>27</v>
      </c>
      <c r="J46" s="39" t="s">
        <v>26</v>
      </c>
      <c r="K46" s="39" t="s">
        <v>27</v>
      </c>
      <c r="L46" s="39" t="s">
        <v>26</v>
      </c>
      <c r="M46" s="39" t="s">
        <v>27</v>
      </c>
      <c r="N46" s="39" t="s">
        <v>26</v>
      </c>
      <c r="O46" s="39" t="s">
        <v>26</v>
      </c>
      <c r="P46" s="39">
        <v>2</v>
      </c>
      <c r="BO46" t="e">
        <f t="shared" si="3"/>
        <v>#VALUE!</v>
      </c>
      <c r="BP46" t="e">
        <f t="shared" si="6"/>
        <v>#VALUE!</v>
      </c>
      <c r="BQ46" t="e">
        <f t="shared" si="7"/>
        <v>#VALUE!</v>
      </c>
      <c r="BR46">
        <f t="shared" si="8"/>
        <v>0</v>
      </c>
      <c r="BS46" t="e">
        <f t="shared" si="9"/>
        <v>#DIV/0!</v>
      </c>
      <c r="BT46" t="e">
        <f t="shared" si="10"/>
        <v>#DIV/0!</v>
      </c>
      <c r="BU46" t="e">
        <f t="shared" si="11"/>
        <v>#DIV/0!</v>
      </c>
      <c r="BX46">
        <f t="shared" si="4"/>
        <v>0</v>
      </c>
      <c r="BY46">
        <f t="shared" si="12"/>
        <v>0</v>
      </c>
      <c r="BZ46">
        <f t="shared" si="13"/>
        <v>0</v>
      </c>
      <c r="CA46">
        <f t="shared" si="14"/>
        <v>0</v>
      </c>
      <c r="CB46">
        <f t="shared" si="15"/>
        <v>0</v>
      </c>
      <c r="CC46">
        <f t="shared" si="16"/>
        <v>0</v>
      </c>
      <c r="CD46">
        <f t="shared" si="17"/>
        <v>0</v>
      </c>
      <c r="CG46" t="e">
        <f t="shared" si="5"/>
        <v>#VALUE!</v>
      </c>
      <c r="CH46" t="e">
        <f t="shared" si="18"/>
        <v>#VALUE!</v>
      </c>
      <c r="CI46" t="e">
        <f t="shared" si="19"/>
        <v>#VALUE!</v>
      </c>
      <c r="CJ46" t="e">
        <f t="shared" si="20"/>
        <v>#VALUE!</v>
      </c>
      <c r="CK46" t="e">
        <f t="shared" si="21"/>
        <v>#DIV/0!</v>
      </c>
      <c r="CL46" t="e">
        <f t="shared" si="22"/>
        <v>#DIV/0!</v>
      </c>
      <c r="CM46" t="e">
        <f t="shared" si="23"/>
        <v>#DIV/0!</v>
      </c>
    </row>
    <row r="47" spans="6:91" ht="15" thickBot="1" x14ac:dyDescent="0.35">
      <c r="F47" s="39" t="s">
        <v>24</v>
      </c>
      <c r="G47" s="39" t="s">
        <v>24</v>
      </c>
      <c r="H47" s="39" t="s">
        <v>28</v>
      </c>
      <c r="I47" s="39" t="s">
        <v>27</v>
      </c>
      <c r="J47" s="39" t="s">
        <v>26</v>
      </c>
      <c r="K47" s="39" t="s">
        <v>26</v>
      </c>
      <c r="L47" s="39" t="s">
        <v>27</v>
      </c>
      <c r="M47" s="39" t="s">
        <v>26</v>
      </c>
      <c r="N47" s="39" t="s">
        <v>27</v>
      </c>
      <c r="O47" s="39" t="s">
        <v>26</v>
      </c>
      <c r="P47" s="39">
        <v>2</v>
      </c>
      <c r="BO47" t="e">
        <f t="shared" si="3"/>
        <v>#VALUE!</v>
      </c>
      <c r="BP47" t="e">
        <f t="shared" si="6"/>
        <v>#VALUE!</v>
      </c>
      <c r="BQ47" t="e">
        <f t="shared" si="7"/>
        <v>#VALUE!</v>
      </c>
      <c r="BR47">
        <f t="shared" si="8"/>
        <v>0</v>
      </c>
      <c r="BS47" t="e">
        <f t="shared" si="9"/>
        <v>#DIV/0!</v>
      </c>
      <c r="BT47" t="e">
        <f t="shared" si="10"/>
        <v>#DIV/0!</v>
      </c>
      <c r="BU47" t="e">
        <f t="shared" si="11"/>
        <v>#DIV/0!</v>
      </c>
      <c r="BX47">
        <f t="shared" si="4"/>
        <v>0</v>
      </c>
      <c r="BY47">
        <f t="shared" si="12"/>
        <v>0</v>
      </c>
      <c r="BZ47">
        <f t="shared" si="13"/>
        <v>0</v>
      </c>
      <c r="CA47">
        <f t="shared" si="14"/>
        <v>0</v>
      </c>
      <c r="CB47">
        <f t="shared" si="15"/>
        <v>0</v>
      </c>
      <c r="CC47">
        <f t="shared" si="16"/>
        <v>0</v>
      </c>
      <c r="CD47">
        <f t="shared" si="17"/>
        <v>0</v>
      </c>
      <c r="CG47" t="e">
        <f t="shared" si="5"/>
        <v>#VALUE!</v>
      </c>
      <c r="CH47" t="e">
        <f t="shared" si="18"/>
        <v>#VALUE!</v>
      </c>
      <c r="CI47" t="e">
        <f t="shared" si="19"/>
        <v>#VALUE!</v>
      </c>
      <c r="CJ47" t="e">
        <f t="shared" si="20"/>
        <v>#VALUE!</v>
      </c>
      <c r="CK47" t="e">
        <f t="shared" si="21"/>
        <v>#DIV/0!</v>
      </c>
      <c r="CL47" t="e">
        <f t="shared" si="22"/>
        <v>#DIV/0!</v>
      </c>
      <c r="CM47" t="e">
        <f t="shared" si="23"/>
        <v>#DIV/0!</v>
      </c>
    </row>
    <row r="48" spans="6:91" ht="15" thickBot="1" x14ac:dyDescent="0.35">
      <c r="F48" s="39" t="s">
        <v>24</v>
      </c>
      <c r="G48" s="39" t="s">
        <v>24</v>
      </c>
      <c r="H48" s="39" t="s">
        <v>29</v>
      </c>
      <c r="I48" s="39" t="s">
        <v>26</v>
      </c>
      <c r="J48" s="39" t="s">
        <v>26</v>
      </c>
      <c r="K48" s="39" t="s">
        <v>26</v>
      </c>
      <c r="L48" s="39" t="s">
        <v>26</v>
      </c>
      <c r="M48" s="39" t="s">
        <v>27</v>
      </c>
      <c r="N48" s="39" t="s">
        <v>27</v>
      </c>
      <c r="O48" s="39" t="s">
        <v>27</v>
      </c>
      <c r="P48" s="39">
        <v>2</v>
      </c>
      <c r="BO48" t="e">
        <f t="shared" si="3"/>
        <v>#VALUE!</v>
      </c>
      <c r="BP48" t="e">
        <f t="shared" si="6"/>
        <v>#VALUE!</v>
      </c>
      <c r="BQ48" t="e">
        <f t="shared" si="7"/>
        <v>#VALUE!</v>
      </c>
      <c r="BR48">
        <f t="shared" si="8"/>
        <v>0</v>
      </c>
      <c r="BS48" t="e">
        <f t="shared" si="9"/>
        <v>#DIV/0!</v>
      </c>
      <c r="BT48" t="e">
        <f t="shared" si="10"/>
        <v>#DIV/0!</v>
      </c>
      <c r="BU48" t="e">
        <f t="shared" si="11"/>
        <v>#DIV/0!</v>
      </c>
      <c r="BX48">
        <f t="shared" si="4"/>
        <v>0</v>
      </c>
      <c r="BY48">
        <f t="shared" si="12"/>
        <v>0</v>
      </c>
      <c r="BZ48">
        <f t="shared" si="13"/>
        <v>0</v>
      </c>
      <c r="CA48">
        <f t="shared" si="14"/>
        <v>0</v>
      </c>
      <c r="CB48">
        <f t="shared" si="15"/>
        <v>0</v>
      </c>
      <c r="CC48">
        <f t="shared" si="16"/>
        <v>0</v>
      </c>
      <c r="CD48">
        <f t="shared" si="17"/>
        <v>0</v>
      </c>
      <c r="CG48" t="e">
        <f t="shared" si="5"/>
        <v>#VALUE!</v>
      </c>
      <c r="CH48" t="e">
        <f t="shared" si="18"/>
        <v>#VALUE!</v>
      </c>
      <c r="CI48" t="e">
        <f t="shared" si="19"/>
        <v>#VALUE!</v>
      </c>
      <c r="CJ48" t="e">
        <f t="shared" si="20"/>
        <v>#VALUE!</v>
      </c>
      <c r="CK48" t="e">
        <f t="shared" si="21"/>
        <v>#DIV/0!</v>
      </c>
      <c r="CL48" t="e">
        <f t="shared" si="22"/>
        <v>#DIV/0!</v>
      </c>
      <c r="CM48" t="e">
        <f t="shared" si="23"/>
        <v>#DIV/0!</v>
      </c>
    </row>
    <row r="49" spans="6:91" ht="15" thickBot="1" x14ac:dyDescent="0.35">
      <c r="F49" s="39" t="s">
        <v>24</v>
      </c>
      <c r="G49" s="39" t="s">
        <v>24</v>
      </c>
      <c r="H49" s="39" t="s">
        <v>25</v>
      </c>
      <c r="I49" s="39" t="s">
        <v>26</v>
      </c>
      <c r="J49" s="39" t="s">
        <v>26</v>
      </c>
      <c r="K49" s="39" t="s">
        <v>26</v>
      </c>
      <c r="L49" s="39" t="s">
        <v>26</v>
      </c>
      <c r="M49" s="39" t="s">
        <v>26</v>
      </c>
      <c r="N49" s="39" t="s">
        <v>26</v>
      </c>
      <c r="O49" s="39" t="s">
        <v>26</v>
      </c>
      <c r="P49" s="39">
        <v>2</v>
      </c>
      <c r="BO49" t="e">
        <f>(BF49*(1800*AE49))/#REF!</f>
        <v>#REF!</v>
      </c>
      <c r="BP49" t="e">
        <f>(BG49*(1800*AF49))/#REF!</f>
        <v>#REF!</v>
      </c>
      <c r="BQ49" t="e">
        <f>(BH49*(1800*AG49))/#REF!</f>
        <v>#REF!</v>
      </c>
      <c r="BR49">
        <f>(BI49*(1800*AH49))/P52</f>
        <v>0</v>
      </c>
      <c r="BS49" t="e">
        <f t="shared" si="9"/>
        <v>#DIV/0!</v>
      </c>
      <c r="BT49" t="e">
        <f t="shared" si="10"/>
        <v>#DIV/0!</v>
      </c>
      <c r="BU49" t="e">
        <f t="shared" si="11"/>
        <v>#DIV/0!</v>
      </c>
      <c r="BX49">
        <f t="shared" si="4"/>
        <v>0</v>
      </c>
      <c r="BY49">
        <f t="shared" si="12"/>
        <v>0</v>
      </c>
      <c r="BZ49">
        <f t="shared" si="13"/>
        <v>0</v>
      </c>
      <c r="CA49">
        <f t="shared" si="14"/>
        <v>0</v>
      </c>
      <c r="CB49">
        <f t="shared" si="15"/>
        <v>0</v>
      </c>
      <c r="CC49">
        <f t="shared" si="16"/>
        <v>0</v>
      </c>
      <c r="CD49">
        <f t="shared" si="17"/>
        <v>0</v>
      </c>
      <c r="CG49" t="e">
        <f t="shared" si="5"/>
        <v>#REF!</v>
      </c>
      <c r="CH49" t="e">
        <f t="shared" si="18"/>
        <v>#REF!</v>
      </c>
      <c r="CI49" t="e">
        <f t="shared" si="19"/>
        <v>#REF!</v>
      </c>
      <c r="CJ49" t="e">
        <f t="shared" si="20"/>
        <v>#VALUE!</v>
      </c>
      <c r="CK49" t="e">
        <f>BS49-#REF!</f>
        <v>#DIV/0!</v>
      </c>
      <c r="CL49" t="e">
        <f>BT49-#REF!</f>
        <v>#DIV/0!</v>
      </c>
      <c r="CM49" t="e">
        <f>BU49-#REF!</f>
        <v>#DIV/0!</v>
      </c>
    </row>
    <row r="50" spans="6:91" ht="15" thickBot="1" x14ac:dyDescent="0.35">
      <c r="F50" s="39" t="s">
        <v>24</v>
      </c>
      <c r="G50" s="39" t="s">
        <v>24</v>
      </c>
      <c r="H50" s="39" t="s">
        <v>28</v>
      </c>
      <c r="I50" s="39" t="s">
        <v>27</v>
      </c>
      <c r="J50" s="39" t="s">
        <v>26</v>
      </c>
      <c r="K50" s="39" t="s">
        <v>26</v>
      </c>
      <c r="L50" s="39" t="s">
        <v>27</v>
      </c>
      <c r="M50" s="39" t="s">
        <v>26</v>
      </c>
      <c r="N50" s="39" t="s">
        <v>27</v>
      </c>
      <c r="O50" s="39" t="s">
        <v>26</v>
      </c>
      <c r="P50" s="39">
        <v>2</v>
      </c>
      <c r="BO50" t="e">
        <f>(BF50*(1800*AE50))/#REF!</f>
        <v>#REF!</v>
      </c>
      <c r="BP50" t="e">
        <f>(BG50*(1800*AF50))/#REF!</f>
        <v>#REF!</v>
      </c>
      <c r="BQ50" t="e">
        <f>(BH50*(1800*AG50))/#REF!</f>
        <v>#REF!</v>
      </c>
      <c r="BR50">
        <f>(BI50*(1800*AH50))/P53</f>
        <v>0</v>
      </c>
      <c r="BS50" t="e">
        <f t="shared" si="9"/>
        <v>#DIV/0!</v>
      </c>
      <c r="BT50" t="e">
        <f t="shared" si="10"/>
        <v>#DIV/0!</v>
      </c>
      <c r="BU50" t="e">
        <f t="shared" si="11"/>
        <v>#DIV/0!</v>
      </c>
      <c r="BX50">
        <f t="shared" si="4"/>
        <v>0</v>
      </c>
      <c r="BY50">
        <f t="shared" si="12"/>
        <v>0</v>
      </c>
      <c r="BZ50">
        <f t="shared" si="13"/>
        <v>0</v>
      </c>
      <c r="CA50">
        <f t="shared" si="14"/>
        <v>0</v>
      </c>
      <c r="CB50">
        <f t="shared" si="15"/>
        <v>0</v>
      </c>
      <c r="CC50">
        <f t="shared" si="16"/>
        <v>0</v>
      </c>
      <c r="CD50">
        <f t="shared" si="17"/>
        <v>0</v>
      </c>
      <c r="CG50" t="e">
        <f t="shared" si="5"/>
        <v>#REF!</v>
      </c>
      <c r="CH50" t="e">
        <f t="shared" si="18"/>
        <v>#REF!</v>
      </c>
      <c r="CI50" t="e">
        <f t="shared" si="19"/>
        <v>#REF!</v>
      </c>
      <c r="CJ50" t="e">
        <f t="shared" si="20"/>
        <v>#VALUE!</v>
      </c>
      <c r="CK50" t="e">
        <f>BS50-#REF!</f>
        <v>#DIV/0!</v>
      </c>
      <c r="CL50" t="e">
        <f>BT50-#REF!</f>
        <v>#DIV/0!</v>
      </c>
      <c r="CM50" t="e">
        <f>BU50-#REF!</f>
        <v>#DIV/0!</v>
      </c>
    </row>
    <row r="51" spans="6:91" ht="15" thickBot="1" x14ac:dyDescent="0.35">
      <c r="F51" s="39" t="s">
        <v>24</v>
      </c>
      <c r="G51" s="39" t="s">
        <v>24</v>
      </c>
      <c r="H51" s="39" t="s">
        <v>29</v>
      </c>
      <c r="I51" s="39" t="s">
        <v>26</v>
      </c>
      <c r="J51" s="39" t="s">
        <v>26</v>
      </c>
      <c r="K51" s="39" t="s">
        <v>26</v>
      </c>
      <c r="L51" s="39" t="s">
        <v>26</v>
      </c>
      <c r="M51" s="39" t="s">
        <v>26</v>
      </c>
      <c r="N51" s="39" t="s">
        <v>27</v>
      </c>
      <c r="O51" s="39" t="s">
        <v>27</v>
      </c>
      <c r="P51" s="39">
        <v>2</v>
      </c>
      <c r="BO51" t="e">
        <f>(BF51*(1800*AE51))/#REF!</f>
        <v>#REF!</v>
      </c>
      <c r="BP51" t="e">
        <f>(BG51*(1800*AF51))/#REF!</f>
        <v>#REF!</v>
      </c>
      <c r="BQ51" t="e">
        <f>(BH51*(1800*AG51))/#REF!</f>
        <v>#REF!</v>
      </c>
      <c r="BR51">
        <f>(BI51*(1800*AH51))/P54</f>
        <v>0</v>
      </c>
      <c r="BS51" t="e">
        <f t="shared" si="9"/>
        <v>#DIV/0!</v>
      </c>
      <c r="BT51" t="e">
        <f t="shared" si="10"/>
        <v>#DIV/0!</v>
      </c>
      <c r="BU51" t="e">
        <f t="shared" si="11"/>
        <v>#DIV/0!</v>
      </c>
      <c r="BX51">
        <f t="shared" si="4"/>
        <v>0</v>
      </c>
      <c r="BY51">
        <f t="shared" si="12"/>
        <v>0</v>
      </c>
      <c r="BZ51">
        <f t="shared" si="13"/>
        <v>0</v>
      </c>
      <c r="CA51">
        <f t="shared" si="14"/>
        <v>0</v>
      </c>
      <c r="CB51">
        <f t="shared" si="15"/>
        <v>0</v>
      </c>
      <c r="CC51">
        <f t="shared" si="16"/>
        <v>0</v>
      </c>
      <c r="CD51">
        <f t="shared" si="17"/>
        <v>0</v>
      </c>
      <c r="CG51" t="e">
        <f t="shared" si="5"/>
        <v>#REF!</v>
      </c>
      <c r="CH51" t="e">
        <f t="shared" si="18"/>
        <v>#REF!</v>
      </c>
      <c r="CI51" t="e">
        <f t="shared" si="19"/>
        <v>#REF!</v>
      </c>
      <c r="CJ51" t="e">
        <f t="shared" si="20"/>
        <v>#VALUE!</v>
      </c>
      <c r="CK51" t="e">
        <f>BS51-#REF!</f>
        <v>#DIV/0!</v>
      </c>
      <c r="CL51" t="e">
        <f>BT51-#REF!</f>
        <v>#DIV/0!</v>
      </c>
      <c r="CM51" t="e">
        <f>BU51-#REF!</f>
        <v>#DIV/0!</v>
      </c>
    </row>
    <row r="52" spans="6:91" ht="15" thickBot="1" x14ac:dyDescent="0.35">
      <c r="F52" s="39" t="s">
        <v>24</v>
      </c>
      <c r="G52" s="39" t="s">
        <v>24</v>
      </c>
      <c r="H52" s="39" t="s">
        <v>25</v>
      </c>
      <c r="I52" s="39" t="s">
        <v>27</v>
      </c>
      <c r="J52" s="39" t="s">
        <v>27</v>
      </c>
      <c r="K52" s="39" t="s">
        <v>27</v>
      </c>
      <c r="L52" s="39" t="s">
        <v>26</v>
      </c>
      <c r="M52" s="39" t="s">
        <v>26</v>
      </c>
      <c r="N52" s="39" t="s">
        <v>26</v>
      </c>
      <c r="O52" s="39" t="s">
        <v>26</v>
      </c>
      <c r="P52" s="39">
        <v>2</v>
      </c>
      <c r="BO52" t="e">
        <f>(BF52*(1800*AE52))/#REF!</f>
        <v>#REF!</v>
      </c>
      <c r="BP52" t="e">
        <f>(BG52*(1800*AF52))/#REF!</f>
        <v>#REF!</v>
      </c>
      <c r="BQ52" t="e">
        <f>(BH52*(1800*AG52))/#REF!</f>
        <v>#REF!</v>
      </c>
      <c r="BR52">
        <f>(BI52*(1800*AH52))/P55</f>
        <v>0</v>
      </c>
      <c r="BS52" t="e">
        <f t="shared" si="9"/>
        <v>#DIV/0!</v>
      </c>
      <c r="BT52" t="e">
        <f t="shared" si="10"/>
        <v>#DIV/0!</v>
      </c>
      <c r="BU52" t="e">
        <f t="shared" si="11"/>
        <v>#DIV/0!</v>
      </c>
      <c r="BX52">
        <f t="shared" si="4"/>
        <v>0</v>
      </c>
      <c r="BY52">
        <f t="shared" si="12"/>
        <v>0</v>
      </c>
      <c r="BZ52">
        <f t="shared" si="13"/>
        <v>0</v>
      </c>
      <c r="CA52">
        <f t="shared" si="14"/>
        <v>0</v>
      </c>
      <c r="CB52">
        <f t="shared" si="15"/>
        <v>0</v>
      </c>
      <c r="CC52">
        <f t="shared" si="16"/>
        <v>0</v>
      </c>
      <c r="CD52">
        <f t="shared" si="17"/>
        <v>0</v>
      </c>
      <c r="CG52" t="e">
        <f t="shared" si="5"/>
        <v>#REF!</v>
      </c>
      <c r="CH52" t="e">
        <f t="shared" si="18"/>
        <v>#REF!</v>
      </c>
      <c r="CI52" t="e">
        <f t="shared" si="19"/>
        <v>#REF!</v>
      </c>
      <c r="CJ52" t="e">
        <f>BR52-G52</f>
        <v>#VALUE!</v>
      </c>
      <c r="CK52" t="e">
        <f>BS52-#REF!</f>
        <v>#DIV/0!</v>
      </c>
      <c r="CL52" t="e">
        <f>BT52-#REF!</f>
        <v>#DIV/0!</v>
      </c>
      <c r="CM52" t="e">
        <f>BU52-#REF!</f>
        <v>#DIV/0!</v>
      </c>
    </row>
    <row r="53" spans="6:91" ht="15" thickBot="1" x14ac:dyDescent="0.35">
      <c r="F53" s="39" t="s">
        <v>24</v>
      </c>
      <c r="G53" s="39" t="s">
        <v>24</v>
      </c>
      <c r="H53" s="39" t="s">
        <v>28</v>
      </c>
      <c r="I53" s="39" t="s">
        <v>26</v>
      </c>
      <c r="J53" s="39" t="s">
        <v>27</v>
      </c>
      <c r="K53" s="39" t="s">
        <v>26</v>
      </c>
      <c r="L53" s="39" t="s">
        <v>26</v>
      </c>
      <c r="M53" s="39" t="s">
        <v>26</v>
      </c>
      <c r="N53" s="39" t="s">
        <v>26</v>
      </c>
      <c r="O53" s="39" t="s">
        <v>26</v>
      </c>
      <c r="P53" s="39">
        <v>2</v>
      </c>
      <c r="BD53">
        <f>SUM(AW53:BC53)</f>
        <v>0</v>
      </c>
      <c r="BF53">
        <f>SUM(BF5:BF52)</f>
        <v>0</v>
      </c>
      <c r="BG53">
        <f t="shared" ref="BG53:BL53" si="26">SUM(BG5:BG52)</f>
        <v>0</v>
      </c>
      <c r="BH53">
        <f t="shared" si="26"/>
        <v>0</v>
      </c>
      <c r="BI53">
        <f t="shared" si="26"/>
        <v>0</v>
      </c>
      <c r="BJ53">
        <f t="shared" si="26"/>
        <v>0</v>
      </c>
      <c r="BK53">
        <f t="shared" si="26"/>
        <v>0</v>
      </c>
      <c r="BL53">
        <f t="shared" si="26"/>
        <v>0</v>
      </c>
      <c r="BM53">
        <f>SUM(BF53:BL53)</f>
        <v>0</v>
      </c>
      <c r="BN53" t="s">
        <v>11</v>
      </c>
      <c r="BO53" t="e">
        <f>SUM(BO5:BO52)</f>
        <v>#VALUE!</v>
      </c>
      <c r="BP53" t="e">
        <f t="shared" ref="BP53" si="27">SUM(BP5:BP52)</f>
        <v>#VALUE!</v>
      </c>
      <c r="BQ53" t="e">
        <f t="shared" ref="BQ53" si="28">SUM(BQ5:BQ52)</f>
        <v>#VALUE!</v>
      </c>
      <c r="BR53">
        <f t="shared" ref="BR53" si="29">SUM(BR5:BR52)</f>
        <v>0</v>
      </c>
      <c r="BS53" t="e">
        <f t="shared" ref="BS53" si="30">SUM(BS5:BS52)</f>
        <v>#DIV/0!</v>
      </c>
      <c r="BT53" t="e">
        <f t="shared" ref="BT53" si="31">SUM(BT5:BT52)</f>
        <v>#DIV/0!</v>
      </c>
      <c r="BU53" t="e">
        <f t="shared" ref="BU53" si="32">SUM(BU5:BU52)</f>
        <v>#DIV/0!</v>
      </c>
      <c r="BV53" t="e">
        <f>SUM(BO53:BU53)</f>
        <v>#VALUE!</v>
      </c>
      <c r="BW53" t="s">
        <v>11</v>
      </c>
      <c r="BX53">
        <f>SUM(BX5:BX52)</f>
        <v>0</v>
      </c>
      <c r="BY53">
        <f t="shared" ref="BY53" si="33">SUM(BY5:BY52)</f>
        <v>0</v>
      </c>
      <c r="BZ53">
        <f t="shared" ref="BZ53" si="34">SUM(BZ5:BZ52)</f>
        <v>0</v>
      </c>
      <c r="CA53">
        <f t="shared" ref="CA53" si="35">SUM(CA5:CA52)</f>
        <v>0</v>
      </c>
      <c r="CB53">
        <f t="shared" ref="CB53" si="36">SUM(CB5:CB52)</f>
        <v>0</v>
      </c>
      <c r="CC53">
        <f t="shared" ref="CC53" si="37">SUM(CC5:CC52)</f>
        <v>0</v>
      </c>
      <c r="CD53">
        <f t="shared" ref="CD53" si="38">SUM(CD5:CD52)</f>
        <v>0</v>
      </c>
      <c r="CF53" t="s">
        <v>11</v>
      </c>
      <c r="CG53" t="e">
        <f>SUM(CG5:CG52)</f>
        <v>#VALUE!</v>
      </c>
      <c r="CH53" t="e">
        <f t="shared" ref="CH53" si="39">SUM(CH5:CH52)</f>
        <v>#VALUE!</v>
      </c>
      <c r="CI53" t="e">
        <f t="shared" ref="CI53" si="40">SUM(CI5:CI52)</f>
        <v>#VALUE!</v>
      </c>
      <c r="CJ53" t="e">
        <f t="shared" ref="CJ53" si="41">SUM(CJ5:CJ52)</f>
        <v>#VALUE!</v>
      </c>
      <c r="CK53" t="e">
        <f t="shared" ref="CK53" si="42">SUM(CK5:CK52)</f>
        <v>#DIV/0!</v>
      </c>
      <c r="CL53" t="e">
        <f t="shared" ref="CL53" si="43">SUM(CL5:CL52)</f>
        <v>#DIV/0!</v>
      </c>
      <c r="CM53" t="e">
        <f t="shared" ref="CM53" si="44">SUM(CM5:CM52)</f>
        <v>#DIV/0!</v>
      </c>
    </row>
    <row r="54" spans="6:91" ht="15" thickBot="1" x14ac:dyDescent="0.35">
      <c r="F54" s="39" t="s">
        <v>24</v>
      </c>
      <c r="G54" s="39" t="s">
        <v>24</v>
      </c>
      <c r="H54" s="39" t="s">
        <v>29</v>
      </c>
      <c r="I54" s="39" t="s">
        <v>26</v>
      </c>
      <c r="J54" s="39" t="s">
        <v>26</v>
      </c>
      <c r="K54" s="39" t="s">
        <v>27</v>
      </c>
      <c r="L54" s="39" t="s">
        <v>26</v>
      </c>
      <c r="M54" s="39" t="s">
        <v>27</v>
      </c>
      <c r="N54" s="39" t="s">
        <v>26</v>
      </c>
      <c r="O54" s="39" t="s">
        <v>26</v>
      </c>
      <c r="P54" s="39">
        <v>2</v>
      </c>
      <c r="BD54" s="46">
        <f>(BD53)*70%</f>
        <v>0</v>
      </c>
    </row>
    <row r="55" spans="6:91" ht="15" thickBot="1" x14ac:dyDescent="0.35">
      <c r="F55" s="39" t="s">
        <v>24</v>
      </c>
      <c r="G55" s="39" t="s">
        <v>24</v>
      </c>
      <c r="H55" s="39" t="s">
        <v>25</v>
      </c>
      <c r="I55" s="39" t="s">
        <v>26</v>
      </c>
      <c r="J55" s="39" t="s">
        <v>26</v>
      </c>
      <c r="K55" s="39" t="s">
        <v>26</v>
      </c>
      <c r="L55" s="39" t="s">
        <v>26</v>
      </c>
      <c r="M55" s="39" t="s">
        <v>26</v>
      </c>
      <c r="N55" s="39" t="s">
        <v>27</v>
      </c>
      <c r="O55" s="39" t="s">
        <v>26</v>
      </c>
      <c r="P55" s="39">
        <v>2</v>
      </c>
    </row>
    <row r="56" spans="6:91" ht="15" thickBot="1" x14ac:dyDescent="0.35">
      <c r="F56" s="39" t="s">
        <v>24</v>
      </c>
      <c r="G56" s="39" t="s">
        <v>24</v>
      </c>
      <c r="H56" s="39" t="s">
        <v>28</v>
      </c>
      <c r="I56" s="39" t="s">
        <v>26</v>
      </c>
      <c r="J56" s="39" t="s">
        <v>26</v>
      </c>
      <c r="K56" s="39" t="s">
        <v>26</v>
      </c>
      <c r="L56" s="39" t="s">
        <v>26</v>
      </c>
      <c r="M56" s="39" t="s">
        <v>27</v>
      </c>
      <c r="N56" s="39" t="s">
        <v>27</v>
      </c>
      <c r="O56" s="39" t="s">
        <v>27</v>
      </c>
      <c r="P56" s="39">
        <v>2</v>
      </c>
    </row>
    <row r="57" spans="6:91" ht="15" thickBot="1" x14ac:dyDescent="0.35">
      <c r="F57" s="39" t="s">
        <v>24</v>
      </c>
      <c r="G57" s="39" t="s">
        <v>24</v>
      </c>
      <c r="H57" s="39" t="s">
        <v>29</v>
      </c>
      <c r="I57" s="39" t="s">
        <v>27</v>
      </c>
      <c r="J57" s="39" t="s">
        <v>26</v>
      </c>
      <c r="K57" s="39" t="s">
        <v>27</v>
      </c>
      <c r="L57" s="39" t="s">
        <v>26</v>
      </c>
      <c r="M57" s="39" t="s">
        <v>26</v>
      </c>
      <c r="N57" s="39" t="s">
        <v>26</v>
      </c>
      <c r="O57" s="39" t="s">
        <v>26</v>
      </c>
      <c r="P57" s="39">
        <v>2</v>
      </c>
    </row>
    <row r="58" spans="6:91" ht="15" thickBot="1" x14ac:dyDescent="0.35">
      <c r="F58" s="39" t="s">
        <v>24</v>
      </c>
      <c r="G58" s="39" t="s">
        <v>24</v>
      </c>
      <c r="H58" s="39" t="s">
        <v>25</v>
      </c>
      <c r="I58" s="39" t="s">
        <v>26</v>
      </c>
      <c r="J58" s="39" t="s">
        <v>27</v>
      </c>
      <c r="K58" s="39" t="s">
        <v>26</v>
      </c>
      <c r="L58" s="39" t="s">
        <v>27</v>
      </c>
      <c r="M58" s="39" t="s">
        <v>26</v>
      </c>
      <c r="N58" s="39" t="s">
        <v>26</v>
      </c>
      <c r="O58" s="39" t="s">
        <v>26</v>
      </c>
      <c r="P58" s="39">
        <v>2</v>
      </c>
    </row>
    <row r="59" spans="6:91" ht="15" thickBot="1" x14ac:dyDescent="0.35">
      <c r="F59" s="39" t="s">
        <v>24</v>
      </c>
      <c r="G59" s="39" t="s">
        <v>24</v>
      </c>
      <c r="H59" s="39" t="s">
        <v>28</v>
      </c>
      <c r="I59" s="39" t="s">
        <v>27</v>
      </c>
      <c r="J59" s="39" t="s">
        <v>26</v>
      </c>
      <c r="K59" s="39" t="s">
        <v>27</v>
      </c>
      <c r="L59" s="39" t="s">
        <v>26</v>
      </c>
      <c r="M59" s="39" t="s">
        <v>27</v>
      </c>
      <c r="N59" s="39" t="s">
        <v>26</v>
      </c>
      <c r="O59" s="39" t="s">
        <v>26</v>
      </c>
      <c r="P59" s="39">
        <v>2</v>
      </c>
    </row>
    <row r="60" spans="6:91" ht="15" thickBot="1" x14ac:dyDescent="0.35">
      <c r="F60" s="39" t="s">
        <v>24</v>
      </c>
      <c r="G60" s="39" t="s">
        <v>24</v>
      </c>
      <c r="H60" s="39" t="s">
        <v>29</v>
      </c>
      <c r="I60" s="39" t="s">
        <v>27</v>
      </c>
      <c r="J60" s="39" t="s">
        <v>26</v>
      </c>
      <c r="K60" s="39" t="s">
        <v>26</v>
      </c>
      <c r="L60" s="39" t="s">
        <v>27</v>
      </c>
      <c r="M60" s="39" t="s">
        <v>26</v>
      </c>
      <c r="N60" s="39" t="s">
        <v>27</v>
      </c>
      <c r="O60" s="39" t="s">
        <v>26</v>
      </c>
      <c r="P60" s="39">
        <v>2</v>
      </c>
    </row>
    <row r="61" spans="6:91" ht="15" thickBot="1" x14ac:dyDescent="0.35">
      <c r="F61" s="39" t="s">
        <v>24</v>
      </c>
      <c r="G61" s="39" t="s">
        <v>24</v>
      </c>
      <c r="H61" s="39" t="s">
        <v>25</v>
      </c>
      <c r="I61" s="39" t="s">
        <v>26</v>
      </c>
      <c r="J61" s="39" t="s">
        <v>26</v>
      </c>
      <c r="K61" s="39" t="s">
        <v>26</v>
      </c>
      <c r="L61" s="39" t="s">
        <v>26</v>
      </c>
      <c r="M61" s="39" t="s">
        <v>27</v>
      </c>
      <c r="N61" s="39" t="s">
        <v>27</v>
      </c>
      <c r="O61" s="39" t="s">
        <v>27</v>
      </c>
      <c r="P61" s="39">
        <v>2</v>
      </c>
    </row>
    <row r="62" spans="6:91" ht="15" thickBot="1" x14ac:dyDescent="0.35">
      <c r="F62" s="39" t="s">
        <v>24</v>
      </c>
      <c r="G62" s="39" t="s">
        <v>24</v>
      </c>
      <c r="H62" s="39" t="s">
        <v>28</v>
      </c>
      <c r="I62" s="39" t="s">
        <v>26</v>
      </c>
      <c r="J62" s="39" t="s">
        <v>26</v>
      </c>
      <c r="K62" s="39" t="s">
        <v>26</v>
      </c>
      <c r="L62" s="39" t="s">
        <v>26</v>
      </c>
      <c r="M62" s="39" t="s">
        <v>27</v>
      </c>
      <c r="N62" s="39" t="s">
        <v>27</v>
      </c>
      <c r="O62" s="39" t="s">
        <v>27</v>
      </c>
      <c r="P62" s="39">
        <v>2</v>
      </c>
    </row>
    <row r="63" spans="6:91" ht="15" thickBot="1" x14ac:dyDescent="0.35">
      <c r="F63" s="39" t="s">
        <v>24</v>
      </c>
      <c r="G63" s="39" t="s">
        <v>24</v>
      </c>
      <c r="H63" s="39" t="s">
        <v>29</v>
      </c>
      <c r="I63" s="39" t="s">
        <v>27</v>
      </c>
      <c r="J63" s="39" t="s">
        <v>26</v>
      </c>
      <c r="K63" s="39" t="s">
        <v>27</v>
      </c>
      <c r="L63" s="39" t="s">
        <v>26</v>
      </c>
      <c r="M63" s="39" t="s">
        <v>26</v>
      </c>
      <c r="N63" s="39" t="s">
        <v>26</v>
      </c>
      <c r="O63" s="39" t="s">
        <v>26</v>
      </c>
      <c r="P63" s="39">
        <v>2</v>
      </c>
    </row>
    <row r="64" spans="6:91" ht="15" thickBot="1" x14ac:dyDescent="0.35">
      <c r="F64" s="39" t="s">
        <v>24</v>
      </c>
      <c r="G64" s="39" t="s">
        <v>24</v>
      </c>
      <c r="H64" s="39" t="s">
        <v>25</v>
      </c>
      <c r="I64" s="39" t="s">
        <v>26</v>
      </c>
      <c r="J64" s="39" t="s">
        <v>27</v>
      </c>
      <c r="K64" s="39" t="s">
        <v>26</v>
      </c>
      <c r="L64" s="39" t="s">
        <v>27</v>
      </c>
      <c r="M64" s="39" t="s">
        <v>26</v>
      </c>
      <c r="N64" s="39" t="s">
        <v>26</v>
      </c>
      <c r="O64" s="39" t="s">
        <v>26</v>
      </c>
      <c r="P64" s="39">
        <v>2</v>
      </c>
    </row>
    <row r="65" spans="6:16" ht="15" thickBot="1" x14ac:dyDescent="0.35">
      <c r="F65" s="39" t="s">
        <v>24</v>
      </c>
      <c r="G65" s="39" t="s">
        <v>24</v>
      </c>
      <c r="H65" s="39" t="s">
        <v>28</v>
      </c>
      <c r="I65" s="39" t="s">
        <v>27</v>
      </c>
      <c r="J65" s="39" t="s">
        <v>26</v>
      </c>
      <c r="K65" s="39" t="s">
        <v>27</v>
      </c>
      <c r="L65" s="39" t="s">
        <v>26</v>
      </c>
      <c r="M65" s="39" t="s">
        <v>27</v>
      </c>
      <c r="N65" s="39" t="s">
        <v>26</v>
      </c>
      <c r="O65" s="39" t="s">
        <v>26</v>
      </c>
      <c r="P65" s="39">
        <v>2</v>
      </c>
    </row>
    <row r="66" spans="6:16" ht="15" thickBot="1" x14ac:dyDescent="0.35">
      <c r="F66" s="39" t="s">
        <v>24</v>
      </c>
      <c r="G66" s="39" t="s">
        <v>24</v>
      </c>
      <c r="H66" s="39" t="s">
        <v>29</v>
      </c>
      <c r="I66" s="39" t="s">
        <v>27</v>
      </c>
      <c r="J66" s="39" t="s">
        <v>26</v>
      </c>
      <c r="K66" s="39" t="s">
        <v>26</v>
      </c>
      <c r="L66" s="39" t="s">
        <v>27</v>
      </c>
      <c r="M66" s="39" t="s">
        <v>26</v>
      </c>
      <c r="N66" s="39" t="s">
        <v>27</v>
      </c>
      <c r="O66" s="39" t="s">
        <v>26</v>
      </c>
      <c r="P66" s="39">
        <v>2</v>
      </c>
    </row>
    <row r="67" spans="6:16" ht="15" thickBot="1" x14ac:dyDescent="0.35">
      <c r="F67" s="39" t="s">
        <v>24</v>
      </c>
      <c r="G67" s="39" t="s">
        <v>24</v>
      </c>
      <c r="H67" s="39" t="s">
        <v>25</v>
      </c>
      <c r="I67" s="39" t="s">
        <v>26</v>
      </c>
      <c r="J67" s="39" t="s">
        <v>26</v>
      </c>
      <c r="K67" s="39" t="s">
        <v>26</v>
      </c>
      <c r="L67" s="39" t="s">
        <v>26</v>
      </c>
      <c r="M67" s="39" t="s">
        <v>27</v>
      </c>
      <c r="N67" s="39" t="s">
        <v>27</v>
      </c>
      <c r="O67" s="39" t="s">
        <v>27</v>
      </c>
      <c r="P67" s="39">
        <v>2</v>
      </c>
    </row>
    <row r="68" spans="6:16" ht="15" thickBot="1" x14ac:dyDescent="0.35">
      <c r="F68" s="39" t="s">
        <v>24</v>
      </c>
      <c r="G68" s="39" t="s">
        <v>24</v>
      </c>
      <c r="H68" s="39" t="s">
        <v>25</v>
      </c>
      <c r="I68" s="39" t="s">
        <v>26</v>
      </c>
      <c r="J68" s="39" t="s">
        <v>26</v>
      </c>
      <c r="K68" s="39" t="s">
        <v>26</v>
      </c>
      <c r="L68" s="39" t="s">
        <v>26</v>
      </c>
      <c r="M68" s="39" t="s">
        <v>27</v>
      </c>
      <c r="N68" s="39" t="s">
        <v>27</v>
      </c>
      <c r="O68" s="39" t="s">
        <v>27</v>
      </c>
      <c r="P68" s="39">
        <v>2</v>
      </c>
    </row>
    <row r="69" spans="6:16" ht="15" thickBot="1" x14ac:dyDescent="0.35">
      <c r="H69" s="39"/>
    </row>
    <row r="70" spans="6:16" ht="15" thickBot="1" x14ac:dyDescent="0.35">
      <c r="H70" s="39" t="s">
        <v>22</v>
      </c>
      <c r="I70" s="39" t="s">
        <v>4</v>
      </c>
      <c r="J70" s="39" t="s">
        <v>5</v>
      </c>
      <c r="K70" s="39" t="s">
        <v>6</v>
      </c>
      <c r="L70" s="39" t="s">
        <v>7</v>
      </c>
      <c r="M70" s="39" t="s">
        <v>8</v>
      </c>
      <c r="N70" s="39" t="s">
        <v>9</v>
      </c>
      <c r="O70" s="39" t="s">
        <v>10</v>
      </c>
    </row>
    <row r="71" spans="6:16" ht="15" thickBot="1" x14ac:dyDescent="0.35">
      <c r="H71" s="39" t="s">
        <v>25</v>
      </c>
      <c r="I71" s="40">
        <f>COUNTIFS($H$4:$H$68,$H71,I$4:I$68,"P")</f>
        <v>14</v>
      </c>
      <c r="J71" s="40">
        <f t="shared" ref="J71:O73" si="45">COUNTIFS($H$4:$H$68,$H71,J$4:J$68,"P")</f>
        <v>14</v>
      </c>
      <c r="K71" s="40">
        <f t="shared" si="45"/>
        <v>18</v>
      </c>
      <c r="L71" s="40">
        <f t="shared" si="45"/>
        <v>19</v>
      </c>
      <c r="M71" s="40">
        <f t="shared" si="45"/>
        <v>13</v>
      </c>
      <c r="N71" s="40">
        <f t="shared" si="45"/>
        <v>14</v>
      </c>
      <c r="O71" s="40">
        <f t="shared" si="45"/>
        <v>17</v>
      </c>
    </row>
    <row r="72" spans="6:16" ht="15" thickBot="1" x14ac:dyDescent="0.35">
      <c r="H72" s="39" t="s">
        <v>28</v>
      </c>
      <c r="I72" s="40">
        <f t="shared" ref="I72:I73" si="46">COUNTIFS($H$4:$H$68,$H72,I$4:I$68,"P")</f>
        <v>13</v>
      </c>
      <c r="J72" s="40">
        <f t="shared" si="45"/>
        <v>16</v>
      </c>
      <c r="K72" s="40">
        <f t="shared" si="45"/>
        <v>13</v>
      </c>
      <c r="L72" s="40">
        <f t="shared" si="45"/>
        <v>15</v>
      </c>
      <c r="M72" s="40">
        <f>COUNTIFS($H$4:$H$68,$H72,M$4:M$68,"P")</f>
        <v>13</v>
      </c>
      <c r="N72" s="40">
        <f t="shared" si="45"/>
        <v>12</v>
      </c>
      <c r="O72" s="40">
        <f t="shared" si="45"/>
        <v>16</v>
      </c>
    </row>
    <row r="73" spans="6:16" ht="15" thickBot="1" x14ac:dyDescent="0.35">
      <c r="H73" s="41" t="s">
        <v>29</v>
      </c>
      <c r="I73" s="40">
        <f t="shared" si="46"/>
        <v>14</v>
      </c>
      <c r="J73" s="40">
        <f t="shared" si="45"/>
        <v>15</v>
      </c>
      <c r="K73" s="40">
        <f t="shared" si="45"/>
        <v>14</v>
      </c>
      <c r="L73" s="40">
        <f t="shared" si="45"/>
        <v>16</v>
      </c>
      <c r="M73" s="40">
        <f t="shared" si="45"/>
        <v>16</v>
      </c>
      <c r="N73" s="40">
        <f t="shared" si="45"/>
        <v>12</v>
      </c>
      <c r="O73" s="40">
        <f t="shared" si="45"/>
        <v>18</v>
      </c>
    </row>
    <row r="74" spans="6:16" ht="15" thickBot="1" x14ac:dyDescent="0.35">
      <c r="H74" s="39" t="s">
        <v>11</v>
      </c>
      <c r="I74" s="38">
        <f t="shared" ref="I74:O74" si="47">SUM(I71:I73)</f>
        <v>41</v>
      </c>
      <c r="J74" s="38">
        <f t="shared" si="47"/>
        <v>45</v>
      </c>
      <c r="K74" s="38">
        <f t="shared" si="47"/>
        <v>45</v>
      </c>
      <c r="L74" s="38">
        <f t="shared" si="47"/>
        <v>50</v>
      </c>
      <c r="M74" s="38">
        <f t="shared" si="47"/>
        <v>42</v>
      </c>
      <c r="N74" s="38">
        <f t="shared" si="47"/>
        <v>38</v>
      </c>
      <c r="O74" s="38">
        <f t="shared" si="47"/>
        <v>51</v>
      </c>
    </row>
    <row r="76" spans="6:16" x14ac:dyDescent="0.3">
      <c r="H76" s="42" t="s">
        <v>41</v>
      </c>
      <c r="I76" s="3">
        <f>COUNTIF(I4:I68,"WO")</f>
        <v>24</v>
      </c>
      <c r="J76" s="3">
        <f t="shared" ref="J76:O76" si="48">COUNTIF(J4:J68,"WO")</f>
        <v>20</v>
      </c>
      <c r="K76" s="3">
        <f t="shared" si="48"/>
        <v>20</v>
      </c>
      <c r="L76" s="3">
        <f t="shared" si="48"/>
        <v>15</v>
      </c>
      <c r="M76" s="3">
        <f t="shared" si="48"/>
        <v>23</v>
      </c>
      <c r="N76" s="3">
        <f t="shared" si="48"/>
        <v>27</v>
      </c>
      <c r="O76" s="3">
        <f t="shared" si="48"/>
        <v>14</v>
      </c>
    </row>
  </sheetData>
  <phoneticPr fontId="5" type="noConversion"/>
  <conditionalFormatting sqref="I4:O68">
    <cfRule type="cellIs" dxfId="44" priority="1" operator="equal">
      <formula>"WO"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A6C24-447D-4822-9A28-8A34019F4E7A}">
  <sheetPr codeName="Sheet7"/>
  <dimension ref="A3:EK165"/>
  <sheetViews>
    <sheetView showGridLines="0" topLeftCell="AP46" workbookViewId="0">
      <selection activeCell="BG62" sqref="BG62"/>
    </sheetView>
  </sheetViews>
  <sheetFormatPr defaultRowHeight="14.4" x14ac:dyDescent="0.3"/>
  <cols>
    <col min="4" max="4" width="7.77734375" bestFit="1" customWidth="1"/>
    <col min="5" max="11" width="8.5546875" bestFit="1" customWidth="1"/>
    <col min="13" max="13" width="7.77734375" bestFit="1" customWidth="1"/>
    <col min="14" max="20" width="5.33203125" bestFit="1" customWidth="1"/>
    <col min="22" max="22" width="9.77734375" bestFit="1" customWidth="1"/>
    <col min="23" max="29" width="4.5546875" bestFit="1" customWidth="1"/>
    <col min="62" max="62" width="9.77734375" bestFit="1" customWidth="1"/>
    <col min="63" max="63" width="8" bestFit="1" customWidth="1"/>
    <col min="64" max="69" width="6.6640625" bestFit="1" customWidth="1"/>
    <col min="71" max="71" width="9.77734375" bestFit="1" customWidth="1"/>
    <col min="72" max="78" width="4.5546875" bestFit="1" customWidth="1"/>
    <col min="79" max="79" width="8.21875" bestFit="1" customWidth="1"/>
    <col min="80" max="80" width="7.21875" bestFit="1" customWidth="1"/>
    <col min="81" max="82" width="8.33203125" bestFit="1" customWidth="1"/>
    <col min="83" max="83" width="8.109375" bestFit="1" customWidth="1"/>
    <col min="84" max="85" width="8.33203125" bestFit="1" customWidth="1"/>
    <col min="86" max="86" width="8.109375" bestFit="1" customWidth="1"/>
    <col min="87" max="87" width="8.33203125" bestFit="1" customWidth="1"/>
    <col min="90" max="93" width="9.109375" bestFit="1" customWidth="1"/>
    <col min="94" max="94" width="9" bestFit="1" customWidth="1"/>
    <col min="95" max="96" width="9.109375" bestFit="1" customWidth="1"/>
    <col min="126" max="126" width="12" bestFit="1" customWidth="1"/>
  </cols>
  <sheetData>
    <row r="3" spans="2:102" ht="18" x14ac:dyDescent="0.35">
      <c r="AF3" s="59" t="s">
        <v>52</v>
      </c>
      <c r="AS3" s="23">
        <f>BA4/AV55</f>
        <v>-0.35209837025413515</v>
      </c>
      <c r="CC3">
        <f>((E7 * N7) / 3600) / AX59</f>
        <v>0.22799744897959187</v>
      </c>
    </row>
    <row r="4" spans="2:102" x14ac:dyDescent="0.3">
      <c r="AY4" t="s">
        <v>53</v>
      </c>
      <c r="BA4" s="60">
        <f>SUM(AX7:BD54)</f>
        <v>-1757.6750643086427</v>
      </c>
    </row>
    <row r="5" spans="2:102" x14ac:dyDescent="0.3">
      <c r="D5" t="s">
        <v>15</v>
      </c>
      <c r="E5" s="30">
        <f>SUM(E55:K55)</f>
        <v>20601.854166666664</v>
      </c>
      <c r="F5" s="30"/>
      <c r="M5" t="s">
        <v>14</v>
      </c>
      <c r="N5" s="36">
        <v>325.22202991608634</v>
      </c>
      <c r="V5" t="s">
        <v>39</v>
      </c>
      <c r="AE5" s="57" t="s">
        <v>50</v>
      </c>
      <c r="AK5" t="s">
        <v>51</v>
      </c>
      <c r="AN5" t="s">
        <v>19</v>
      </c>
      <c r="BF5" t="s">
        <v>30</v>
      </c>
      <c r="BQ5" t="s">
        <v>54</v>
      </c>
    </row>
    <row r="6" spans="2:102" x14ac:dyDescent="0.3">
      <c r="D6" s="2" t="s">
        <v>3</v>
      </c>
      <c r="E6" s="3" t="s">
        <v>4</v>
      </c>
      <c r="F6" s="3" t="s">
        <v>5</v>
      </c>
      <c r="G6" s="3" t="s">
        <v>6</v>
      </c>
      <c r="H6" s="3" t="s">
        <v>7</v>
      </c>
      <c r="I6" s="3" t="s">
        <v>8</v>
      </c>
      <c r="J6" s="3" t="s">
        <v>9</v>
      </c>
      <c r="K6" s="3" t="s">
        <v>10</v>
      </c>
      <c r="M6" s="2" t="s">
        <v>3</v>
      </c>
      <c r="N6" s="3" t="s">
        <v>4</v>
      </c>
      <c r="O6" s="3" t="s">
        <v>5</v>
      </c>
      <c r="P6" s="3" t="s">
        <v>6</v>
      </c>
      <c r="Q6" s="3" t="s">
        <v>7</v>
      </c>
      <c r="R6" s="3" t="s">
        <v>8</v>
      </c>
      <c r="S6" s="3" t="s">
        <v>9</v>
      </c>
      <c r="T6" s="3" t="s">
        <v>10</v>
      </c>
      <c r="V6" s="2" t="s">
        <v>3</v>
      </c>
      <c r="W6" s="3" t="s">
        <v>4</v>
      </c>
      <c r="X6" s="3" t="s">
        <v>5</v>
      </c>
      <c r="Y6" s="3" t="s">
        <v>6</v>
      </c>
      <c r="Z6" s="3" t="s">
        <v>7</v>
      </c>
      <c r="AA6" s="3" t="s">
        <v>8</v>
      </c>
      <c r="AB6" s="3" t="s">
        <v>9</v>
      </c>
      <c r="AC6" s="3" t="s">
        <v>10</v>
      </c>
      <c r="AE6" s="2" t="s">
        <v>3</v>
      </c>
      <c r="AF6" s="3" t="s">
        <v>4</v>
      </c>
      <c r="AG6" s="3" t="s">
        <v>5</v>
      </c>
      <c r="AH6" s="3" t="s">
        <v>6</v>
      </c>
      <c r="AI6" s="3" t="s">
        <v>7</v>
      </c>
      <c r="AJ6" s="3" t="s">
        <v>8</v>
      </c>
      <c r="AK6" s="3" t="s">
        <v>9</v>
      </c>
      <c r="AL6" s="3" t="s">
        <v>10</v>
      </c>
      <c r="AN6" s="2" t="s">
        <v>3</v>
      </c>
      <c r="AO6" s="3" t="s">
        <v>4</v>
      </c>
      <c r="AP6" s="3" t="s">
        <v>5</v>
      </c>
      <c r="AQ6" s="3" t="s">
        <v>6</v>
      </c>
      <c r="AR6" s="3" t="s">
        <v>7</v>
      </c>
      <c r="AS6" s="3" t="s">
        <v>8</v>
      </c>
      <c r="AT6" s="3" t="s">
        <v>9</v>
      </c>
      <c r="AU6" s="3" t="s">
        <v>10</v>
      </c>
      <c r="AW6" s="2" t="s">
        <v>3</v>
      </c>
      <c r="AX6" s="3" t="s">
        <v>4</v>
      </c>
      <c r="AY6" s="3" t="s">
        <v>5</v>
      </c>
      <c r="AZ6" s="3" t="s">
        <v>6</v>
      </c>
      <c r="BA6" s="3" t="s">
        <v>7</v>
      </c>
      <c r="BB6" s="3" t="s">
        <v>8</v>
      </c>
      <c r="BC6" s="3" t="s">
        <v>9</v>
      </c>
      <c r="BD6" s="3" t="s">
        <v>10</v>
      </c>
      <c r="BF6" s="2" t="s">
        <v>3</v>
      </c>
      <c r="BG6" s="3" t="s">
        <v>4</v>
      </c>
      <c r="BH6" s="3" t="s">
        <v>5</v>
      </c>
      <c r="BI6" s="3" t="s">
        <v>6</v>
      </c>
      <c r="BJ6" s="3" t="s">
        <v>7</v>
      </c>
      <c r="BK6" s="3" t="s">
        <v>8</v>
      </c>
      <c r="BL6" s="3" t="s">
        <v>9</v>
      </c>
      <c r="BM6" s="3" t="s">
        <v>10</v>
      </c>
      <c r="BO6" s="61"/>
      <c r="BP6" s="2" t="s">
        <v>3</v>
      </c>
      <c r="BQ6" s="3" t="s">
        <v>4</v>
      </c>
      <c r="BR6" s="3" t="s">
        <v>5</v>
      </c>
      <c r="BS6" s="3" t="s">
        <v>6</v>
      </c>
      <c r="BT6" s="3" t="s">
        <v>7</v>
      </c>
      <c r="BU6" s="3" t="s">
        <v>8</v>
      </c>
      <c r="BV6" s="3" t="s">
        <v>9</v>
      </c>
      <c r="BW6" s="3" t="s">
        <v>10</v>
      </c>
      <c r="BX6" s="61"/>
      <c r="BZ6" s="2" t="s">
        <v>3</v>
      </c>
      <c r="CA6" s="3" t="s">
        <v>4</v>
      </c>
      <c r="CB6" s="3" t="s">
        <v>5</v>
      </c>
      <c r="CC6" s="3" t="s">
        <v>6</v>
      </c>
      <c r="CD6" s="3" t="s">
        <v>7</v>
      </c>
      <c r="CE6" s="3" t="s">
        <v>8</v>
      </c>
      <c r="CF6" s="3" t="s">
        <v>9</v>
      </c>
      <c r="CG6" s="3" t="s">
        <v>10</v>
      </c>
      <c r="CQ6" t="s">
        <v>30</v>
      </c>
      <c r="CS6" t="s">
        <v>64</v>
      </c>
    </row>
    <row r="7" spans="2:102" x14ac:dyDescent="0.3">
      <c r="D7" s="6">
        <v>0</v>
      </c>
      <c r="E7" s="7">
        <v>25</v>
      </c>
      <c r="F7" s="7">
        <v>26.25</v>
      </c>
      <c r="G7" s="7">
        <v>23.25</v>
      </c>
      <c r="H7" s="7">
        <v>24</v>
      </c>
      <c r="I7" s="7">
        <v>17.005208333333332</v>
      </c>
      <c r="J7" s="7">
        <v>26.0625</v>
      </c>
      <c r="K7" s="7">
        <v>24.125</v>
      </c>
      <c r="M7" s="6">
        <v>0</v>
      </c>
      <c r="N7" s="7">
        <v>321.75</v>
      </c>
      <c r="O7" s="7">
        <v>314.93333333333334</v>
      </c>
      <c r="P7" s="7">
        <v>323.50943396226415</v>
      </c>
      <c r="Q7" s="7">
        <v>328.1010101010101</v>
      </c>
      <c r="R7" s="7">
        <v>327.77</v>
      </c>
      <c r="S7" s="7">
        <v>314.19</v>
      </c>
      <c r="T7" s="7">
        <v>321.52525252525254</v>
      </c>
      <c r="V7" s="6">
        <v>0</v>
      </c>
      <c r="W7" s="8">
        <v>0.3</v>
      </c>
      <c r="X7" s="8">
        <v>0.3</v>
      </c>
      <c r="Y7" s="8">
        <v>0.3</v>
      </c>
      <c r="Z7" s="8">
        <v>0.3</v>
      </c>
      <c r="AA7" s="8">
        <v>0.3</v>
      </c>
      <c r="AB7" s="8">
        <v>0.3</v>
      </c>
      <c r="AC7" s="8">
        <v>0.3</v>
      </c>
      <c r="AE7" s="6">
        <v>0</v>
      </c>
      <c r="AF7" s="7">
        <f>(E7*N7)/(3600*82%*(1-W7))</f>
        <v>3.8926393728222997</v>
      </c>
      <c r="AG7" s="7">
        <f t="shared" ref="AG7:AL7" si="0">(F7*O7)/(3600*82%*(1-X7))</f>
        <v>4.0006775067750677</v>
      </c>
      <c r="AH7" s="7">
        <f t="shared" si="0"/>
        <v>3.6399508031468453</v>
      </c>
      <c r="AI7" s="7">
        <f t="shared" si="0"/>
        <v>3.8106969814286882</v>
      </c>
      <c r="AJ7" s="7">
        <f t="shared" si="0"/>
        <v>2.697346658641437</v>
      </c>
      <c r="AK7" s="7">
        <f t="shared" si="0"/>
        <v>3.9627259364111493</v>
      </c>
      <c r="AL7" s="7">
        <f t="shared" si="0"/>
        <v>3.7537730919336609</v>
      </c>
      <c r="AN7" s="6">
        <v>0</v>
      </c>
      <c r="AO7" s="10">
        <v>14</v>
      </c>
      <c r="AP7" s="10">
        <v>15</v>
      </c>
      <c r="AQ7" s="10">
        <v>14</v>
      </c>
      <c r="AR7" s="10">
        <v>16</v>
      </c>
      <c r="AS7" s="10">
        <v>16</v>
      </c>
      <c r="AT7" s="10">
        <v>12</v>
      </c>
      <c r="AU7" s="10">
        <v>18</v>
      </c>
      <c r="AW7" s="6">
        <v>0</v>
      </c>
      <c r="AX7" s="10">
        <f>AF7-AO7</f>
        <v>-10.1073606271777</v>
      </c>
      <c r="AY7" s="10">
        <f t="shared" ref="AY7:BD7" si="1">AG7-AP7</f>
        <v>-10.999322493224932</v>
      </c>
      <c r="AZ7" s="10">
        <f t="shared" si="1"/>
        <v>-10.360049196853154</v>
      </c>
      <c r="BA7" s="10">
        <f t="shared" si="1"/>
        <v>-12.189303018571312</v>
      </c>
      <c r="BB7" s="10">
        <f t="shared" si="1"/>
        <v>-13.302653341358564</v>
      </c>
      <c r="BC7" s="10">
        <f t="shared" si="1"/>
        <v>-8.0372740635888498</v>
      </c>
      <c r="BD7" s="10">
        <f t="shared" si="1"/>
        <v>-14.246226908066339</v>
      </c>
      <c r="BF7" s="6">
        <v>0</v>
      </c>
      <c r="BG7" s="10">
        <f>AO7-AF7</f>
        <v>10.1073606271777</v>
      </c>
      <c r="BH7" s="10">
        <f t="shared" ref="BH7:BM7" si="2">AP7-AG7</f>
        <v>10.999322493224932</v>
      </c>
      <c r="BI7" s="10">
        <f t="shared" si="2"/>
        <v>10.360049196853154</v>
      </c>
      <c r="BJ7" s="10">
        <f t="shared" si="2"/>
        <v>12.189303018571312</v>
      </c>
      <c r="BK7" s="10">
        <f t="shared" si="2"/>
        <v>13.302653341358564</v>
      </c>
      <c r="BL7" s="10">
        <f t="shared" si="2"/>
        <v>8.0372740635888498</v>
      </c>
      <c r="BM7" s="10">
        <f t="shared" si="2"/>
        <v>14.246226908066339</v>
      </c>
      <c r="BO7" s="62"/>
      <c r="BP7" s="6">
        <v>0</v>
      </c>
      <c r="BQ7" s="65">
        <v>0.99990000000000001</v>
      </c>
      <c r="BR7" s="65">
        <v>1</v>
      </c>
      <c r="BS7" s="65">
        <v>0.99990000000000001</v>
      </c>
      <c r="BT7" s="65">
        <v>1</v>
      </c>
      <c r="BU7" s="65">
        <v>1</v>
      </c>
      <c r="BV7" s="65">
        <v>0.99829999999999997</v>
      </c>
      <c r="BW7" s="65">
        <v>1</v>
      </c>
      <c r="BX7" s="62"/>
      <c r="BY7" s="64"/>
      <c r="BZ7" s="6">
        <v>0</v>
      </c>
      <c r="CA7" s="67">
        <f>((E7 * N7) / 3600) / AX59</f>
        <v>0.22799744897959187</v>
      </c>
      <c r="CB7" s="67">
        <f t="shared" ref="CB7:CG7" si="3">((F7 * O7) / 3600) / AY59</f>
        <v>0.21870370370370371</v>
      </c>
      <c r="CC7" s="67">
        <f t="shared" si="3"/>
        <v>0.21319711847002953</v>
      </c>
      <c r="CD7" s="67">
        <f t="shared" si="3"/>
        <v>0.1952982202982203</v>
      </c>
      <c r="CE7" s="67">
        <f t="shared" si="3"/>
        <v>0.13823901625537366</v>
      </c>
      <c r="CF7" s="67">
        <f t="shared" si="3"/>
        <v>0.27078627232142866</v>
      </c>
      <c r="CG7" s="67">
        <f t="shared" si="3"/>
        <v>0.17100521863253343</v>
      </c>
      <c r="CQ7" s="2" t="s">
        <v>3</v>
      </c>
      <c r="CR7" s="3" t="s">
        <v>4</v>
      </c>
      <c r="CS7" s="3" t="s">
        <v>5</v>
      </c>
      <c r="CT7" s="3" t="s">
        <v>6</v>
      </c>
      <c r="CU7" s="3" t="s">
        <v>7</v>
      </c>
      <c r="CV7" s="3" t="s">
        <v>8</v>
      </c>
      <c r="CW7" s="3" t="s">
        <v>9</v>
      </c>
      <c r="CX7" s="3" t="s">
        <v>10</v>
      </c>
    </row>
    <row r="8" spans="2:102" x14ac:dyDescent="0.3">
      <c r="D8" s="6">
        <v>2.0833333333333332E-2</v>
      </c>
      <c r="E8" s="7">
        <v>25</v>
      </c>
      <c r="F8" s="7">
        <v>26.25</v>
      </c>
      <c r="G8" s="7">
        <v>22.25</v>
      </c>
      <c r="H8" s="7">
        <v>24.5</v>
      </c>
      <c r="I8" s="7">
        <v>20.010416666666668</v>
      </c>
      <c r="J8" s="7">
        <v>24.4375</v>
      </c>
      <c r="K8" s="7">
        <v>22.3125</v>
      </c>
      <c r="M8" s="6">
        <v>2.0833333333333332E-2</v>
      </c>
      <c r="N8" s="7">
        <v>321.980198019802</v>
      </c>
      <c r="O8" s="7">
        <v>327.06796116504853</v>
      </c>
      <c r="P8" s="7">
        <v>330.42424242424244</v>
      </c>
      <c r="Q8" s="7">
        <v>325.39175257731961</v>
      </c>
      <c r="R8" s="7">
        <v>318.28282828282829</v>
      </c>
      <c r="S8" s="7">
        <v>328.32432432432432</v>
      </c>
      <c r="T8" s="7">
        <v>327.17272727272729</v>
      </c>
      <c r="V8" s="6">
        <v>2.0833333333333332E-2</v>
      </c>
      <c r="W8" s="8">
        <v>0.3</v>
      </c>
      <c r="X8" s="8">
        <v>0.3</v>
      </c>
      <c r="Y8" s="8">
        <v>0.3</v>
      </c>
      <c r="Z8" s="8">
        <v>0.3</v>
      </c>
      <c r="AA8" s="8">
        <v>0.3</v>
      </c>
      <c r="AB8" s="8">
        <v>0.3</v>
      </c>
      <c r="AC8" s="8">
        <v>0.3</v>
      </c>
      <c r="AE8" s="6">
        <v>2.0833333333333332E-2</v>
      </c>
      <c r="AF8" s="7">
        <f t="shared" ref="AF8:AF54" si="4">(E8*N8)/(3600*82%*(1-W8))</f>
        <v>3.8954243856441395</v>
      </c>
      <c r="AG8" s="7">
        <f t="shared" ref="AG8:AG54" si="5">(F8*O8)/(3600*82%*(1-X8))</f>
        <v>4.1548267424421814</v>
      </c>
      <c r="AH8" s="7">
        <f t="shared" ref="AH8:AH54" si="6">(G8*P8)/(3600*82%*(1-Y8))</f>
        <v>3.5578491066295941</v>
      </c>
      <c r="AI8" s="7">
        <f t="shared" ref="AI8:AI54" si="7">(H8*Q8)/(3600*82%*(1-Z8))</f>
        <v>3.8579645461403067</v>
      </c>
      <c r="AJ8" s="7">
        <f t="shared" ref="AJ8:AJ54" si="8">(I8*R8)/(3600*82%*(1-AA8))</f>
        <v>3.0821583487149207</v>
      </c>
      <c r="AK8" s="7">
        <f t="shared" ref="AK8:AK54" si="9">(J8*S8)/(3600*82%*(1-AB8))</f>
        <v>3.8828037532305824</v>
      </c>
      <c r="AL8" s="7">
        <f t="shared" ref="AL8:AL54" si="10">(K8*T8)/(3600*82%*(1-AC8))</f>
        <v>3.5327339708056171</v>
      </c>
      <c r="AN8" s="6">
        <v>2.0833333333333332E-2</v>
      </c>
      <c r="AO8" s="10">
        <v>14</v>
      </c>
      <c r="AP8" s="10">
        <v>15</v>
      </c>
      <c r="AQ8" s="10">
        <v>14</v>
      </c>
      <c r="AR8" s="10">
        <v>16</v>
      </c>
      <c r="AS8" s="10">
        <v>16</v>
      </c>
      <c r="AT8" s="10">
        <v>12</v>
      </c>
      <c r="AU8" s="10">
        <v>18</v>
      </c>
      <c r="AW8" s="6">
        <v>2.0833333333333332E-2</v>
      </c>
      <c r="AX8" s="10">
        <f t="shared" ref="AX8:AX54" si="11">AF8-AO8</f>
        <v>-10.104575614355861</v>
      </c>
      <c r="AY8" s="10">
        <f t="shared" ref="AY8:AY54" si="12">AG8-AP8</f>
        <v>-10.845173257557818</v>
      </c>
      <c r="AZ8" s="10">
        <f t="shared" ref="AZ8:AZ54" si="13">AH8-AQ8</f>
        <v>-10.442150893370407</v>
      </c>
      <c r="BA8" s="10">
        <f t="shared" ref="BA8:BA54" si="14">AI8-AR8</f>
        <v>-12.142035453859693</v>
      </c>
      <c r="BB8" s="10">
        <f t="shared" ref="BB8:BB54" si="15">AJ8-AS8</f>
        <v>-12.91784165128508</v>
      </c>
      <c r="BC8" s="10">
        <f t="shared" ref="BC8:BC54" si="16">AK8-AT8</f>
        <v>-8.1171962467694172</v>
      </c>
      <c r="BD8" s="10">
        <f t="shared" ref="BD8:BD54" si="17">AL8-AU8</f>
        <v>-14.467266029194382</v>
      </c>
      <c r="BF8" s="6">
        <v>2.0833333333333332E-2</v>
      </c>
      <c r="BG8" s="10">
        <f t="shared" ref="BG8:BG54" si="18">AO8-AF8</f>
        <v>10.104575614355861</v>
      </c>
      <c r="BH8" s="10">
        <f t="shared" ref="BH8:BH54" si="19">AP8-AG8</f>
        <v>10.845173257557818</v>
      </c>
      <c r="BI8" s="10">
        <f t="shared" ref="BI8:BI54" si="20">AQ8-AH8</f>
        <v>10.442150893370407</v>
      </c>
      <c r="BJ8" s="10">
        <f t="shared" ref="BJ8:BJ54" si="21">AR8-AI8</f>
        <v>12.142035453859693</v>
      </c>
      <c r="BK8" s="10">
        <f t="shared" ref="BK8:BK54" si="22">AS8-AJ8</f>
        <v>12.91784165128508</v>
      </c>
      <c r="BL8" s="10">
        <f t="shared" ref="BL8:BL54" si="23">AT8-AK8</f>
        <v>8.1171962467694172</v>
      </c>
      <c r="BM8" s="10">
        <f t="shared" ref="BM8:BM54" si="24">AU8-AL8</f>
        <v>14.467266029194382</v>
      </c>
      <c r="BO8" s="62"/>
      <c r="BP8" s="6">
        <v>2.0833333333333332E-2</v>
      </c>
      <c r="BQ8" s="65">
        <v>0.99990000000000001</v>
      </c>
      <c r="BR8" s="65">
        <v>0.99990000000000001</v>
      </c>
      <c r="BS8" s="65">
        <v>0.99990000000000001</v>
      </c>
      <c r="BT8" s="65">
        <v>1</v>
      </c>
      <c r="BU8" s="65">
        <v>1</v>
      </c>
      <c r="BV8" s="65">
        <v>0.99860000000000004</v>
      </c>
      <c r="BW8" s="65">
        <v>1</v>
      </c>
      <c r="BX8" s="62"/>
      <c r="BY8" s="64"/>
      <c r="BZ8" s="6">
        <v>2.0833333333333332E-2</v>
      </c>
      <c r="CA8" s="67">
        <f t="shared" ref="CA8:CA52" si="25">((E8 * N8) / 3600) / AX60</f>
        <v>0.22816057115915681</v>
      </c>
      <c r="CB8" s="67">
        <f t="shared" ref="CB8:CB52" si="26">((F8 * O8) / 3600) / AY60</f>
        <v>0.22713052858683927</v>
      </c>
      <c r="CC8" s="67">
        <f t="shared" ref="CC8:CC52" si="27">((G8 * P8) / 3600) / AZ60</f>
        <v>0.20838830481687629</v>
      </c>
      <c r="CD8" s="67">
        <f t="shared" ref="CD8:CD52" si="28">((H8 * Q8) / 3600) / BA60</f>
        <v>0.19772068298969073</v>
      </c>
      <c r="CE8" s="67">
        <f t="shared" ref="CE8:CE52" si="29">((I8 * R8) / 3600) / BB60</f>
        <v>0.15796061537163972</v>
      </c>
      <c r="CF8" s="67">
        <f t="shared" ref="CF8:CF52" si="30">((J8 * S8) / 3600) / BC60</f>
        <v>0.26532492313742317</v>
      </c>
      <c r="CG8" s="67">
        <f t="shared" ref="CG8:CG52" si="31">((K8 * T8) / 3600) / BD60</f>
        <v>0.16093565867003365</v>
      </c>
      <c r="CQ8" s="6">
        <v>0</v>
      </c>
      <c r="CR8" s="10">
        <f>'linear calc'!AW5*(1-'linear calc'!V5)</f>
        <v>9.7999999999999989</v>
      </c>
      <c r="CS8" s="10">
        <f>'linear calc'!AX5*(1-'linear calc'!W5)</f>
        <v>10.5</v>
      </c>
      <c r="CT8" s="10">
        <f>'linear calc'!AY5*(1-'linear calc'!X5)</f>
        <v>9.7999999999999989</v>
      </c>
      <c r="CU8" s="10">
        <f>'linear calc'!AZ5*(1-'linear calc'!Y5)</f>
        <v>11.2</v>
      </c>
      <c r="CV8" s="10">
        <f>'linear calc'!BA5*(1-'linear calc'!Z5)</f>
        <v>11.2</v>
      </c>
      <c r="CW8" s="10">
        <f>'linear calc'!BB5*(1-'linear calc'!AA5)</f>
        <v>8.3999999999999986</v>
      </c>
      <c r="CX8" s="10">
        <f>'linear calc'!BC5*(1-'linear calc'!AB5)</f>
        <v>12.6</v>
      </c>
    </row>
    <row r="9" spans="2:102" x14ac:dyDescent="0.3">
      <c r="D9" s="6">
        <v>4.1666666666666664E-2</v>
      </c>
      <c r="E9" s="7">
        <v>22.5</v>
      </c>
      <c r="F9" s="7">
        <v>25.75</v>
      </c>
      <c r="G9" s="7">
        <v>24</v>
      </c>
      <c r="H9" s="7">
        <v>26.25</v>
      </c>
      <c r="I9" s="7">
        <v>19.265625</v>
      </c>
      <c r="J9" s="7">
        <v>24</v>
      </c>
      <c r="K9" s="7">
        <v>24.375</v>
      </c>
      <c r="M9" s="6">
        <v>4.1666666666666664E-2</v>
      </c>
      <c r="N9" s="7">
        <v>327.40384615384613</v>
      </c>
      <c r="O9" s="7">
        <v>331.01960784313724</v>
      </c>
      <c r="P9" s="7">
        <v>314.3</v>
      </c>
      <c r="Q9" s="7">
        <v>328.6</v>
      </c>
      <c r="R9" s="7">
        <v>308.33999999999997</v>
      </c>
      <c r="S9" s="7">
        <v>331.29896907216494</v>
      </c>
      <c r="T9" s="7">
        <v>329.97872340425533</v>
      </c>
      <c r="V9" s="6">
        <v>4.1666666666666664E-2</v>
      </c>
      <c r="W9" s="8">
        <v>0.3</v>
      </c>
      <c r="X9" s="8">
        <v>0.3</v>
      </c>
      <c r="Y9" s="8">
        <v>0.3</v>
      </c>
      <c r="Z9" s="8">
        <v>0.3</v>
      </c>
      <c r="AA9" s="8">
        <v>0.3</v>
      </c>
      <c r="AB9" s="8">
        <v>0.3</v>
      </c>
      <c r="AC9" s="8">
        <v>0.3</v>
      </c>
      <c r="AE9" s="6">
        <v>4.1666666666666664E-2</v>
      </c>
      <c r="AF9" s="7">
        <f t="shared" si="4"/>
        <v>3.5649373492361294</v>
      </c>
      <c r="AG9" s="7">
        <f t="shared" si="5"/>
        <v>4.1249297822109865</v>
      </c>
      <c r="AH9" s="7">
        <f t="shared" si="6"/>
        <v>3.6504065040650406</v>
      </c>
      <c r="AI9" s="7">
        <f t="shared" si="7"/>
        <v>4.1742886178861784</v>
      </c>
      <c r="AJ9" s="7">
        <f t="shared" si="8"/>
        <v>2.8747400370209055</v>
      </c>
      <c r="AK9" s="7">
        <f t="shared" si="9"/>
        <v>3.84783936204605</v>
      </c>
      <c r="AL9" s="7">
        <f t="shared" si="10"/>
        <v>3.8923883967183137</v>
      </c>
      <c r="AN9" s="6">
        <v>4.1666666666666664E-2</v>
      </c>
      <c r="AO9" s="10">
        <v>14</v>
      </c>
      <c r="AP9" s="10">
        <v>15</v>
      </c>
      <c r="AQ9" s="10">
        <v>14</v>
      </c>
      <c r="AR9" s="10">
        <v>16</v>
      </c>
      <c r="AS9" s="10">
        <v>16</v>
      </c>
      <c r="AT9" s="10">
        <v>12</v>
      </c>
      <c r="AU9" s="10">
        <v>18</v>
      </c>
      <c r="AW9" s="6">
        <v>4.1666666666666664E-2</v>
      </c>
      <c r="AX9" s="10">
        <f t="shared" si="11"/>
        <v>-10.435062650763872</v>
      </c>
      <c r="AY9" s="10">
        <f t="shared" si="12"/>
        <v>-10.875070217789013</v>
      </c>
      <c r="AZ9" s="10">
        <f t="shared" si="13"/>
        <v>-10.349593495934959</v>
      </c>
      <c r="BA9" s="10">
        <f t="shared" si="14"/>
        <v>-11.825711382113822</v>
      </c>
      <c r="BB9" s="10">
        <f t="shared" si="15"/>
        <v>-13.125259962979094</v>
      </c>
      <c r="BC9" s="10">
        <f t="shared" si="16"/>
        <v>-8.1521606379539495</v>
      </c>
      <c r="BD9" s="10">
        <f t="shared" si="17"/>
        <v>-14.107611603281686</v>
      </c>
      <c r="BF9" s="6">
        <v>4.1666666666666664E-2</v>
      </c>
      <c r="BG9" s="10">
        <f t="shared" si="18"/>
        <v>10.435062650763872</v>
      </c>
      <c r="BH9" s="10">
        <f t="shared" si="19"/>
        <v>10.875070217789013</v>
      </c>
      <c r="BI9" s="10">
        <f t="shared" si="20"/>
        <v>10.349593495934959</v>
      </c>
      <c r="BJ9" s="10">
        <f t="shared" si="21"/>
        <v>11.825711382113822</v>
      </c>
      <c r="BK9" s="10">
        <f t="shared" si="22"/>
        <v>13.125259962979094</v>
      </c>
      <c r="BL9" s="10">
        <f t="shared" si="23"/>
        <v>8.1521606379539495</v>
      </c>
      <c r="BM9" s="10">
        <f t="shared" si="24"/>
        <v>14.107611603281686</v>
      </c>
      <c r="BO9" s="62"/>
      <c r="BP9" s="6">
        <v>4.1666666666666664E-2</v>
      </c>
      <c r="BQ9" s="65">
        <v>0.99980000000000002</v>
      </c>
      <c r="BR9" s="65">
        <v>0.99990000000000001</v>
      </c>
      <c r="BS9" s="65">
        <v>0.99990000000000001</v>
      </c>
      <c r="BT9" s="65">
        <v>1</v>
      </c>
      <c r="BU9" s="65">
        <v>1</v>
      </c>
      <c r="BV9" s="65">
        <v>0.99829999999999997</v>
      </c>
      <c r="BW9" s="65">
        <v>1</v>
      </c>
      <c r="BX9" s="62"/>
      <c r="BY9" s="64"/>
      <c r="BZ9" s="6">
        <v>4.1666666666666664E-2</v>
      </c>
      <c r="CA9" s="67">
        <f t="shared" si="25"/>
        <v>0.2088034733124019</v>
      </c>
      <c r="CB9" s="67">
        <f t="shared" si="26"/>
        <v>0.22549616142753393</v>
      </c>
      <c r="CC9" s="67">
        <f t="shared" si="27"/>
        <v>0.21380952380952384</v>
      </c>
      <c r="CD9" s="67">
        <f t="shared" si="28"/>
        <v>0.21393229166666666</v>
      </c>
      <c r="CE9" s="67">
        <f t="shared" si="29"/>
        <v>0.14733042689732143</v>
      </c>
      <c r="CF9" s="67">
        <f t="shared" si="30"/>
        <v>0.26293568973981346</v>
      </c>
      <c r="CG9" s="67">
        <f t="shared" si="31"/>
        <v>0.17731991585050097</v>
      </c>
      <c r="CQ9" s="6">
        <v>2.0833333333333332E-2</v>
      </c>
      <c r="CR9" s="10">
        <f>'linear calc'!AW6*(1-'linear calc'!V6)</f>
        <v>9.7999999999999989</v>
      </c>
      <c r="CS9" s="10">
        <f>'linear calc'!AX6*(1-'linear calc'!W6)</f>
        <v>10.5</v>
      </c>
      <c r="CT9" s="10">
        <f>'linear calc'!AY6*(1-'linear calc'!X6)</f>
        <v>9.7999999999999989</v>
      </c>
      <c r="CU9" s="10">
        <f>'linear calc'!AZ6*(1-'linear calc'!Y6)</f>
        <v>11.2</v>
      </c>
      <c r="CV9" s="10">
        <f>'linear calc'!BA6*(1-'linear calc'!Z6)</f>
        <v>11.2</v>
      </c>
      <c r="CW9" s="10">
        <f>'linear calc'!BB6*(1-'linear calc'!AA6)</f>
        <v>8.3999999999999986</v>
      </c>
      <c r="CX9" s="10">
        <f>'linear calc'!BC6*(1-'linear calc'!AB6)</f>
        <v>12.6</v>
      </c>
    </row>
    <row r="10" spans="2:102" x14ac:dyDescent="0.3">
      <c r="D10" s="6">
        <v>6.25E-2</v>
      </c>
      <c r="E10" s="7">
        <v>25.5</v>
      </c>
      <c r="F10" s="7">
        <v>25</v>
      </c>
      <c r="G10" s="7">
        <v>23.5</v>
      </c>
      <c r="H10" s="7">
        <v>26.5</v>
      </c>
      <c r="I10" s="7">
        <v>19.520833333333332</v>
      </c>
      <c r="J10" s="7">
        <v>27.3125</v>
      </c>
      <c r="K10" s="7">
        <v>24.75</v>
      </c>
      <c r="M10" s="6">
        <v>6.25E-2</v>
      </c>
      <c r="N10" s="7">
        <v>326.54716981132077</v>
      </c>
      <c r="O10" s="7">
        <v>319.06185567010311</v>
      </c>
      <c r="P10" s="7">
        <v>323.16216216216219</v>
      </c>
      <c r="Q10" s="7">
        <v>323.00961538461536</v>
      </c>
      <c r="R10" s="7">
        <v>321.90526315789475</v>
      </c>
      <c r="S10" s="7">
        <v>334.73333333333335</v>
      </c>
      <c r="T10" s="7">
        <v>332.84112149532712</v>
      </c>
      <c r="V10" s="6">
        <v>6.25E-2</v>
      </c>
      <c r="W10" s="8">
        <v>0.3</v>
      </c>
      <c r="X10" s="8">
        <v>0.3</v>
      </c>
      <c r="Y10" s="8">
        <v>0.3</v>
      </c>
      <c r="Z10" s="8">
        <v>0.3</v>
      </c>
      <c r="AA10" s="8">
        <v>0.3</v>
      </c>
      <c r="AB10" s="8">
        <v>0.3</v>
      </c>
      <c r="AC10" s="8">
        <v>0.3</v>
      </c>
      <c r="AE10" s="6">
        <v>6.25E-2</v>
      </c>
      <c r="AF10" s="7">
        <f t="shared" si="4"/>
        <v>4.0296906843731515</v>
      </c>
      <c r="AG10" s="7">
        <f t="shared" si="5"/>
        <v>3.8601173014675654</v>
      </c>
      <c r="AH10" s="7">
        <f t="shared" si="6"/>
        <v>3.6751407330675625</v>
      </c>
      <c r="AI10" s="7">
        <f t="shared" si="7"/>
        <v>4.1423513393787781</v>
      </c>
      <c r="AJ10" s="7">
        <f t="shared" si="8"/>
        <v>3.0409693143767278</v>
      </c>
      <c r="AK10" s="7">
        <f t="shared" si="9"/>
        <v>4.4243148309459288</v>
      </c>
      <c r="AL10" s="7">
        <f t="shared" si="10"/>
        <v>3.9865552443908956</v>
      </c>
      <c r="AN10" s="6">
        <v>6.25E-2</v>
      </c>
      <c r="AO10" s="10">
        <v>14</v>
      </c>
      <c r="AP10" s="10">
        <v>15</v>
      </c>
      <c r="AQ10" s="10">
        <v>14</v>
      </c>
      <c r="AR10" s="10">
        <v>16</v>
      </c>
      <c r="AS10" s="10">
        <v>16</v>
      </c>
      <c r="AT10" s="10">
        <v>12</v>
      </c>
      <c r="AU10" s="10">
        <v>18</v>
      </c>
      <c r="AW10" s="6">
        <v>6.25E-2</v>
      </c>
      <c r="AX10" s="10">
        <f t="shared" si="11"/>
        <v>-9.9703093156268494</v>
      </c>
      <c r="AY10" s="10">
        <f t="shared" si="12"/>
        <v>-11.139882698532436</v>
      </c>
      <c r="AZ10" s="10">
        <f t="shared" si="13"/>
        <v>-10.324859266932437</v>
      </c>
      <c r="BA10" s="10">
        <f t="shared" si="14"/>
        <v>-11.857648660621223</v>
      </c>
      <c r="BB10" s="10">
        <f t="shared" si="15"/>
        <v>-12.959030685623272</v>
      </c>
      <c r="BC10" s="10">
        <f t="shared" si="16"/>
        <v>-7.5756851690540712</v>
      </c>
      <c r="BD10" s="10">
        <f t="shared" si="17"/>
        <v>-14.013444755609104</v>
      </c>
      <c r="BF10" s="6">
        <v>6.25E-2</v>
      </c>
      <c r="BG10" s="10">
        <f t="shared" si="18"/>
        <v>9.9703093156268494</v>
      </c>
      <c r="BH10" s="10">
        <f t="shared" si="19"/>
        <v>11.139882698532436</v>
      </c>
      <c r="BI10" s="10">
        <f t="shared" si="20"/>
        <v>10.324859266932437</v>
      </c>
      <c r="BJ10" s="10">
        <f t="shared" si="21"/>
        <v>11.857648660621223</v>
      </c>
      <c r="BK10" s="10">
        <f t="shared" si="22"/>
        <v>12.959030685623272</v>
      </c>
      <c r="BL10" s="10">
        <f t="shared" si="23"/>
        <v>7.5756851690540712</v>
      </c>
      <c r="BM10" s="10">
        <f t="shared" si="24"/>
        <v>14.013444755609104</v>
      </c>
      <c r="BO10" s="62"/>
      <c r="BP10" s="6">
        <v>6.25E-2</v>
      </c>
      <c r="BQ10" s="65">
        <v>0.99990000000000001</v>
      </c>
      <c r="BR10" s="65">
        <v>0.99980000000000002</v>
      </c>
      <c r="BS10" s="65">
        <v>1</v>
      </c>
      <c r="BT10" s="65">
        <v>1</v>
      </c>
      <c r="BU10" s="65">
        <v>1</v>
      </c>
      <c r="BV10" s="65">
        <v>0.99870000000000003</v>
      </c>
      <c r="BW10" s="65">
        <v>1</v>
      </c>
      <c r="BX10" s="62"/>
      <c r="BY10" s="64"/>
      <c r="BZ10" s="6">
        <v>6.25E-2</v>
      </c>
      <c r="CA10" s="67">
        <f t="shared" si="25"/>
        <v>0.23602474008471322</v>
      </c>
      <c r="CB10" s="67">
        <f t="shared" si="26"/>
        <v>0.21101974581356023</v>
      </c>
      <c r="CC10" s="67">
        <f t="shared" si="27"/>
        <v>0.21525824293681439</v>
      </c>
      <c r="CD10" s="67">
        <f t="shared" si="28"/>
        <v>0.21229550614316239</v>
      </c>
      <c r="CE10" s="67">
        <f t="shared" si="29"/>
        <v>0.15584967736180733</v>
      </c>
      <c r="CF10" s="67">
        <f t="shared" si="30"/>
        <v>0.30232818011463852</v>
      </c>
      <c r="CG10" s="67">
        <f t="shared" si="31"/>
        <v>0.18160973891114082</v>
      </c>
      <c r="CQ10" s="6">
        <v>4.1666666666666664E-2</v>
      </c>
      <c r="CR10" s="10">
        <f>'linear calc'!AW7*(1-'linear calc'!V7)</f>
        <v>9.7999999999999989</v>
      </c>
      <c r="CS10" s="10">
        <f>'linear calc'!AX7*(1-'linear calc'!W7)</f>
        <v>10.5</v>
      </c>
      <c r="CT10" s="10">
        <f>'linear calc'!AY7*(1-'linear calc'!X7)</f>
        <v>9.7999999999999989</v>
      </c>
      <c r="CU10" s="10">
        <f>'linear calc'!AZ7*(1-'linear calc'!Y7)</f>
        <v>11.2</v>
      </c>
      <c r="CV10" s="10">
        <f>'linear calc'!BA7*(1-'linear calc'!Z7)</f>
        <v>11.2</v>
      </c>
      <c r="CW10" s="10">
        <f>'linear calc'!BB7*(1-'linear calc'!AA7)</f>
        <v>8.3999999999999986</v>
      </c>
      <c r="CX10" s="10">
        <f>'linear calc'!BC7*(1-'linear calc'!AB7)</f>
        <v>12.6</v>
      </c>
    </row>
    <row r="11" spans="2:102" x14ac:dyDescent="0.3">
      <c r="D11" s="6">
        <v>8.3333333333333329E-2</v>
      </c>
      <c r="E11" s="7">
        <v>25.25</v>
      </c>
      <c r="F11" s="7">
        <v>26.25</v>
      </c>
      <c r="G11" s="7">
        <v>24.75</v>
      </c>
      <c r="H11" s="7">
        <v>24</v>
      </c>
      <c r="I11" s="7">
        <v>20.526041666666668</v>
      </c>
      <c r="J11" s="7">
        <v>24.3125</v>
      </c>
      <c r="K11" s="7">
        <v>25.5625</v>
      </c>
      <c r="M11" s="6">
        <v>8.3333333333333329E-2</v>
      </c>
      <c r="N11" s="7">
        <v>326.73737373737373</v>
      </c>
      <c r="O11" s="7">
        <v>321.33333333333331</v>
      </c>
      <c r="P11" s="7">
        <v>321.61855670103091</v>
      </c>
      <c r="Q11" s="7">
        <v>328.10309278350513</v>
      </c>
      <c r="R11" s="7">
        <v>331.32710280373834</v>
      </c>
      <c r="S11" s="7">
        <v>335.20652173913044</v>
      </c>
      <c r="T11" s="7">
        <v>325.10000000000002</v>
      </c>
      <c r="V11" s="6">
        <v>8.3333333333333329E-2</v>
      </c>
      <c r="W11" s="8">
        <v>0.3</v>
      </c>
      <c r="X11" s="8">
        <v>0.3</v>
      </c>
      <c r="Y11" s="8">
        <v>0.3</v>
      </c>
      <c r="Z11" s="8">
        <v>0.3</v>
      </c>
      <c r="AA11" s="8">
        <v>0.3</v>
      </c>
      <c r="AB11" s="8">
        <v>0.3</v>
      </c>
      <c r="AC11" s="8">
        <v>0.3</v>
      </c>
      <c r="AE11" s="6">
        <v>8.3333333333333329E-2</v>
      </c>
      <c r="AF11" s="7">
        <f t="shared" si="4"/>
        <v>3.9925080753332787</v>
      </c>
      <c r="AG11" s="7">
        <f t="shared" si="5"/>
        <v>4.0819783197831976</v>
      </c>
      <c r="AH11" s="7">
        <f t="shared" si="6"/>
        <v>3.8521386364452743</v>
      </c>
      <c r="AI11" s="7">
        <f t="shared" si="7"/>
        <v>3.8107211705401287</v>
      </c>
      <c r="AJ11" s="7">
        <f t="shared" si="8"/>
        <v>3.2911507536999052</v>
      </c>
      <c r="AK11" s="7">
        <f t="shared" si="9"/>
        <v>3.9439162600573985</v>
      </c>
      <c r="AL11" s="7">
        <f t="shared" si="10"/>
        <v>4.0216650938830822</v>
      </c>
      <c r="AN11" s="6">
        <v>8.3333333333333329E-2</v>
      </c>
      <c r="AO11" s="10">
        <v>14</v>
      </c>
      <c r="AP11" s="10">
        <v>15</v>
      </c>
      <c r="AQ11" s="10">
        <v>14</v>
      </c>
      <c r="AR11" s="10">
        <v>16</v>
      </c>
      <c r="AS11" s="10">
        <v>16</v>
      </c>
      <c r="AT11" s="10">
        <v>12</v>
      </c>
      <c r="AU11" s="10">
        <v>18</v>
      </c>
      <c r="AW11" s="6">
        <v>8.3333333333333329E-2</v>
      </c>
      <c r="AX11" s="10">
        <f t="shared" si="11"/>
        <v>-10.007491924666722</v>
      </c>
      <c r="AY11" s="10">
        <f t="shared" si="12"/>
        <v>-10.918021680216803</v>
      </c>
      <c r="AZ11" s="10">
        <f t="shared" si="13"/>
        <v>-10.147861363554725</v>
      </c>
      <c r="BA11" s="10">
        <f t="shared" si="14"/>
        <v>-12.189278829459871</v>
      </c>
      <c r="BB11" s="10">
        <f t="shared" si="15"/>
        <v>-12.708849246300094</v>
      </c>
      <c r="BC11" s="10">
        <f t="shared" si="16"/>
        <v>-8.0560837399426006</v>
      </c>
      <c r="BD11" s="10">
        <f t="shared" si="17"/>
        <v>-13.978334906116917</v>
      </c>
      <c r="BF11" s="6">
        <v>8.3333333333333329E-2</v>
      </c>
      <c r="BG11" s="10">
        <f t="shared" si="18"/>
        <v>10.007491924666722</v>
      </c>
      <c r="BH11" s="10">
        <f t="shared" si="19"/>
        <v>10.918021680216803</v>
      </c>
      <c r="BI11" s="10">
        <f t="shared" si="20"/>
        <v>10.147861363554725</v>
      </c>
      <c r="BJ11" s="10">
        <f t="shared" si="21"/>
        <v>12.189278829459871</v>
      </c>
      <c r="BK11" s="10">
        <f t="shared" si="22"/>
        <v>12.708849246300094</v>
      </c>
      <c r="BL11" s="10">
        <f t="shared" si="23"/>
        <v>8.0560837399426006</v>
      </c>
      <c r="BM11" s="10">
        <f t="shared" si="24"/>
        <v>13.978334906116917</v>
      </c>
      <c r="BO11" s="62"/>
      <c r="BP11" s="6">
        <v>8.3333333333333329E-2</v>
      </c>
      <c r="BQ11" s="65">
        <v>0.99970000000000003</v>
      </c>
      <c r="BR11" s="65">
        <v>0.99990000000000001</v>
      </c>
      <c r="BS11" s="65">
        <v>0.99990000000000001</v>
      </c>
      <c r="BT11" s="65">
        <v>1</v>
      </c>
      <c r="BU11" s="65">
        <v>1</v>
      </c>
      <c r="BV11" s="65">
        <v>0.99839999999999995</v>
      </c>
      <c r="BW11" s="65">
        <v>1</v>
      </c>
      <c r="BX11" s="62"/>
      <c r="BY11" s="64"/>
      <c r="BZ11" s="6">
        <v>8.3333333333333329E-2</v>
      </c>
      <c r="CA11" s="67">
        <f t="shared" si="25"/>
        <v>0.23384690155523494</v>
      </c>
      <c r="CB11" s="67">
        <f t="shared" si="26"/>
        <v>0.22314814814814815</v>
      </c>
      <c r="CC11" s="67">
        <f t="shared" si="27"/>
        <v>0.22562526299179467</v>
      </c>
      <c r="CD11" s="67">
        <f t="shared" si="28"/>
        <v>0.19529945999018164</v>
      </c>
      <c r="CE11" s="67">
        <f t="shared" si="29"/>
        <v>0.16867147612712016</v>
      </c>
      <c r="CF11" s="67">
        <f t="shared" si="30"/>
        <v>0.26950094443725564</v>
      </c>
      <c r="CG11" s="67">
        <f t="shared" si="31"/>
        <v>0.18320918761022931</v>
      </c>
      <c r="CQ11" s="6">
        <v>6.25E-2</v>
      </c>
      <c r="CR11" s="10">
        <f>'linear calc'!AW8*(1-'linear calc'!V8)</f>
        <v>9.7999999999999989</v>
      </c>
      <c r="CS11" s="10">
        <f>'linear calc'!AX8*(1-'linear calc'!W8)</f>
        <v>10.5</v>
      </c>
      <c r="CT11" s="10">
        <f>'linear calc'!AY8*(1-'linear calc'!X8)</f>
        <v>9.7999999999999989</v>
      </c>
      <c r="CU11" s="10">
        <f>'linear calc'!AZ8*(1-'linear calc'!Y8)</f>
        <v>11.2</v>
      </c>
      <c r="CV11" s="10">
        <f>'linear calc'!BA8*(1-'linear calc'!Z8)</f>
        <v>11.2</v>
      </c>
      <c r="CW11" s="10">
        <f>'linear calc'!BB8*(1-'linear calc'!AA8)</f>
        <v>8.3999999999999986</v>
      </c>
      <c r="CX11" s="10">
        <f>'linear calc'!BC8*(1-'linear calc'!AB8)</f>
        <v>12.6</v>
      </c>
    </row>
    <row r="12" spans="2:102" x14ac:dyDescent="0.3">
      <c r="D12" s="6">
        <v>0.10416666666666666</v>
      </c>
      <c r="E12" s="7">
        <v>25.5</v>
      </c>
      <c r="F12" s="7">
        <v>25.25</v>
      </c>
      <c r="G12" s="7">
        <v>25.5</v>
      </c>
      <c r="H12" s="7">
        <v>22.25</v>
      </c>
      <c r="I12" s="7">
        <v>19.03125</v>
      </c>
      <c r="J12" s="7">
        <v>25.9375</v>
      </c>
      <c r="K12" s="7">
        <v>24.6875</v>
      </c>
      <c r="M12" s="6">
        <v>0.10416666666666666</v>
      </c>
      <c r="N12" s="7">
        <v>324.69</v>
      </c>
      <c r="O12" s="7">
        <v>324.52475247524751</v>
      </c>
      <c r="P12" s="7">
        <v>326.94949494949498</v>
      </c>
      <c r="Q12" s="7">
        <v>322.4736842105263</v>
      </c>
      <c r="R12" s="7">
        <v>329</v>
      </c>
      <c r="S12" s="7">
        <v>321.91176470588238</v>
      </c>
      <c r="T12" s="7">
        <v>320.8235294117647</v>
      </c>
      <c r="V12" s="6">
        <v>0.10416666666666666</v>
      </c>
      <c r="W12" s="8">
        <v>0.3</v>
      </c>
      <c r="X12" s="8">
        <v>0.3</v>
      </c>
      <c r="Y12" s="8">
        <v>0.3</v>
      </c>
      <c r="Z12" s="8">
        <v>0.3</v>
      </c>
      <c r="AA12" s="8">
        <v>0.3</v>
      </c>
      <c r="AB12" s="8">
        <v>0.3</v>
      </c>
      <c r="AC12" s="8">
        <v>0.3</v>
      </c>
      <c r="AE12" s="6">
        <v>0.10416666666666666</v>
      </c>
      <c r="AF12" s="7">
        <f t="shared" si="4"/>
        <v>4.006772648083623</v>
      </c>
      <c r="AG12" s="7">
        <f t="shared" si="5"/>
        <v>3.9654713511420825</v>
      </c>
      <c r="AH12" s="7">
        <f t="shared" si="6"/>
        <v>4.0346554980701326</v>
      </c>
      <c r="AI12" s="7">
        <f t="shared" si="7"/>
        <v>3.4722413248568573</v>
      </c>
      <c r="AJ12" s="7">
        <f t="shared" si="8"/>
        <v>3.0300431910569103</v>
      </c>
      <c r="AK12" s="7">
        <f t="shared" si="9"/>
        <v>4.0406438235863451</v>
      </c>
      <c r="AL12" s="7">
        <f t="shared" si="10"/>
        <v>3.8329127382660375</v>
      </c>
      <c r="AN12" s="6">
        <v>0.10416666666666666</v>
      </c>
      <c r="AO12" s="10">
        <v>14</v>
      </c>
      <c r="AP12" s="10">
        <v>15</v>
      </c>
      <c r="AQ12" s="10">
        <v>14</v>
      </c>
      <c r="AR12" s="10">
        <v>16</v>
      </c>
      <c r="AS12" s="10">
        <v>16</v>
      </c>
      <c r="AT12" s="10">
        <v>12</v>
      </c>
      <c r="AU12" s="10">
        <v>18</v>
      </c>
      <c r="AW12" s="6">
        <v>0.10416666666666666</v>
      </c>
      <c r="AX12" s="10">
        <f t="shared" si="11"/>
        <v>-9.9932273519163779</v>
      </c>
      <c r="AY12" s="10">
        <f t="shared" si="12"/>
        <v>-11.034528648857918</v>
      </c>
      <c r="AZ12" s="10">
        <f t="shared" si="13"/>
        <v>-9.9653445019298665</v>
      </c>
      <c r="BA12" s="10">
        <f t="shared" si="14"/>
        <v>-12.527758675143144</v>
      </c>
      <c r="BB12" s="10">
        <f t="shared" si="15"/>
        <v>-12.96995680894309</v>
      </c>
      <c r="BC12" s="10">
        <f t="shared" si="16"/>
        <v>-7.9593561764136549</v>
      </c>
      <c r="BD12" s="10">
        <f t="shared" si="17"/>
        <v>-14.167087261733963</v>
      </c>
      <c r="BF12" s="6">
        <v>0.10416666666666666</v>
      </c>
      <c r="BG12" s="10">
        <f t="shared" si="18"/>
        <v>9.9932273519163779</v>
      </c>
      <c r="BH12" s="10">
        <f t="shared" si="19"/>
        <v>11.034528648857918</v>
      </c>
      <c r="BI12" s="10">
        <f t="shared" si="20"/>
        <v>9.9653445019298665</v>
      </c>
      <c r="BJ12" s="10">
        <f t="shared" si="21"/>
        <v>12.527758675143144</v>
      </c>
      <c r="BK12" s="10">
        <f t="shared" si="22"/>
        <v>12.96995680894309</v>
      </c>
      <c r="BL12" s="10">
        <f t="shared" si="23"/>
        <v>7.9593561764136549</v>
      </c>
      <c r="BM12" s="10">
        <f t="shared" si="24"/>
        <v>14.167087261733963</v>
      </c>
      <c r="BO12" s="62"/>
      <c r="BP12" s="6">
        <v>0.10416666666666666</v>
      </c>
      <c r="BQ12" s="65">
        <v>0.99970000000000003</v>
      </c>
      <c r="BR12" s="65">
        <v>1</v>
      </c>
      <c r="BS12" s="65">
        <v>1</v>
      </c>
      <c r="BT12" s="65">
        <v>1</v>
      </c>
      <c r="BU12" s="65">
        <v>1</v>
      </c>
      <c r="BV12" s="65">
        <v>0.99929999999999997</v>
      </c>
      <c r="BW12" s="65">
        <v>1</v>
      </c>
      <c r="BX12" s="62"/>
      <c r="BY12" s="64"/>
      <c r="BZ12" s="6">
        <v>0.10416666666666666</v>
      </c>
      <c r="CA12" s="67">
        <f t="shared" si="25"/>
        <v>0.23468239795918366</v>
      </c>
      <c r="CB12" s="67">
        <f t="shared" si="26"/>
        <v>0.21677910052910052</v>
      </c>
      <c r="CC12" s="67">
        <f t="shared" si="27"/>
        <v>0.23631553631553637</v>
      </c>
      <c r="CD12" s="67">
        <f t="shared" si="28"/>
        <v>0.17795236789891394</v>
      </c>
      <c r="CE12" s="67">
        <f t="shared" si="29"/>
        <v>0.15528971354166668</v>
      </c>
      <c r="CF12" s="67">
        <f t="shared" si="30"/>
        <v>0.27611066127840028</v>
      </c>
      <c r="CG12" s="67">
        <f t="shared" si="31"/>
        <v>0.17461046918767506</v>
      </c>
      <c r="CQ12" s="6">
        <v>8.3333333333333329E-2</v>
      </c>
      <c r="CR12" s="10">
        <f>'linear calc'!AW9*(1-'linear calc'!V9)</f>
        <v>9.7999999999999989</v>
      </c>
      <c r="CS12" s="10">
        <f>'linear calc'!AX9*(1-'linear calc'!W9)</f>
        <v>10.5</v>
      </c>
      <c r="CT12" s="10">
        <f>'linear calc'!AY9*(1-'linear calc'!X9)</f>
        <v>9.7999999999999989</v>
      </c>
      <c r="CU12" s="10">
        <f>'linear calc'!AZ9*(1-'linear calc'!Y9)</f>
        <v>11.2</v>
      </c>
      <c r="CV12" s="10">
        <f>'linear calc'!BA9*(1-'linear calc'!Z9)</f>
        <v>11.2</v>
      </c>
      <c r="CW12" s="10">
        <f>'linear calc'!BB9*(1-'linear calc'!AA9)</f>
        <v>8.3999999999999986</v>
      </c>
      <c r="CX12" s="10">
        <f>'linear calc'!BC9*(1-'linear calc'!AB9)</f>
        <v>12.6</v>
      </c>
    </row>
    <row r="13" spans="2:102" x14ac:dyDescent="0.3">
      <c r="B13" t="str">
        <f>E6</f>
        <v>thu</v>
      </c>
      <c r="D13" s="6">
        <v>0.12499999999999999</v>
      </c>
      <c r="E13" s="7">
        <v>23.5</v>
      </c>
      <c r="F13" s="7">
        <v>28.75</v>
      </c>
      <c r="G13" s="7">
        <v>22.75</v>
      </c>
      <c r="H13" s="7">
        <v>24.75</v>
      </c>
      <c r="I13" s="7">
        <v>19.786458333333332</v>
      </c>
      <c r="J13" s="7">
        <v>24.625</v>
      </c>
      <c r="K13" s="7">
        <v>29.125</v>
      </c>
      <c r="M13" s="6">
        <v>0.12499999999999999</v>
      </c>
      <c r="N13" s="7">
        <v>333.59047619047618</v>
      </c>
      <c r="O13" s="7">
        <v>323.30769230769232</v>
      </c>
      <c r="P13" s="7">
        <v>314.55208333333331</v>
      </c>
      <c r="Q13" s="7">
        <v>337.42553191489361</v>
      </c>
      <c r="R13" s="7">
        <v>321.39639639639637</v>
      </c>
      <c r="S13" s="7">
        <v>322.0612244897959</v>
      </c>
      <c r="T13" s="7">
        <v>322.94623655913978</v>
      </c>
      <c r="V13" s="6">
        <v>0.12499999999999999</v>
      </c>
      <c r="W13" s="8">
        <v>0.3</v>
      </c>
      <c r="X13" s="8">
        <v>0.3</v>
      </c>
      <c r="Y13" s="8">
        <v>0.3</v>
      </c>
      <c r="Z13" s="8">
        <v>0.3</v>
      </c>
      <c r="AA13" s="8">
        <v>0.3</v>
      </c>
      <c r="AB13" s="8">
        <v>0.3</v>
      </c>
      <c r="AC13" s="8">
        <v>0.3</v>
      </c>
      <c r="AE13" s="6">
        <v>0.12499999999999999</v>
      </c>
      <c r="AF13" s="7">
        <f t="shared" si="4"/>
        <v>3.7937360581088804</v>
      </c>
      <c r="AG13" s="7">
        <f t="shared" si="5"/>
        <v>4.4982075850978287</v>
      </c>
      <c r="AH13" s="7">
        <f t="shared" si="6"/>
        <v>3.4630564730126463</v>
      </c>
      <c r="AI13" s="7">
        <f t="shared" si="7"/>
        <v>4.0414643413151454</v>
      </c>
      <c r="AJ13" s="7">
        <f t="shared" si="8"/>
        <v>3.0774759997003382</v>
      </c>
      <c r="AK13" s="7">
        <f t="shared" si="9"/>
        <v>3.8379586009781379</v>
      </c>
      <c r="AL13" s="7">
        <f t="shared" si="10"/>
        <v>4.5517852979989089</v>
      </c>
      <c r="AN13" s="6">
        <v>0.12499999999999999</v>
      </c>
      <c r="AO13" s="10">
        <v>14</v>
      </c>
      <c r="AP13" s="10">
        <v>15</v>
      </c>
      <c r="AQ13" s="10">
        <v>14</v>
      </c>
      <c r="AR13" s="10">
        <v>16</v>
      </c>
      <c r="AS13" s="10">
        <v>16</v>
      </c>
      <c r="AT13" s="10">
        <v>12</v>
      </c>
      <c r="AU13" s="10">
        <v>18</v>
      </c>
      <c r="AW13" s="6">
        <v>0.12499999999999999</v>
      </c>
      <c r="AX13" s="10">
        <f t="shared" si="11"/>
        <v>-10.20626394189112</v>
      </c>
      <c r="AY13" s="10">
        <f t="shared" si="12"/>
        <v>-10.501792414902171</v>
      </c>
      <c r="AZ13" s="10">
        <f t="shared" si="13"/>
        <v>-10.536943526987354</v>
      </c>
      <c r="BA13" s="10">
        <f t="shared" si="14"/>
        <v>-11.958535658684855</v>
      </c>
      <c r="BB13" s="10">
        <f t="shared" si="15"/>
        <v>-12.922524000299662</v>
      </c>
      <c r="BC13" s="10">
        <f t="shared" si="16"/>
        <v>-8.162041399021863</v>
      </c>
      <c r="BD13" s="10">
        <f t="shared" si="17"/>
        <v>-13.448214702001092</v>
      </c>
      <c r="BF13" s="6">
        <v>0.12499999999999999</v>
      </c>
      <c r="BG13" s="10">
        <f t="shared" si="18"/>
        <v>10.20626394189112</v>
      </c>
      <c r="BH13" s="10">
        <f t="shared" si="19"/>
        <v>10.501792414902171</v>
      </c>
      <c r="BI13" s="10">
        <f t="shared" si="20"/>
        <v>10.536943526987354</v>
      </c>
      <c r="BJ13" s="10">
        <f t="shared" si="21"/>
        <v>11.958535658684855</v>
      </c>
      <c r="BK13" s="10">
        <f t="shared" si="22"/>
        <v>12.922524000299662</v>
      </c>
      <c r="BL13" s="10">
        <f t="shared" si="23"/>
        <v>8.162041399021863</v>
      </c>
      <c r="BM13" s="10">
        <f t="shared" si="24"/>
        <v>13.448214702001092</v>
      </c>
      <c r="BO13" s="62"/>
      <c r="BP13" s="6">
        <v>0.12499999999999999</v>
      </c>
      <c r="BQ13" s="65">
        <v>0.99960000000000004</v>
      </c>
      <c r="BR13" s="65">
        <v>0.99990000000000001</v>
      </c>
      <c r="BS13" s="65">
        <v>1</v>
      </c>
      <c r="BT13" s="65">
        <v>1</v>
      </c>
      <c r="BU13" s="65">
        <v>0.99990000000000001</v>
      </c>
      <c r="BV13" s="65">
        <v>0.99990000000000001</v>
      </c>
      <c r="BW13" s="65">
        <v>1</v>
      </c>
      <c r="BX13" s="62"/>
      <c r="BY13" s="64"/>
      <c r="BZ13" s="6">
        <v>0.12499999999999999</v>
      </c>
      <c r="CA13" s="67">
        <f t="shared" si="25"/>
        <v>0.22220454054637728</v>
      </c>
      <c r="CB13" s="67">
        <f t="shared" si="26"/>
        <v>0.24590201465201464</v>
      </c>
      <c r="CC13" s="67">
        <f t="shared" si="27"/>
        <v>0.20283616484788361</v>
      </c>
      <c r="CD13" s="67">
        <f t="shared" si="28"/>
        <v>0.20712504749240121</v>
      </c>
      <c r="CE13" s="67">
        <f t="shared" si="29"/>
        <v>0.15772064498464236</v>
      </c>
      <c r="CF13" s="67">
        <f t="shared" si="30"/>
        <v>0.26226050440017284</v>
      </c>
      <c r="CG13" s="67">
        <f t="shared" si="31"/>
        <v>0.20735910801995033</v>
      </c>
      <c r="CQ13" s="6">
        <v>0.10416666666666666</v>
      </c>
      <c r="CR13" s="10">
        <f>'linear calc'!AW10*(1-'linear calc'!V10)</f>
        <v>9.7999999999999989</v>
      </c>
      <c r="CS13" s="10">
        <f>'linear calc'!AX10*(1-'linear calc'!W10)</f>
        <v>10.5</v>
      </c>
      <c r="CT13" s="10">
        <f>'linear calc'!AY10*(1-'linear calc'!X10)</f>
        <v>9.7999999999999989</v>
      </c>
      <c r="CU13" s="10">
        <f>'linear calc'!AZ10*(1-'linear calc'!Y10)</f>
        <v>11.2</v>
      </c>
      <c r="CV13" s="10">
        <f>'linear calc'!BA10*(1-'linear calc'!Z10)</f>
        <v>11.2</v>
      </c>
      <c r="CW13" s="10">
        <f>'linear calc'!BB10*(1-'linear calc'!AA10)</f>
        <v>8.3999999999999986</v>
      </c>
      <c r="CX13" s="10">
        <f>'linear calc'!BC10*(1-'linear calc'!AB10)</f>
        <v>12.6</v>
      </c>
    </row>
    <row r="14" spans="2:102" x14ac:dyDescent="0.3">
      <c r="D14" s="6">
        <v>0.14583333333333331</v>
      </c>
      <c r="E14" s="7">
        <v>24.25</v>
      </c>
      <c r="F14" s="7">
        <v>26.5</v>
      </c>
      <c r="G14" s="7">
        <v>25.25</v>
      </c>
      <c r="H14" s="7">
        <v>28.5</v>
      </c>
      <c r="I14" s="7">
        <v>18.541666666666668</v>
      </c>
      <c r="J14" s="7">
        <v>23.875</v>
      </c>
      <c r="K14" s="7">
        <v>26.5625</v>
      </c>
      <c r="M14" s="6">
        <v>0.14583333333333331</v>
      </c>
      <c r="N14" s="7">
        <v>316.77669902912623</v>
      </c>
      <c r="O14" s="7">
        <v>328.9009900990099</v>
      </c>
      <c r="P14" s="7">
        <v>318.20481927710841</v>
      </c>
      <c r="Q14" s="7">
        <v>320.9158878504673</v>
      </c>
      <c r="R14" s="7">
        <v>315.53465346534654</v>
      </c>
      <c r="S14" s="7">
        <v>306.54205607476638</v>
      </c>
      <c r="T14" s="7">
        <v>330.85</v>
      </c>
      <c r="V14" s="6">
        <v>0.14583333333333331</v>
      </c>
      <c r="W14" s="8">
        <v>0.3</v>
      </c>
      <c r="X14" s="8">
        <v>0.3</v>
      </c>
      <c r="Y14" s="8">
        <v>0.3</v>
      </c>
      <c r="Z14" s="8">
        <v>0.3</v>
      </c>
      <c r="AA14" s="8">
        <v>0.3</v>
      </c>
      <c r="AB14" s="8">
        <v>0.3</v>
      </c>
      <c r="AC14" s="8">
        <v>0.3</v>
      </c>
      <c r="AE14" s="6">
        <v>0.14583333333333331</v>
      </c>
      <c r="AF14" s="7">
        <f t="shared" si="4"/>
        <v>3.7174965889742118</v>
      </c>
      <c r="AG14" s="7">
        <f t="shared" si="5"/>
        <v>4.2179037154586538</v>
      </c>
      <c r="AH14" s="7">
        <f t="shared" si="6"/>
        <v>3.8882460737257971</v>
      </c>
      <c r="AI14" s="7">
        <f t="shared" si="7"/>
        <v>4.4261047249991856</v>
      </c>
      <c r="AJ14" s="7">
        <f t="shared" si="8"/>
        <v>2.8312709864191992</v>
      </c>
      <c r="AK14" s="7">
        <f t="shared" si="9"/>
        <v>3.5417593828808784</v>
      </c>
      <c r="AL14" s="7">
        <f t="shared" si="10"/>
        <v>4.2529051127564843</v>
      </c>
      <c r="AN14" s="6">
        <v>0.14583333333333331</v>
      </c>
      <c r="AO14" s="10">
        <v>14</v>
      </c>
      <c r="AP14" s="10">
        <v>15</v>
      </c>
      <c r="AQ14" s="10">
        <v>14</v>
      </c>
      <c r="AR14" s="10">
        <v>16</v>
      </c>
      <c r="AS14" s="10">
        <v>16</v>
      </c>
      <c r="AT14" s="10">
        <v>12</v>
      </c>
      <c r="AU14" s="10">
        <v>18</v>
      </c>
      <c r="AW14" s="6">
        <v>0.14583333333333331</v>
      </c>
      <c r="AX14" s="10">
        <f t="shared" si="11"/>
        <v>-10.282503411025788</v>
      </c>
      <c r="AY14" s="10">
        <f t="shared" si="12"/>
        <v>-10.782096284541346</v>
      </c>
      <c r="AZ14" s="10">
        <f t="shared" si="13"/>
        <v>-10.111753926274202</v>
      </c>
      <c r="BA14" s="10">
        <f t="shared" si="14"/>
        <v>-11.573895275000815</v>
      </c>
      <c r="BB14" s="10">
        <f t="shared" si="15"/>
        <v>-13.168729013580801</v>
      </c>
      <c r="BC14" s="10">
        <f t="shared" si="16"/>
        <v>-8.458240617119122</v>
      </c>
      <c r="BD14" s="10">
        <f t="shared" si="17"/>
        <v>-13.747094887243517</v>
      </c>
      <c r="BF14" s="6">
        <v>0.14583333333333331</v>
      </c>
      <c r="BG14" s="10">
        <f t="shared" si="18"/>
        <v>10.282503411025788</v>
      </c>
      <c r="BH14" s="10">
        <f t="shared" si="19"/>
        <v>10.782096284541346</v>
      </c>
      <c r="BI14" s="10">
        <f t="shared" si="20"/>
        <v>10.111753926274202</v>
      </c>
      <c r="BJ14" s="10">
        <f t="shared" si="21"/>
        <v>11.573895275000815</v>
      </c>
      <c r="BK14" s="10">
        <f t="shared" si="22"/>
        <v>13.168729013580801</v>
      </c>
      <c r="BL14" s="10">
        <f t="shared" si="23"/>
        <v>8.458240617119122</v>
      </c>
      <c r="BM14" s="10">
        <f t="shared" si="24"/>
        <v>13.747094887243517</v>
      </c>
      <c r="BO14" s="62"/>
      <c r="BP14" s="6">
        <v>0.14583333333333331</v>
      </c>
      <c r="BQ14" s="65">
        <v>0.99990000000000001</v>
      </c>
      <c r="BR14" s="65">
        <v>0.99990000000000001</v>
      </c>
      <c r="BS14" s="65">
        <v>1</v>
      </c>
      <c r="BT14" s="65">
        <v>1</v>
      </c>
      <c r="BU14" s="65">
        <v>1</v>
      </c>
      <c r="BV14" s="65">
        <v>0.99990000000000001</v>
      </c>
      <c r="BW14" s="65">
        <v>1</v>
      </c>
      <c r="BX14" s="62"/>
      <c r="BY14" s="64"/>
      <c r="BZ14" s="6">
        <v>0.14583333333333331</v>
      </c>
      <c r="CA14" s="67">
        <f t="shared" si="25"/>
        <v>0.21773908592563246</v>
      </c>
      <c r="CB14" s="67">
        <f t="shared" si="26"/>
        <v>0.2305787364450731</v>
      </c>
      <c r="CC14" s="67">
        <f t="shared" si="27"/>
        <v>0.22774012717536818</v>
      </c>
      <c r="CD14" s="67">
        <f t="shared" si="28"/>
        <v>0.22683786715620829</v>
      </c>
      <c r="CE14" s="67">
        <f t="shared" si="29"/>
        <v>0.14510263805398399</v>
      </c>
      <c r="CF14" s="67">
        <f t="shared" si="30"/>
        <v>0.24202022449686006</v>
      </c>
      <c r="CG14" s="67">
        <f t="shared" si="31"/>
        <v>0.19374345513668431</v>
      </c>
      <c r="CQ14" s="6">
        <v>0.12499999999999999</v>
      </c>
      <c r="CR14" s="10">
        <f>'linear calc'!AW11*(1-'linear calc'!V11)</f>
        <v>9.7999999999999989</v>
      </c>
      <c r="CS14" s="10">
        <f>'linear calc'!AX11*(1-'linear calc'!W11)</f>
        <v>10.5</v>
      </c>
      <c r="CT14" s="10">
        <f>'linear calc'!AY11*(1-'linear calc'!X11)</f>
        <v>9.7999999999999989</v>
      </c>
      <c r="CU14" s="10">
        <f>'linear calc'!AZ11*(1-'linear calc'!Y11)</f>
        <v>11.2</v>
      </c>
      <c r="CV14" s="10">
        <f>'linear calc'!BA11*(1-'linear calc'!Z11)</f>
        <v>11.2</v>
      </c>
      <c r="CW14" s="10">
        <f>'linear calc'!BB11*(1-'linear calc'!AA11)</f>
        <v>8.3999999999999986</v>
      </c>
      <c r="CX14" s="10">
        <f>'linear calc'!BC11*(1-'linear calc'!AB11)</f>
        <v>12.6</v>
      </c>
    </row>
    <row r="15" spans="2:102" x14ac:dyDescent="0.3">
      <c r="D15" s="6">
        <v>0.16666666666666666</v>
      </c>
      <c r="E15" s="7">
        <v>27</v>
      </c>
      <c r="F15" s="7">
        <v>26.5</v>
      </c>
      <c r="G15" s="7">
        <v>25.25</v>
      </c>
      <c r="H15" s="7">
        <v>23.25</v>
      </c>
      <c r="I15" s="7">
        <v>17.296875</v>
      </c>
      <c r="J15" s="7">
        <v>25.0625</v>
      </c>
      <c r="K15" s="7">
        <v>24</v>
      </c>
      <c r="M15" s="6">
        <v>0.16666666666666666</v>
      </c>
      <c r="N15" s="7">
        <v>324.88118811881191</v>
      </c>
      <c r="O15" s="7">
        <v>332.64646464646466</v>
      </c>
      <c r="P15" s="7">
        <v>317.44660194174759</v>
      </c>
      <c r="Q15" s="7">
        <v>337.07216494845363</v>
      </c>
      <c r="R15" s="7">
        <v>334.44897959183675</v>
      </c>
      <c r="S15" s="7">
        <v>322.60377358490564</v>
      </c>
      <c r="T15" s="7">
        <v>318.31775700934577</v>
      </c>
      <c r="V15" s="6">
        <v>0.16666666666666666</v>
      </c>
      <c r="W15" s="8">
        <v>0.3</v>
      </c>
      <c r="X15" s="8">
        <v>0.3</v>
      </c>
      <c r="Y15" s="8">
        <v>0.3</v>
      </c>
      <c r="Z15" s="8">
        <v>0.3</v>
      </c>
      <c r="AA15" s="8">
        <v>0.3</v>
      </c>
      <c r="AB15" s="8">
        <v>0.3</v>
      </c>
      <c r="AC15" s="8">
        <v>0.3</v>
      </c>
      <c r="AE15" s="6">
        <v>0.16666666666666666</v>
      </c>
      <c r="AF15" s="7">
        <f t="shared" si="4"/>
        <v>4.2449632593921418</v>
      </c>
      <c r="AG15" s="7">
        <f t="shared" si="5"/>
        <v>4.2659365626845309</v>
      </c>
      <c r="AH15" s="7">
        <f t="shared" si="6"/>
        <v>3.878981174520483</v>
      </c>
      <c r="AI15" s="7">
        <f t="shared" si="7"/>
        <v>3.7925512171174733</v>
      </c>
      <c r="AJ15" s="7">
        <f t="shared" si="8"/>
        <v>2.799517128279883</v>
      </c>
      <c r="AK15" s="7">
        <f t="shared" si="9"/>
        <v>3.9127260334261016</v>
      </c>
      <c r="AL15" s="7">
        <f t="shared" si="10"/>
        <v>3.6970703485406009</v>
      </c>
      <c r="AN15" s="6">
        <v>0.16666666666666666</v>
      </c>
      <c r="AO15" s="10">
        <v>14</v>
      </c>
      <c r="AP15" s="10">
        <v>15</v>
      </c>
      <c r="AQ15" s="10">
        <v>14</v>
      </c>
      <c r="AR15" s="10">
        <v>16</v>
      </c>
      <c r="AS15" s="10">
        <v>16</v>
      </c>
      <c r="AT15" s="10">
        <v>12</v>
      </c>
      <c r="AU15" s="10">
        <v>18</v>
      </c>
      <c r="AW15" s="6">
        <v>0.16666666666666666</v>
      </c>
      <c r="AX15" s="10">
        <f t="shared" si="11"/>
        <v>-9.7550367406078582</v>
      </c>
      <c r="AY15" s="10">
        <f t="shared" si="12"/>
        <v>-10.73406343731547</v>
      </c>
      <c r="AZ15" s="10">
        <f t="shared" si="13"/>
        <v>-10.121018825479517</v>
      </c>
      <c r="BA15" s="10">
        <f t="shared" si="14"/>
        <v>-12.207448782882526</v>
      </c>
      <c r="BB15" s="10">
        <f t="shared" si="15"/>
        <v>-13.200482871720117</v>
      </c>
      <c r="BC15" s="10">
        <f t="shared" si="16"/>
        <v>-8.087273966573898</v>
      </c>
      <c r="BD15" s="10">
        <f t="shared" si="17"/>
        <v>-14.302929651459399</v>
      </c>
      <c r="BF15" s="6">
        <v>0.16666666666666666</v>
      </c>
      <c r="BG15" s="10">
        <f t="shared" si="18"/>
        <v>9.7550367406078582</v>
      </c>
      <c r="BH15" s="10">
        <f t="shared" si="19"/>
        <v>10.73406343731547</v>
      </c>
      <c r="BI15" s="10">
        <f t="shared" si="20"/>
        <v>10.121018825479517</v>
      </c>
      <c r="BJ15" s="10">
        <f t="shared" si="21"/>
        <v>12.207448782882526</v>
      </c>
      <c r="BK15" s="10">
        <f t="shared" si="22"/>
        <v>13.200482871720117</v>
      </c>
      <c r="BL15" s="10">
        <f t="shared" si="23"/>
        <v>8.087273966573898</v>
      </c>
      <c r="BM15" s="10">
        <f t="shared" si="24"/>
        <v>14.302929651459399</v>
      </c>
      <c r="BO15" s="62"/>
      <c r="BP15" s="6">
        <v>0.16666666666666666</v>
      </c>
      <c r="BQ15" s="65">
        <v>0.99980000000000002</v>
      </c>
      <c r="BR15" s="65">
        <v>0.99970000000000003</v>
      </c>
      <c r="BS15" s="65">
        <v>1</v>
      </c>
      <c r="BT15" s="65">
        <v>1</v>
      </c>
      <c r="BU15" s="65">
        <v>1</v>
      </c>
      <c r="BV15" s="65">
        <v>0.99980000000000002</v>
      </c>
      <c r="BW15" s="65">
        <v>1</v>
      </c>
      <c r="BX15" s="62"/>
      <c r="BY15" s="64"/>
      <c r="BZ15" s="6">
        <v>0.16666666666666666</v>
      </c>
      <c r="CA15" s="67">
        <f t="shared" si="25"/>
        <v>0.24863356233582548</v>
      </c>
      <c r="CB15" s="67">
        <f t="shared" si="26"/>
        <v>0.23320453209342101</v>
      </c>
      <c r="CC15" s="67">
        <f t="shared" si="27"/>
        <v>0.2271974687933426</v>
      </c>
      <c r="CD15" s="67">
        <f t="shared" si="28"/>
        <v>0.19436824987727053</v>
      </c>
      <c r="CE15" s="67">
        <f t="shared" si="29"/>
        <v>0.14347525282434401</v>
      </c>
      <c r="CF15" s="67">
        <f t="shared" si="30"/>
        <v>0.26736961228411699</v>
      </c>
      <c r="CG15" s="67">
        <f t="shared" si="31"/>
        <v>0.16842209365573851</v>
      </c>
      <c r="CQ15" s="6">
        <v>0.14583333333333331</v>
      </c>
      <c r="CR15" s="10">
        <f>'linear calc'!AW12*(1-'linear calc'!V12)</f>
        <v>9.7999999999999989</v>
      </c>
      <c r="CS15" s="10">
        <f>'linear calc'!AX12*(1-'linear calc'!W12)</f>
        <v>10.5</v>
      </c>
      <c r="CT15" s="10">
        <f>'linear calc'!AY12*(1-'linear calc'!X12)</f>
        <v>9.7999999999999989</v>
      </c>
      <c r="CU15" s="10">
        <f>'linear calc'!AZ12*(1-'linear calc'!Y12)</f>
        <v>11.2</v>
      </c>
      <c r="CV15" s="10">
        <f>'linear calc'!BA12*(1-'linear calc'!Z12)</f>
        <v>11.2</v>
      </c>
      <c r="CW15" s="10">
        <f>'linear calc'!BB12*(1-'linear calc'!AA12)</f>
        <v>8.3999999999999986</v>
      </c>
      <c r="CX15" s="10">
        <f>'linear calc'!BC12*(1-'linear calc'!AB12)</f>
        <v>12.6</v>
      </c>
    </row>
    <row r="16" spans="2:102" x14ac:dyDescent="0.3">
      <c r="D16" s="6">
        <v>0.1875</v>
      </c>
      <c r="E16" s="7">
        <v>25.25</v>
      </c>
      <c r="F16" s="7">
        <v>27.25</v>
      </c>
      <c r="G16" s="7">
        <v>22.75</v>
      </c>
      <c r="H16" s="7">
        <v>26</v>
      </c>
      <c r="I16" s="7">
        <v>19.802083333333332</v>
      </c>
      <c r="J16" s="7">
        <v>25.125</v>
      </c>
      <c r="K16" s="7">
        <v>26.75</v>
      </c>
      <c r="M16" s="6">
        <v>0.1875</v>
      </c>
      <c r="N16" s="7">
        <v>338.05747126436779</v>
      </c>
      <c r="O16" s="7">
        <v>321.85714285714283</v>
      </c>
      <c r="P16" s="7">
        <v>321.60952380952381</v>
      </c>
      <c r="Q16" s="7">
        <v>319.97777777777776</v>
      </c>
      <c r="R16" s="7">
        <v>338.1682242990654</v>
      </c>
      <c r="S16" s="7">
        <v>317.02325581395348</v>
      </c>
      <c r="T16" s="7">
        <v>328.35416666666669</v>
      </c>
      <c r="V16" s="6">
        <v>0.1875</v>
      </c>
      <c r="W16" s="8">
        <v>0.3</v>
      </c>
      <c r="X16" s="8">
        <v>0.3</v>
      </c>
      <c r="Y16" s="8">
        <v>0.3</v>
      </c>
      <c r="Z16" s="8">
        <v>0.3</v>
      </c>
      <c r="AA16" s="8">
        <v>0.3</v>
      </c>
      <c r="AB16" s="8">
        <v>0.3</v>
      </c>
      <c r="AC16" s="8">
        <v>0.3</v>
      </c>
      <c r="AE16" s="6">
        <v>0.1875</v>
      </c>
      <c r="AF16" s="7">
        <f t="shared" si="4"/>
        <v>4.1308319538449902</v>
      </c>
      <c r="AG16" s="7">
        <f t="shared" si="5"/>
        <v>4.2443898291023716</v>
      </c>
      <c r="AH16" s="7">
        <f t="shared" si="6"/>
        <v>3.5407552587430637</v>
      </c>
      <c r="AI16" s="7">
        <f t="shared" si="7"/>
        <v>4.026046371574826</v>
      </c>
      <c r="AJ16" s="7">
        <f t="shared" si="8"/>
        <v>3.2406288028723629</v>
      </c>
      <c r="AK16" s="7">
        <f t="shared" si="9"/>
        <v>3.8546309051130376</v>
      </c>
      <c r="AL16" s="7">
        <f t="shared" si="10"/>
        <v>4.2506165110014198</v>
      </c>
      <c r="AN16" s="6">
        <v>0.1875</v>
      </c>
      <c r="AO16" s="10">
        <v>14</v>
      </c>
      <c r="AP16" s="10">
        <v>15</v>
      </c>
      <c r="AQ16" s="10">
        <v>14</v>
      </c>
      <c r="AR16" s="10">
        <v>16</v>
      </c>
      <c r="AS16" s="10">
        <v>16</v>
      </c>
      <c r="AT16" s="10">
        <v>12</v>
      </c>
      <c r="AU16" s="10">
        <v>18</v>
      </c>
      <c r="AW16" s="6">
        <v>0.1875</v>
      </c>
      <c r="AX16" s="10">
        <f t="shared" si="11"/>
        <v>-9.8691680461550106</v>
      </c>
      <c r="AY16" s="10">
        <f t="shared" si="12"/>
        <v>-10.755610170897629</v>
      </c>
      <c r="AZ16" s="10">
        <f t="shared" si="13"/>
        <v>-10.459244741256937</v>
      </c>
      <c r="BA16" s="10">
        <f t="shared" si="14"/>
        <v>-11.973953628425175</v>
      </c>
      <c r="BB16" s="10">
        <f t="shared" si="15"/>
        <v>-12.759371197127637</v>
      </c>
      <c r="BC16" s="10">
        <f t="shared" si="16"/>
        <v>-8.1453690948869628</v>
      </c>
      <c r="BD16" s="10">
        <f t="shared" si="17"/>
        <v>-13.74938348899858</v>
      </c>
      <c r="BF16" s="6">
        <v>0.1875</v>
      </c>
      <c r="BG16" s="10">
        <f t="shared" si="18"/>
        <v>9.8691680461550106</v>
      </c>
      <c r="BH16" s="10">
        <f t="shared" si="19"/>
        <v>10.755610170897629</v>
      </c>
      <c r="BI16" s="10">
        <f t="shared" si="20"/>
        <v>10.459244741256937</v>
      </c>
      <c r="BJ16" s="10">
        <f t="shared" si="21"/>
        <v>11.973953628425175</v>
      </c>
      <c r="BK16" s="10">
        <f t="shared" si="22"/>
        <v>12.759371197127637</v>
      </c>
      <c r="BL16" s="10">
        <f t="shared" si="23"/>
        <v>8.1453690948869628</v>
      </c>
      <c r="BM16" s="10">
        <f t="shared" si="24"/>
        <v>13.74938348899858</v>
      </c>
      <c r="BO16" s="62"/>
      <c r="BP16" s="6">
        <v>0.1875</v>
      </c>
      <c r="BQ16" s="65">
        <v>1</v>
      </c>
      <c r="BR16" s="65">
        <v>0.99980000000000002</v>
      </c>
      <c r="BS16" s="65">
        <v>1</v>
      </c>
      <c r="BT16" s="65">
        <v>0.99980000000000002</v>
      </c>
      <c r="BU16" s="65">
        <v>0.99990000000000001</v>
      </c>
      <c r="BV16" s="65">
        <v>0.98280000000000001</v>
      </c>
      <c r="BW16" s="65">
        <v>0.99419999999999997</v>
      </c>
      <c r="BX16" s="62"/>
      <c r="BY16" s="64"/>
      <c r="BZ16" s="6">
        <v>0.1875</v>
      </c>
      <c r="CA16" s="67">
        <f t="shared" si="25"/>
        <v>0.24194872872520659</v>
      </c>
      <c r="CB16" s="67">
        <f t="shared" si="26"/>
        <v>0.23202664399092965</v>
      </c>
      <c r="CC16" s="67">
        <f t="shared" si="27"/>
        <v>0.20738709372637948</v>
      </c>
      <c r="CD16" s="67">
        <f t="shared" si="28"/>
        <v>0.20633487654320987</v>
      </c>
      <c r="CE16" s="67">
        <f t="shared" si="29"/>
        <v>0.16608222614720863</v>
      </c>
      <c r="CF16" s="67">
        <f t="shared" si="30"/>
        <v>0.26339977851605761</v>
      </c>
      <c r="CG16" s="67">
        <f t="shared" si="31"/>
        <v>0.1936391966122869</v>
      </c>
      <c r="CQ16" s="6">
        <v>0.16666666666666666</v>
      </c>
      <c r="CR16" s="10">
        <f>'linear calc'!AW13*(1-'linear calc'!V13)</f>
        <v>9.7999999999999989</v>
      </c>
      <c r="CS16" s="10">
        <f>'linear calc'!AX13*(1-'linear calc'!W13)</f>
        <v>10.5</v>
      </c>
      <c r="CT16" s="10">
        <f>'linear calc'!AY13*(1-'linear calc'!X13)</f>
        <v>9.7999999999999989</v>
      </c>
      <c r="CU16" s="10">
        <f>'linear calc'!AZ13*(1-'linear calc'!Y13)</f>
        <v>11.2</v>
      </c>
      <c r="CV16" s="10">
        <f>'linear calc'!BA13*(1-'linear calc'!Z13)</f>
        <v>11.2</v>
      </c>
      <c r="CW16" s="10">
        <f>'linear calc'!BB13*(1-'linear calc'!AA13)</f>
        <v>8.3999999999999986</v>
      </c>
      <c r="CX16" s="10">
        <f>'linear calc'!BC13*(1-'linear calc'!AB13)</f>
        <v>12.6</v>
      </c>
    </row>
    <row r="17" spans="4:102" x14ac:dyDescent="0.3">
      <c r="D17" s="6">
        <v>0.20833333333333334</v>
      </c>
      <c r="E17" s="7">
        <v>25.75</v>
      </c>
      <c r="F17" s="7">
        <v>22.5</v>
      </c>
      <c r="G17" s="7">
        <v>21.75</v>
      </c>
      <c r="H17" s="7">
        <v>23</v>
      </c>
      <c r="I17" s="7">
        <v>19.557291666666668</v>
      </c>
      <c r="J17" s="7">
        <v>22.9375</v>
      </c>
      <c r="K17" s="7">
        <v>25.375</v>
      </c>
      <c r="M17" s="6">
        <v>0.20833333333333334</v>
      </c>
      <c r="N17" s="7">
        <v>335.54838709677421</v>
      </c>
      <c r="O17" s="7">
        <v>327.8901098901099</v>
      </c>
      <c r="P17" s="7">
        <v>332.1782178217822</v>
      </c>
      <c r="Q17" s="7">
        <v>339.58163265306121</v>
      </c>
      <c r="R17" s="7">
        <v>329.85227272727275</v>
      </c>
      <c r="S17" s="7">
        <v>319.86458333333331</v>
      </c>
      <c r="T17" s="7">
        <v>316.90625</v>
      </c>
      <c r="V17" s="6">
        <v>0.20833333333333334</v>
      </c>
      <c r="W17" s="8">
        <v>0.3</v>
      </c>
      <c r="X17" s="8">
        <v>0.3</v>
      </c>
      <c r="Y17" s="8">
        <v>0.3</v>
      </c>
      <c r="Z17" s="8">
        <v>0.3</v>
      </c>
      <c r="AA17" s="8">
        <v>0.3</v>
      </c>
      <c r="AB17" s="8">
        <v>0.3</v>
      </c>
      <c r="AC17" s="8">
        <v>0.3</v>
      </c>
      <c r="AE17" s="6">
        <v>0.20833333333333334</v>
      </c>
      <c r="AF17" s="7">
        <f t="shared" si="4"/>
        <v>4.1813641926741845</v>
      </c>
      <c r="AG17" s="7">
        <f t="shared" si="5"/>
        <v>3.570232032775587</v>
      </c>
      <c r="AH17" s="7">
        <f t="shared" si="6"/>
        <v>3.4963590000114992</v>
      </c>
      <c r="AI17" s="7">
        <f t="shared" si="7"/>
        <v>3.7797026476095663</v>
      </c>
      <c r="AJ17" s="7">
        <f t="shared" si="8"/>
        <v>3.1218627103368912</v>
      </c>
      <c r="AK17" s="7">
        <f t="shared" si="9"/>
        <v>3.5505680798530452</v>
      </c>
      <c r="AL17" s="7">
        <f t="shared" si="10"/>
        <v>3.8915486322831976</v>
      </c>
      <c r="AN17" s="6">
        <v>0.20833333333333334</v>
      </c>
      <c r="AO17" s="10">
        <v>14</v>
      </c>
      <c r="AP17" s="10">
        <v>15</v>
      </c>
      <c r="AQ17" s="10">
        <v>14</v>
      </c>
      <c r="AR17" s="10">
        <v>16</v>
      </c>
      <c r="AS17" s="10">
        <v>16</v>
      </c>
      <c r="AT17" s="10">
        <v>12</v>
      </c>
      <c r="AU17" s="10">
        <v>18</v>
      </c>
      <c r="AW17" s="6">
        <v>0.20833333333333334</v>
      </c>
      <c r="AX17" s="10">
        <f t="shared" si="11"/>
        <v>-9.8186358073258155</v>
      </c>
      <c r="AY17" s="10">
        <f t="shared" si="12"/>
        <v>-11.429767967224413</v>
      </c>
      <c r="AZ17" s="10">
        <f t="shared" si="13"/>
        <v>-10.503640999988502</v>
      </c>
      <c r="BA17" s="10">
        <f t="shared" si="14"/>
        <v>-12.220297352390434</v>
      </c>
      <c r="BB17" s="10">
        <f t="shared" si="15"/>
        <v>-12.878137289663108</v>
      </c>
      <c r="BC17" s="10">
        <f t="shared" si="16"/>
        <v>-8.4494319201469548</v>
      </c>
      <c r="BD17" s="10">
        <f t="shared" si="17"/>
        <v>-14.108451367716803</v>
      </c>
      <c r="BF17" s="6">
        <v>0.20833333333333334</v>
      </c>
      <c r="BG17" s="10">
        <f t="shared" si="18"/>
        <v>9.8186358073258155</v>
      </c>
      <c r="BH17" s="10">
        <f t="shared" si="19"/>
        <v>11.429767967224413</v>
      </c>
      <c r="BI17" s="10">
        <f t="shared" si="20"/>
        <v>10.503640999988502</v>
      </c>
      <c r="BJ17" s="10">
        <f t="shared" si="21"/>
        <v>12.220297352390434</v>
      </c>
      <c r="BK17" s="10">
        <f t="shared" si="22"/>
        <v>12.878137289663108</v>
      </c>
      <c r="BL17" s="10">
        <f t="shared" si="23"/>
        <v>8.4494319201469548</v>
      </c>
      <c r="BM17" s="10">
        <f t="shared" si="24"/>
        <v>14.108451367716803</v>
      </c>
      <c r="BO17" s="62"/>
      <c r="BP17" s="6">
        <v>0.20833333333333334</v>
      </c>
      <c r="BQ17" s="65">
        <v>0</v>
      </c>
      <c r="BR17" s="65">
        <v>0</v>
      </c>
      <c r="BS17" s="65">
        <v>0</v>
      </c>
      <c r="BT17" s="65">
        <v>0.99990000000000001</v>
      </c>
      <c r="BU17" s="65">
        <v>0</v>
      </c>
      <c r="BV17" s="65">
        <v>0.99980000000000002</v>
      </c>
      <c r="BW17" s="65">
        <v>0.99980000000000002</v>
      </c>
      <c r="BX17" s="62"/>
      <c r="BY17" s="64"/>
      <c r="BZ17" s="6">
        <v>0.20833333333333334</v>
      </c>
      <c r="CA17" s="67">
        <f t="shared" si="25"/>
        <v>0.24490847414234515</v>
      </c>
      <c r="CB17" s="67">
        <f t="shared" si="26"/>
        <v>0.19517268445839875</v>
      </c>
      <c r="CC17" s="67">
        <f t="shared" si="27"/>
        <v>0.204786741429245</v>
      </c>
      <c r="CD17" s="67">
        <f t="shared" si="28"/>
        <v>0.1937097606899903</v>
      </c>
      <c r="CE17" s="67">
        <f t="shared" si="29"/>
        <v>0.15999546390476568</v>
      </c>
      <c r="CF17" s="67">
        <f t="shared" si="30"/>
        <v>0.24262215212329147</v>
      </c>
      <c r="CG17" s="67">
        <f t="shared" si="31"/>
        <v>0.17728165991512346</v>
      </c>
      <c r="CQ17" s="6">
        <v>0.1875</v>
      </c>
      <c r="CR17" s="10">
        <f>'linear calc'!AW14*(1-'linear calc'!V14)</f>
        <v>9.7999999999999989</v>
      </c>
      <c r="CS17" s="10">
        <f>'linear calc'!AX14*(1-'linear calc'!W14)</f>
        <v>10.5</v>
      </c>
      <c r="CT17" s="10">
        <f>'linear calc'!AY14*(1-'linear calc'!X14)</f>
        <v>9.7999999999999989</v>
      </c>
      <c r="CU17" s="10">
        <f>'linear calc'!AZ14*(1-'linear calc'!Y14)</f>
        <v>11.2</v>
      </c>
      <c r="CV17" s="10">
        <f>'linear calc'!BA14*(1-'linear calc'!Z14)</f>
        <v>11.2</v>
      </c>
      <c r="CW17" s="10">
        <f>'linear calc'!BB14*(1-'linear calc'!AA14)</f>
        <v>8.3999999999999986</v>
      </c>
      <c r="CX17" s="10">
        <f>'linear calc'!BC14*(1-'linear calc'!AB14)</f>
        <v>12.6</v>
      </c>
    </row>
    <row r="18" spans="4:102" x14ac:dyDescent="0.3">
      <c r="D18" s="6">
        <v>0.22916666666666669</v>
      </c>
      <c r="E18" s="7">
        <v>25.5</v>
      </c>
      <c r="F18" s="7">
        <v>24.75</v>
      </c>
      <c r="G18" s="7">
        <v>26</v>
      </c>
      <c r="H18" s="7">
        <v>24.5</v>
      </c>
      <c r="I18" s="7">
        <v>19.5625</v>
      </c>
      <c r="J18" s="7">
        <v>25.8125</v>
      </c>
      <c r="K18" s="7">
        <v>26.9375</v>
      </c>
      <c r="M18" s="6">
        <v>0.22916666666666669</v>
      </c>
      <c r="N18" s="7">
        <v>327.77</v>
      </c>
      <c r="O18" s="7">
        <v>325.69306930693068</v>
      </c>
      <c r="P18" s="7">
        <v>331.29245283018867</v>
      </c>
      <c r="Q18" s="7">
        <v>314.96039603960395</v>
      </c>
      <c r="R18" s="7">
        <v>325.52941176470586</v>
      </c>
      <c r="S18" s="7">
        <v>326.74468085106383</v>
      </c>
      <c r="T18" s="7">
        <v>321.11827956989248</v>
      </c>
      <c r="V18" s="6">
        <v>0.22916666666666669</v>
      </c>
      <c r="W18" s="8">
        <v>0.3</v>
      </c>
      <c r="X18" s="8">
        <v>0.3</v>
      </c>
      <c r="Y18" s="8">
        <v>0.3</v>
      </c>
      <c r="Z18" s="8">
        <v>0.3</v>
      </c>
      <c r="AA18" s="8">
        <v>0.3</v>
      </c>
      <c r="AB18" s="8">
        <v>0.3</v>
      </c>
      <c r="AC18" s="8">
        <v>0.3</v>
      </c>
      <c r="AE18" s="6">
        <v>0.22916666666666669</v>
      </c>
      <c r="AF18" s="7">
        <f t="shared" si="4"/>
        <v>4.0447807781649248</v>
      </c>
      <c r="AG18" s="7">
        <f t="shared" si="5"/>
        <v>3.9009405078138473</v>
      </c>
      <c r="AH18" s="7">
        <f t="shared" si="6"/>
        <v>4.168410653109226</v>
      </c>
      <c r="AI18" s="7">
        <f t="shared" si="7"/>
        <v>3.7342865384099384</v>
      </c>
      <c r="AJ18" s="7">
        <f t="shared" si="8"/>
        <v>3.0817698014165011</v>
      </c>
      <c r="AK18" s="7">
        <f t="shared" si="9"/>
        <v>4.0815413639508735</v>
      </c>
      <c r="AL18" s="7">
        <f t="shared" si="10"/>
        <v>4.1860838443253856</v>
      </c>
      <c r="AN18" s="6">
        <v>0.22916666666666669</v>
      </c>
      <c r="AO18" s="10">
        <v>14</v>
      </c>
      <c r="AP18" s="10">
        <v>15</v>
      </c>
      <c r="AQ18" s="10">
        <v>14</v>
      </c>
      <c r="AR18" s="10">
        <v>16</v>
      </c>
      <c r="AS18" s="10">
        <v>16</v>
      </c>
      <c r="AT18" s="10">
        <v>12</v>
      </c>
      <c r="AU18" s="10">
        <v>18</v>
      </c>
      <c r="AW18" s="6">
        <v>0.22916666666666669</v>
      </c>
      <c r="AX18" s="10">
        <f t="shared" si="11"/>
        <v>-9.9552192218350761</v>
      </c>
      <c r="AY18" s="10">
        <f t="shared" si="12"/>
        <v>-11.099059492186154</v>
      </c>
      <c r="AZ18" s="10">
        <f t="shared" si="13"/>
        <v>-9.8315893468907731</v>
      </c>
      <c r="BA18" s="10">
        <f t="shared" si="14"/>
        <v>-12.265713461590062</v>
      </c>
      <c r="BB18" s="10">
        <f t="shared" si="15"/>
        <v>-12.918230198583499</v>
      </c>
      <c r="BC18" s="10">
        <f t="shared" si="16"/>
        <v>-7.9184586360491265</v>
      </c>
      <c r="BD18" s="10">
        <f t="shared" si="17"/>
        <v>-13.813916155674615</v>
      </c>
      <c r="BF18" s="6">
        <v>0.22916666666666669</v>
      </c>
      <c r="BG18" s="10">
        <f t="shared" si="18"/>
        <v>9.9552192218350761</v>
      </c>
      <c r="BH18" s="10">
        <f t="shared" si="19"/>
        <v>11.099059492186154</v>
      </c>
      <c r="BI18" s="10">
        <f t="shared" si="20"/>
        <v>9.8315893468907731</v>
      </c>
      <c r="BJ18" s="10">
        <f t="shared" si="21"/>
        <v>12.265713461590062</v>
      </c>
      <c r="BK18" s="10">
        <f t="shared" si="22"/>
        <v>12.918230198583499</v>
      </c>
      <c r="BL18" s="10">
        <f t="shared" si="23"/>
        <v>7.9184586360491265</v>
      </c>
      <c r="BM18" s="10">
        <f t="shared" si="24"/>
        <v>13.813916155674615</v>
      </c>
      <c r="BO18" s="62"/>
      <c r="BP18" s="6">
        <v>0.22916666666666669</v>
      </c>
      <c r="BQ18" s="65">
        <v>0</v>
      </c>
      <c r="BR18" s="65">
        <v>0</v>
      </c>
      <c r="BS18" s="65">
        <v>0.33829999999999999</v>
      </c>
      <c r="BT18" s="65">
        <v>0.99970000000000003</v>
      </c>
      <c r="BU18" s="65">
        <v>0.29270000000000002</v>
      </c>
      <c r="BV18" s="65">
        <v>0.99990000000000001</v>
      </c>
      <c r="BW18" s="65">
        <v>0.99990000000000001</v>
      </c>
      <c r="BX18" s="62"/>
      <c r="BY18" s="64"/>
      <c r="BZ18" s="6">
        <v>0.22916666666666669</v>
      </c>
      <c r="CA18" s="67">
        <f t="shared" si="25"/>
        <v>0.23690858843537418</v>
      </c>
      <c r="CB18" s="67">
        <f t="shared" si="26"/>
        <v>0.21325141442715698</v>
      </c>
      <c r="CC18" s="67">
        <f t="shared" si="27"/>
        <v>0.24414976682496903</v>
      </c>
      <c r="CD18" s="67">
        <f t="shared" si="28"/>
        <v>0.19138218509350935</v>
      </c>
      <c r="CE18" s="67">
        <f t="shared" si="29"/>
        <v>0.15794070232259572</v>
      </c>
      <c r="CF18" s="67">
        <f t="shared" si="30"/>
        <v>0.27890532653664307</v>
      </c>
      <c r="CG18" s="67">
        <f t="shared" si="31"/>
        <v>0.19069937513037871</v>
      </c>
      <c r="CQ18" s="6">
        <v>0.20833333333333334</v>
      </c>
      <c r="CR18" s="10">
        <f>'linear calc'!AW15*(1-'linear calc'!V15)</f>
        <v>9.7999999999999989</v>
      </c>
      <c r="CS18" s="10">
        <f>'linear calc'!AX15*(1-'linear calc'!W15)</f>
        <v>10.5</v>
      </c>
      <c r="CT18" s="10">
        <f>'linear calc'!AY15*(1-'linear calc'!X15)</f>
        <v>9.7999999999999989</v>
      </c>
      <c r="CU18" s="10">
        <f>'linear calc'!AZ15*(1-'linear calc'!Y15)</f>
        <v>11.2</v>
      </c>
      <c r="CV18" s="10">
        <f>'linear calc'!BA15*(1-'linear calc'!Z15)</f>
        <v>11.2</v>
      </c>
      <c r="CW18" s="10">
        <f>'linear calc'!BB15*(1-'linear calc'!AA15)</f>
        <v>8.3999999999999986</v>
      </c>
      <c r="CX18" s="10">
        <f>'linear calc'!BC15*(1-'linear calc'!AB15)</f>
        <v>12.6</v>
      </c>
    </row>
    <row r="19" spans="4:102" x14ac:dyDescent="0.3">
      <c r="D19" s="6">
        <v>0.25</v>
      </c>
      <c r="E19" s="7">
        <v>26.75</v>
      </c>
      <c r="F19" s="7">
        <v>25.25</v>
      </c>
      <c r="G19" s="7">
        <v>24</v>
      </c>
      <c r="H19" s="7">
        <v>24.75</v>
      </c>
      <c r="I19" s="7">
        <v>19.817708333333332</v>
      </c>
      <c r="J19" s="7">
        <v>22.4375</v>
      </c>
      <c r="K19" s="7">
        <v>26.9375</v>
      </c>
      <c r="M19" s="6">
        <v>0.25</v>
      </c>
      <c r="N19" s="7">
        <v>335.85294117647061</v>
      </c>
      <c r="O19" s="7">
        <v>311.83050847457628</v>
      </c>
      <c r="P19" s="7">
        <v>325.20754716981133</v>
      </c>
      <c r="Q19" s="7">
        <v>318.4727272727273</v>
      </c>
      <c r="R19" s="7">
        <v>323.57547169811323</v>
      </c>
      <c r="S19" s="7">
        <v>345.52083333333331</v>
      </c>
      <c r="T19" s="7">
        <v>318.1320754716981</v>
      </c>
      <c r="V19" s="6">
        <v>0.25</v>
      </c>
      <c r="W19" s="8">
        <v>0.3</v>
      </c>
      <c r="X19" s="8">
        <v>0.3</v>
      </c>
      <c r="Y19" s="8">
        <v>0.3</v>
      </c>
      <c r="Z19" s="8">
        <v>0.3</v>
      </c>
      <c r="AA19" s="8">
        <v>0.3</v>
      </c>
      <c r="AB19" s="8">
        <v>0.3</v>
      </c>
      <c r="AC19" s="8">
        <v>0.3</v>
      </c>
      <c r="AE19" s="6">
        <v>0.25</v>
      </c>
      <c r="AF19" s="7">
        <f t="shared" si="4"/>
        <v>4.3476897872970328</v>
      </c>
      <c r="AG19" s="7">
        <f t="shared" si="5"/>
        <v>3.810356339035545</v>
      </c>
      <c r="AH19" s="7">
        <f t="shared" si="6"/>
        <v>3.7770911401836393</v>
      </c>
      <c r="AI19" s="7">
        <f t="shared" si="7"/>
        <v>3.8144599303135891</v>
      </c>
      <c r="AJ19" s="7">
        <f t="shared" si="8"/>
        <v>3.1032347667121383</v>
      </c>
      <c r="AK19" s="7">
        <f t="shared" si="9"/>
        <v>3.7517536284923856</v>
      </c>
      <c r="AL19" s="7">
        <f t="shared" si="10"/>
        <v>4.1471558183405275</v>
      </c>
      <c r="AN19" s="6">
        <v>0.25</v>
      </c>
      <c r="AO19" s="10">
        <v>14</v>
      </c>
      <c r="AP19" s="10">
        <v>14</v>
      </c>
      <c r="AQ19" s="10">
        <v>18</v>
      </c>
      <c r="AR19" s="10">
        <v>19</v>
      </c>
      <c r="AS19" s="10">
        <v>13</v>
      </c>
      <c r="AT19" s="10">
        <v>14</v>
      </c>
      <c r="AU19" s="10">
        <v>17</v>
      </c>
      <c r="AW19" s="6">
        <v>0.25</v>
      </c>
      <c r="AX19" s="10">
        <f t="shared" si="11"/>
        <v>-9.6523102127029681</v>
      </c>
      <c r="AY19" s="10">
        <f t="shared" si="12"/>
        <v>-10.189643660964455</v>
      </c>
      <c r="AZ19" s="10">
        <f t="shared" si="13"/>
        <v>-14.222908859816361</v>
      </c>
      <c r="BA19" s="10">
        <f t="shared" si="14"/>
        <v>-15.185540069686411</v>
      </c>
      <c r="BB19" s="10">
        <f t="shared" si="15"/>
        <v>-9.8967652332878622</v>
      </c>
      <c r="BC19" s="10">
        <f t="shared" si="16"/>
        <v>-10.248246371507614</v>
      </c>
      <c r="BD19" s="10">
        <f t="shared" si="17"/>
        <v>-12.852844181659473</v>
      </c>
      <c r="BF19" s="6">
        <v>0.25</v>
      </c>
      <c r="BG19" s="10">
        <f t="shared" si="18"/>
        <v>9.6523102127029681</v>
      </c>
      <c r="BH19" s="10">
        <f t="shared" si="19"/>
        <v>10.189643660964455</v>
      </c>
      <c r="BI19" s="10">
        <f t="shared" si="20"/>
        <v>14.222908859816361</v>
      </c>
      <c r="BJ19" s="10">
        <f t="shared" si="21"/>
        <v>15.185540069686411</v>
      </c>
      <c r="BK19" s="10">
        <f t="shared" si="22"/>
        <v>9.8967652332878622</v>
      </c>
      <c r="BL19" s="10">
        <f t="shared" si="23"/>
        <v>10.248246371507614</v>
      </c>
      <c r="BM19" s="10">
        <f t="shared" si="24"/>
        <v>12.852844181659473</v>
      </c>
      <c r="BO19" s="62"/>
      <c r="BP19" s="6">
        <v>0.25</v>
      </c>
      <c r="BQ19" s="65">
        <v>0.99990000000000001</v>
      </c>
      <c r="BR19" s="65">
        <v>1</v>
      </c>
      <c r="BS19" s="65">
        <v>0.99990000000000001</v>
      </c>
      <c r="BT19" s="65">
        <v>0.99970000000000003</v>
      </c>
      <c r="BU19" s="65">
        <v>1</v>
      </c>
      <c r="BV19" s="65">
        <v>0.99970000000000003</v>
      </c>
      <c r="BW19" s="65">
        <v>0.99970000000000003</v>
      </c>
      <c r="BX19" s="62"/>
      <c r="BY19" s="64"/>
      <c r="BZ19" s="6">
        <v>0.25</v>
      </c>
      <c r="CA19" s="67">
        <f t="shared" si="25"/>
        <v>0.25465040182739768</v>
      </c>
      <c r="CB19" s="67">
        <f t="shared" si="26"/>
        <v>0.22317801414351054</v>
      </c>
      <c r="CC19" s="67">
        <f t="shared" si="27"/>
        <v>0.17206748527503246</v>
      </c>
      <c r="CD19" s="67">
        <f t="shared" si="28"/>
        <v>0.16462406015037598</v>
      </c>
      <c r="CE19" s="67">
        <f t="shared" si="29"/>
        <v>0.19574250066953489</v>
      </c>
      <c r="CF19" s="67">
        <f t="shared" si="30"/>
        <v>0.21974556966883979</v>
      </c>
      <c r="CG19" s="67">
        <f t="shared" si="31"/>
        <v>0.20003928064936663</v>
      </c>
      <c r="CQ19" s="6">
        <v>0.22916666666666669</v>
      </c>
      <c r="CR19" s="10">
        <f>'linear calc'!AW16*(1-'linear calc'!V16)</f>
        <v>9.7999999999999989</v>
      </c>
      <c r="CS19" s="10">
        <f>'linear calc'!AX16*(1-'linear calc'!W16)</f>
        <v>10.5</v>
      </c>
      <c r="CT19" s="10">
        <f>'linear calc'!AY16*(1-'linear calc'!X16)</f>
        <v>9.7999999999999989</v>
      </c>
      <c r="CU19" s="10">
        <f>'linear calc'!AZ16*(1-'linear calc'!Y16)</f>
        <v>11.2</v>
      </c>
      <c r="CV19" s="10">
        <f>'linear calc'!BA16*(1-'linear calc'!Z16)</f>
        <v>11.2</v>
      </c>
      <c r="CW19" s="10">
        <f>'linear calc'!BB16*(1-'linear calc'!AA16)</f>
        <v>8.3999999999999986</v>
      </c>
      <c r="CX19" s="10">
        <f>'linear calc'!BC16*(1-'linear calc'!AB16)</f>
        <v>12.6</v>
      </c>
    </row>
    <row r="20" spans="4:102" x14ac:dyDescent="0.3">
      <c r="D20" s="6">
        <v>0.27083333333333331</v>
      </c>
      <c r="E20" s="7">
        <v>25</v>
      </c>
      <c r="F20" s="7">
        <v>25.75</v>
      </c>
      <c r="G20" s="7">
        <v>28</v>
      </c>
      <c r="H20" s="7">
        <v>24.75</v>
      </c>
      <c r="I20" s="7">
        <v>17.322916666666668</v>
      </c>
      <c r="J20" s="7">
        <v>23.25</v>
      </c>
      <c r="K20" s="7">
        <v>26.6875</v>
      </c>
      <c r="M20" s="6">
        <v>0.27083333333333331</v>
      </c>
      <c r="N20" s="7">
        <v>318.57894736842104</v>
      </c>
      <c r="O20" s="7">
        <v>336.94897959183675</v>
      </c>
      <c r="P20" s="7">
        <v>323.25263157894739</v>
      </c>
      <c r="Q20" s="7">
        <v>324.18269230769232</v>
      </c>
      <c r="R20" s="7">
        <v>319.02352941176468</v>
      </c>
      <c r="S20" s="7">
        <v>311.44444444444446</v>
      </c>
      <c r="T20" s="7">
        <v>319.15178571428572</v>
      </c>
      <c r="V20" s="6">
        <v>0.27083333333333331</v>
      </c>
      <c r="W20" s="8">
        <v>0.3</v>
      </c>
      <c r="X20" s="8">
        <v>0.3</v>
      </c>
      <c r="Y20" s="8">
        <v>0.3</v>
      </c>
      <c r="Z20" s="8">
        <v>0.3</v>
      </c>
      <c r="AA20" s="8">
        <v>0.3</v>
      </c>
      <c r="AB20" s="8">
        <v>0.3</v>
      </c>
      <c r="AC20" s="8">
        <v>0.3</v>
      </c>
      <c r="AE20" s="6">
        <v>0.27083333333333331</v>
      </c>
      <c r="AF20" s="7">
        <f t="shared" si="4"/>
        <v>3.8542749149295998</v>
      </c>
      <c r="AG20" s="7">
        <f t="shared" si="5"/>
        <v>4.1988173753822089</v>
      </c>
      <c r="AH20" s="7">
        <f t="shared" si="6"/>
        <v>4.3801169590643276</v>
      </c>
      <c r="AI20" s="7">
        <f t="shared" si="7"/>
        <v>3.8828501909675688</v>
      </c>
      <c r="AJ20" s="7">
        <f t="shared" si="8"/>
        <v>2.6744183191569308</v>
      </c>
      <c r="AK20" s="7">
        <f t="shared" si="9"/>
        <v>3.5042021551167895</v>
      </c>
      <c r="AL20" s="7">
        <f t="shared" si="10"/>
        <v>4.1218366634001162</v>
      </c>
      <c r="AN20" s="6">
        <v>0.27083333333333331</v>
      </c>
      <c r="AO20" s="10">
        <v>14</v>
      </c>
      <c r="AP20" s="10">
        <v>14</v>
      </c>
      <c r="AQ20" s="10">
        <v>18</v>
      </c>
      <c r="AR20" s="10">
        <v>19</v>
      </c>
      <c r="AS20" s="10">
        <v>13</v>
      </c>
      <c r="AT20" s="10">
        <v>14</v>
      </c>
      <c r="AU20" s="10">
        <v>17</v>
      </c>
      <c r="AW20" s="6">
        <v>0.27083333333333331</v>
      </c>
      <c r="AX20" s="10">
        <f t="shared" si="11"/>
        <v>-10.145725085070399</v>
      </c>
      <c r="AY20" s="10">
        <f t="shared" si="12"/>
        <v>-9.8011826246177911</v>
      </c>
      <c r="AZ20" s="10">
        <f t="shared" si="13"/>
        <v>-13.619883040935672</v>
      </c>
      <c r="BA20" s="10">
        <f t="shared" si="14"/>
        <v>-15.117149809032432</v>
      </c>
      <c r="BB20" s="10">
        <f t="shared" si="15"/>
        <v>-10.325581680843069</v>
      </c>
      <c r="BC20" s="10">
        <f t="shared" si="16"/>
        <v>-10.49579784488321</v>
      </c>
      <c r="BD20" s="10">
        <f t="shared" si="17"/>
        <v>-12.878163336599883</v>
      </c>
      <c r="BF20" s="6">
        <v>0.27083333333333331</v>
      </c>
      <c r="BG20" s="10">
        <f t="shared" si="18"/>
        <v>10.145725085070399</v>
      </c>
      <c r="BH20" s="10">
        <f t="shared" si="19"/>
        <v>9.8011826246177911</v>
      </c>
      <c r="BI20" s="10">
        <f t="shared" si="20"/>
        <v>13.619883040935672</v>
      </c>
      <c r="BJ20" s="10">
        <f t="shared" si="21"/>
        <v>15.117149809032432</v>
      </c>
      <c r="BK20" s="10">
        <f t="shared" si="22"/>
        <v>10.325581680843069</v>
      </c>
      <c r="BL20" s="10">
        <f t="shared" si="23"/>
        <v>10.49579784488321</v>
      </c>
      <c r="BM20" s="10">
        <f t="shared" si="24"/>
        <v>12.878163336599883</v>
      </c>
      <c r="BO20" s="62"/>
      <c r="BP20" s="6">
        <v>0.27083333333333331</v>
      </c>
      <c r="BQ20" s="65">
        <v>0.99990000000000001</v>
      </c>
      <c r="BR20" s="65">
        <v>0.99990000000000001</v>
      </c>
      <c r="BS20" s="65">
        <v>0.99990000000000001</v>
      </c>
      <c r="BT20" s="65">
        <v>0.99960000000000004</v>
      </c>
      <c r="BU20" s="65">
        <v>1</v>
      </c>
      <c r="BV20" s="65">
        <v>0.99970000000000003</v>
      </c>
      <c r="BW20" s="65">
        <v>0.99970000000000003</v>
      </c>
      <c r="BX20" s="62"/>
      <c r="BY20" s="64"/>
      <c r="BZ20" s="6">
        <v>0.27083333333333331</v>
      </c>
      <c r="CA20" s="67">
        <f t="shared" si="25"/>
        <v>0.22575038787444804</v>
      </c>
      <c r="CB20" s="67">
        <f t="shared" si="26"/>
        <v>0.24593073198667226</v>
      </c>
      <c r="CC20" s="67">
        <f t="shared" si="27"/>
        <v>0.19953866146848603</v>
      </c>
      <c r="CD20" s="67">
        <f t="shared" si="28"/>
        <v>0.16757563982070564</v>
      </c>
      <c r="CE20" s="67">
        <f t="shared" si="29"/>
        <v>0.16869407859297567</v>
      </c>
      <c r="CF20" s="67">
        <f t="shared" si="30"/>
        <v>0.20524612622826915</v>
      </c>
      <c r="CG20" s="67">
        <f t="shared" si="31"/>
        <v>0.19881800376400563</v>
      </c>
      <c r="CQ20" s="6">
        <v>0.25</v>
      </c>
      <c r="CR20" s="10">
        <f>'linear calc'!AW17*(1-'linear calc'!V17)</f>
        <v>9.7999999999999989</v>
      </c>
      <c r="CS20" s="10">
        <f>'linear calc'!AX17*(1-'linear calc'!W17)</f>
        <v>9.7999999999999989</v>
      </c>
      <c r="CT20" s="10">
        <f>'linear calc'!AY17*(1-'linear calc'!X17)</f>
        <v>12.6</v>
      </c>
      <c r="CU20" s="10">
        <f>'linear calc'!AZ17*(1-'linear calc'!Y17)</f>
        <v>13.299999999999999</v>
      </c>
      <c r="CV20" s="10">
        <f>'linear calc'!BA17*(1-'linear calc'!Z17)</f>
        <v>9.1</v>
      </c>
      <c r="CW20" s="10">
        <f>'linear calc'!BB17*(1-'linear calc'!AA17)</f>
        <v>9.7999999999999989</v>
      </c>
      <c r="CX20" s="10">
        <f>'linear calc'!BC17*(1-'linear calc'!AB17)</f>
        <v>11.899999999999999</v>
      </c>
    </row>
    <row r="21" spans="4:102" x14ac:dyDescent="0.3">
      <c r="D21" s="6">
        <v>0.29166666666666663</v>
      </c>
      <c r="E21" s="7">
        <v>25</v>
      </c>
      <c r="F21" s="7">
        <v>22</v>
      </c>
      <c r="G21" s="7">
        <v>24.75</v>
      </c>
      <c r="H21" s="7">
        <v>26.75</v>
      </c>
      <c r="I21" s="7">
        <v>16.578125</v>
      </c>
      <c r="J21" s="7">
        <v>22.9375</v>
      </c>
      <c r="K21" s="7">
        <v>24.25</v>
      </c>
      <c r="M21" s="6">
        <v>0.29166666666666663</v>
      </c>
      <c r="N21" s="7">
        <v>318.44086021505376</v>
      </c>
      <c r="O21" s="7">
        <v>332.86666666666667</v>
      </c>
      <c r="P21" s="7">
        <v>320.36</v>
      </c>
      <c r="Q21" s="7">
        <v>329.25531914893617</v>
      </c>
      <c r="R21" s="7">
        <v>322.59139784946234</v>
      </c>
      <c r="S21" s="7">
        <v>335.70454545454544</v>
      </c>
      <c r="T21" s="7">
        <v>322.69565217391306</v>
      </c>
      <c r="V21" s="6">
        <v>0.29166666666666663</v>
      </c>
      <c r="W21" s="8">
        <v>0.3</v>
      </c>
      <c r="X21" s="8">
        <v>0.3</v>
      </c>
      <c r="Y21" s="8">
        <v>0.3</v>
      </c>
      <c r="Z21" s="8">
        <v>0.3</v>
      </c>
      <c r="AA21" s="8">
        <v>0.3</v>
      </c>
      <c r="AB21" s="8">
        <v>0.3</v>
      </c>
      <c r="AC21" s="8">
        <v>0.3</v>
      </c>
      <c r="AE21" s="6">
        <v>0.29166666666666663</v>
      </c>
      <c r="AF21" s="7">
        <f t="shared" si="4"/>
        <v>3.8526042902518118</v>
      </c>
      <c r="AG21" s="7">
        <f t="shared" si="5"/>
        <v>3.5438766292424826</v>
      </c>
      <c r="AH21" s="7">
        <f t="shared" si="6"/>
        <v>3.8370644599303136</v>
      </c>
      <c r="AI21" s="7">
        <f t="shared" si="7"/>
        <v>4.2622821270006011</v>
      </c>
      <c r="AJ21" s="7">
        <f t="shared" si="8"/>
        <v>2.5880567738449076</v>
      </c>
      <c r="AK21" s="7">
        <f t="shared" si="9"/>
        <v>3.7263951855224717</v>
      </c>
      <c r="AL21" s="7">
        <f t="shared" si="10"/>
        <v>3.7869577841741151</v>
      </c>
      <c r="AN21" s="6">
        <v>0.29166666666666663</v>
      </c>
      <c r="AO21" s="10">
        <v>14</v>
      </c>
      <c r="AP21" s="10">
        <v>14</v>
      </c>
      <c r="AQ21" s="10">
        <v>18</v>
      </c>
      <c r="AR21" s="10">
        <v>19</v>
      </c>
      <c r="AS21" s="10">
        <v>13</v>
      </c>
      <c r="AT21" s="10">
        <v>14</v>
      </c>
      <c r="AU21" s="10">
        <v>17</v>
      </c>
      <c r="AW21" s="6">
        <v>0.29166666666666663</v>
      </c>
      <c r="AX21" s="10">
        <f t="shared" si="11"/>
        <v>-10.147395709748189</v>
      </c>
      <c r="AY21" s="10">
        <f t="shared" si="12"/>
        <v>-10.456123370757517</v>
      </c>
      <c r="AZ21" s="10">
        <f t="shared" si="13"/>
        <v>-14.162935540069686</v>
      </c>
      <c r="BA21" s="10">
        <f t="shared" si="14"/>
        <v>-14.737717872999399</v>
      </c>
      <c r="BB21" s="10">
        <f t="shared" si="15"/>
        <v>-10.411943226155092</v>
      </c>
      <c r="BC21" s="10">
        <f t="shared" si="16"/>
        <v>-10.273604814477528</v>
      </c>
      <c r="BD21" s="10">
        <f t="shared" si="17"/>
        <v>-13.213042215825885</v>
      </c>
      <c r="BF21" s="6">
        <v>0.29166666666666663</v>
      </c>
      <c r="BG21" s="10">
        <f t="shared" si="18"/>
        <v>10.147395709748189</v>
      </c>
      <c r="BH21" s="10">
        <f t="shared" si="19"/>
        <v>10.456123370757517</v>
      </c>
      <c r="BI21" s="10">
        <f t="shared" si="20"/>
        <v>14.162935540069686</v>
      </c>
      <c r="BJ21" s="10">
        <f t="shared" si="21"/>
        <v>14.737717872999399</v>
      </c>
      <c r="BK21" s="10">
        <f t="shared" si="22"/>
        <v>10.411943226155092</v>
      </c>
      <c r="BL21" s="10">
        <f t="shared" si="23"/>
        <v>10.273604814477528</v>
      </c>
      <c r="BM21" s="10">
        <f t="shared" si="24"/>
        <v>13.213042215825885</v>
      </c>
      <c r="BO21" s="62"/>
      <c r="BP21" s="6">
        <v>0.29166666666666663</v>
      </c>
      <c r="BQ21" s="65">
        <v>0.99980000000000002</v>
      </c>
      <c r="BR21" s="65">
        <v>0.99990000000000001</v>
      </c>
      <c r="BS21" s="65">
        <v>0.99990000000000001</v>
      </c>
      <c r="BT21" s="65">
        <v>0.99990000000000001</v>
      </c>
      <c r="BU21" s="65">
        <v>1</v>
      </c>
      <c r="BV21" s="65">
        <v>0.99960000000000004</v>
      </c>
      <c r="BW21" s="65">
        <v>0.99960000000000004</v>
      </c>
      <c r="BX21" s="62"/>
      <c r="BY21" s="64"/>
      <c r="BZ21" s="6">
        <v>0.29166666666666663</v>
      </c>
      <c r="CA21" s="67">
        <f t="shared" si="25"/>
        <v>0.22565253700046331</v>
      </c>
      <c r="CB21" s="67">
        <f t="shared" si="26"/>
        <v>0.20756991685563117</v>
      </c>
      <c r="CC21" s="67">
        <f t="shared" si="27"/>
        <v>0.17479960317460319</v>
      </c>
      <c r="CD21" s="67">
        <f t="shared" si="28"/>
        <v>0.18395112337581543</v>
      </c>
      <c r="CE21" s="67">
        <f t="shared" si="29"/>
        <v>0.16324665804252497</v>
      </c>
      <c r="CF21" s="67">
        <f t="shared" si="30"/>
        <v>0.21826028943774484</v>
      </c>
      <c r="CG21" s="67">
        <f t="shared" si="31"/>
        <v>0.18266502253075145</v>
      </c>
      <c r="CQ21" s="6">
        <v>0.27083333333333331</v>
      </c>
      <c r="CR21" s="10">
        <f>'linear calc'!AW18*(1-'linear calc'!V18)</f>
        <v>9.7999999999999989</v>
      </c>
      <c r="CS21" s="10">
        <f>'linear calc'!AX18*(1-'linear calc'!W18)</f>
        <v>9.7999999999999989</v>
      </c>
      <c r="CT21" s="10">
        <f>'linear calc'!AY18*(1-'linear calc'!X18)</f>
        <v>12.6</v>
      </c>
      <c r="CU21" s="10">
        <f>'linear calc'!AZ18*(1-'linear calc'!Y18)</f>
        <v>13.299999999999999</v>
      </c>
      <c r="CV21" s="10">
        <f>'linear calc'!BA18*(1-'linear calc'!Z18)</f>
        <v>9.1</v>
      </c>
      <c r="CW21" s="10">
        <f>'linear calc'!BB18*(1-'linear calc'!AA18)</f>
        <v>9.7999999999999989</v>
      </c>
      <c r="CX21" s="10">
        <f>'linear calc'!BC18*(1-'linear calc'!AB18)</f>
        <v>11.899999999999999</v>
      </c>
    </row>
    <row r="22" spans="4:102" x14ac:dyDescent="0.3">
      <c r="D22" s="6">
        <v>0.31249999999999994</v>
      </c>
      <c r="E22" s="7">
        <v>26</v>
      </c>
      <c r="F22" s="7">
        <v>26.75</v>
      </c>
      <c r="G22" s="7">
        <v>24.75</v>
      </c>
      <c r="H22" s="7">
        <v>24</v>
      </c>
      <c r="I22" s="7">
        <v>20.083333333333332</v>
      </c>
      <c r="J22" s="7">
        <v>25.5</v>
      </c>
      <c r="K22" s="7">
        <v>25.4375</v>
      </c>
      <c r="M22" s="6">
        <v>0.31249999999999994</v>
      </c>
      <c r="N22" s="7">
        <v>310.05769230769232</v>
      </c>
      <c r="O22" s="7">
        <v>332.18446601941747</v>
      </c>
      <c r="P22" s="7">
        <v>332.69306930693068</v>
      </c>
      <c r="Q22" s="7">
        <v>316.60000000000002</v>
      </c>
      <c r="R22" s="7">
        <v>316.62</v>
      </c>
      <c r="S22" s="7">
        <v>321.8095238095238</v>
      </c>
      <c r="T22" s="7">
        <v>319.35416666666669</v>
      </c>
      <c r="V22" s="6">
        <v>0.31249999999999994</v>
      </c>
      <c r="W22" s="8">
        <v>0.3</v>
      </c>
      <c r="X22" s="8">
        <v>0.3</v>
      </c>
      <c r="Y22" s="8">
        <v>0.3</v>
      </c>
      <c r="Z22" s="8">
        <v>0.3</v>
      </c>
      <c r="AA22" s="8">
        <v>0.3</v>
      </c>
      <c r="AB22" s="8">
        <v>0.3</v>
      </c>
      <c r="AC22" s="8">
        <v>0.3</v>
      </c>
      <c r="AE22" s="6">
        <v>0.31249999999999994</v>
      </c>
      <c r="AF22" s="7">
        <f t="shared" si="4"/>
        <v>3.901229190863337</v>
      </c>
      <c r="AG22" s="7">
        <f t="shared" si="5"/>
        <v>4.3002005739544211</v>
      </c>
      <c r="AH22" s="7">
        <f t="shared" si="6"/>
        <v>3.9847819712284815</v>
      </c>
      <c r="AI22" s="7">
        <f t="shared" si="7"/>
        <v>3.6771196283391405</v>
      </c>
      <c r="AJ22" s="7">
        <f t="shared" si="8"/>
        <v>3.077228513356562</v>
      </c>
      <c r="AK22" s="7">
        <f t="shared" si="9"/>
        <v>3.9712267020629386</v>
      </c>
      <c r="AL22" s="7">
        <f t="shared" si="10"/>
        <v>3.9312677190201963</v>
      </c>
      <c r="AN22" s="6">
        <v>0.31249999999999994</v>
      </c>
      <c r="AO22" s="10">
        <v>14</v>
      </c>
      <c r="AP22" s="10">
        <v>14</v>
      </c>
      <c r="AQ22" s="10">
        <v>18</v>
      </c>
      <c r="AR22" s="10">
        <v>19</v>
      </c>
      <c r="AS22" s="10">
        <v>13</v>
      </c>
      <c r="AT22" s="10">
        <v>14</v>
      </c>
      <c r="AU22" s="10">
        <v>17</v>
      </c>
      <c r="AW22" s="6">
        <v>0.31249999999999994</v>
      </c>
      <c r="AX22" s="10">
        <f t="shared" si="11"/>
        <v>-10.098770809136663</v>
      </c>
      <c r="AY22" s="10">
        <f t="shared" si="12"/>
        <v>-9.6997994260455798</v>
      </c>
      <c r="AZ22" s="10">
        <f t="shared" si="13"/>
        <v>-14.015218028771518</v>
      </c>
      <c r="BA22" s="10">
        <f t="shared" si="14"/>
        <v>-15.32288037166086</v>
      </c>
      <c r="BB22" s="10">
        <f t="shared" si="15"/>
        <v>-9.9227714866434376</v>
      </c>
      <c r="BC22" s="10">
        <f t="shared" si="16"/>
        <v>-10.028773297937061</v>
      </c>
      <c r="BD22" s="10">
        <f t="shared" si="17"/>
        <v>-13.068732280979804</v>
      </c>
      <c r="BF22" s="6">
        <v>0.31249999999999994</v>
      </c>
      <c r="BG22" s="10">
        <f t="shared" si="18"/>
        <v>10.098770809136663</v>
      </c>
      <c r="BH22" s="10">
        <f t="shared" si="19"/>
        <v>9.6997994260455798</v>
      </c>
      <c r="BI22" s="10">
        <f t="shared" si="20"/>
        <v>14.015218028771518</v>
      </c>
      <c r="BJ22" s="10">
        <f t="shared" si="21"/>
        <v>15.32288037166086</v>
      </c>
      <c r="BK22" s="10">
        <f t="shared" si="22"/>
        <v>9.9227714866434376</v>
      </c>
      <c r="BL22" s="10">
        <f t="shared" si="23"/>
        <v>10.028773297937061</v>
      </c>
      <c r="BM22" s="10">
        <f t="shared" si="24"/>
        <v>13.068732280979804</v>
      </c>
      <c r="BO22" s="62"/>
      <c r="BP22" s="6">
        <v>0.31249999999999994</v>
      </c>
      <c r="BQ22" s="65">
        <v>0.99990000000000001</v>
      </c>
      <c r="BR22" s="65">
        <v>0.99980000000000002</v>
      </c>
      <c r="BS22" s="65">
        <v>1</v>
      </c>
      <c r="BT22" s="65">
        <v>0.99980000000000002</v>
      </c>
      <c r="BU22" s="65">
        <v>1</v>
      </c>
      <c r="BV22" s="65">
        <v>0.99990000000000001</v>
      </c>
      <c r="BW22" s="65">
        <v>0.99990000000000001</v>
      </c>
      <c r="BX22" s="62"/>
      <c r="BY22" s="64"/>
      <c r="BZ22" s="6">
        <v>0.31249999999999994</v>
      </c>
      <c r="CA22" s="67">
        <f t="shared" si="25"/>
        <v>0.22850056689342407</v>
      </c>
      <c r="CB22" s="67">
        <f t="shared" si="26"/>
        <v>0.25186889076018759</v>
      </c>
      <c r="CC22" s="67">
        <f t="shared" si="27"/>
        <v>0.18152895646707529</v>
      </c>
      <c r="CD22" s="67">
        <f t="shared" si="28"/>
        <v>0.15869674185463661</v>
      </c>
      <c r="CE22" s="67">
        <f t="shared" si="29"/>
        <v>0.19410210622710625</v>
      </c>
      <c r="CF22" s="67">
        <f t="shared" si="30"/>
        <v>0.23260042112082929</v>
      </c>
      <c r="CG22" s="67">
        <f t="shared" si="31"/>
        <v>0.18962585468215068</v>
      </c>
      <c r="CQ22" s="6">
        <v>0.29166666666666663</v>
      </c>
      <c r="CR22" s="10">
        <f>'linear calc'!AW19*(1-'linear calc'!V19)</f>
        <v>9.7999999999999989</v>
      </c>
      <c r="CS22" s="10">
        <f>'linear calc'!AX19*(1-'linear calc'!W19)</f>
        <v>9.7999999999999989</v>
      </c>
      <c r="CT22" s="10">
        <f>'linear calc'!AY19*(1-'linear calc'!X19)</f>
        <v>12.6</v>
      </c>
      <c r="CU22" s="10">
        <f>'linear calc'!AZ19*(1-'linear calc'!Y19)</f>
        <v>13.299999999999999</v>
      </c>
      <c r="CV22" s="10">
        <f>'linear calc'!BA19*(1-'linear calc'!Z19)</f>
        <v>9.1</v>
      </c>
      <c r="CW22" s="10">
        <f>'linear calc'!BB19*(1-'linear calc'!AA19)</f>
        <v>9.7999999999999989</v>
      </c>
      <c r="CX22" s="10">
        <f>'linear calc'!BC19*(1-'linear calc'!AB19)</f>
        <v>11.899999999999999</v>
      </c>
    </row>
    <row r="23" spans="4:102" x14ac:dyDescent="0.3">
      <c r="D23" s="6">
        <v>0.33333333333333326</v>
      </c>
      <c r="E23" s="7">
        <v>25.25</v>
      </c>
      <c r="F23" s="7">
        <v>26</v>
      </c>
      <c r="G23" s="7">
        <v>26.5</v>
      </c>
      <c r="H23" s="7">
        <v>24.75</v>
      </c>
      <c r="I23" s="7">
        <v>16.338541666666668</v>
      </c>
      <c r="J23" s="7">
        <v>25.875</v>
      </c>
      <c r="K23" s="7">
        <v>24.4375</v>
      </c>
      <c r="M23" s="6">
        <v>0.33333333333333326</v>
      </c>
      <c r="N23" s="7">
        <v>322.126213592233</v>
      </c>
      <c r="O23" s="7">
        <v>332.82</v>
      </c>
      <c r="P23" s="7">
        <v>320.0204081632653</v>
      </c>
      <c r="Q23" s="7">
        <v>334.7216494845361</v>
      </c>
      <c r="R23" s="7">
        <v>336.5090909090909</v>
      </c>
      <c r="S23" s="7">
        <v>317.64423076923077</v>
      </c>
      <c r="T23" s="7">
        <v>323.89</v>
      </c>
      <c r="V23" s="6">
        <v>0.33333333333333326</v>
      </c>
      <c r="W23" s="8">
        <v>0.3</v>
      </c>
      <c r="X23" s="8">
        <v>0.3</v>
      </c>
      <c r="Y23" s="8">
        <v>0.3</v>
      </c>
      <c r="Z23" s="8">
        <v>0.3</v>
      </c>
      <c r="AA23" s="8">
        <v>0.3</v>
      </c>
      <c r="AB23" s="8">
        <v>0.3</v>
      </c>
      <c r="AC23" s="8">
        <v>0.3</v>
      </c>
      <c r="AE23" s="6">
        <v>0.33333333333333326</v>
      </c>
      <c r="AF23" s="7">
        <f t="shared" si="4"/>
        <v>3.9361628403038535</v>
      </c>
      <c r="AG23" s="7">
        <f t="shared" si="5"/>
        <v>4.1876306620209052</v>
      </c>
      <c r="AH23" s="7">
        <f t="shared" si="6"/>
        <v>4.1040170423570128</v>
      </c>
      <c r="AI23" s="7">
        <f t="shared" si="7"/>
        <v>4.0090789899062473</v>
      </c>
      <c r="AJ23" s="7">
        <f t="shared" si="8"/>
        <v>2.6606987045249242</v>
      </c>
      <c r="AK23" s="7">
        <f t="shared" si="9"/>
        <v>3.9774702241356201</v>
      </c>
      <c r="AL23" s="7">
        <f t="shared" si="10"/>
        <v>3.8303628895663953</v>
      </c>
      <c r="AN23" s="6">
        <v>0.33333333333333326</v>
      </c>
      <c r="AO23" s="10">
        <v>14</v>
      </c>
      <c r="AP23" s="10">
        <v>14</v>
      </c>
      <c r="AQ23" s="10">
        <v>18</v>
      </c>
      <c r="AR23" s="10">
        <v>19</v>
      </c>
      <c r="AS23" s="10">
        <v>13</v>
      </c>
      <c r="AT23" s="10">
        <v>14</v>
      </c>
      <c r="AU23" s="10">
        <v>17</v>
      </c>
      <c r="AW23" s="6">
        <v>0.33333333333333326</v>
      </c>
      <c r="AX23" s="10">
        <f t="shared" si="11"/>
        <v>-10.063837159696146</v>
      </c>
      <c r="AY23" s="10">
        <f t="shared" si="12"/>
        <v>-9.8123693379790957</v>
      </c>
      <c r="AZ23" s="10">
        <f t="shared" si="13"/>
        <v>-13.895982957642987</v>
      </c>
      <c r="BA23" s="10">
        <f t="shared" si="14"/>
        <v>-14.990921010093754</v>
      </c>
      <c r="BB23" s="10">
        <f t="shared" si="15"/>
        <v>-10.339301295475076</v>
      </c>
      <c r="BC23" s="10">
        <f t="shared" si="16"/>
        <v>-10.022529775864379</v>
      </c>
      <c r="BD23" s="10">
        <f t="shared" si="17"/>
        <v>-13.169637110433605</v>
      </c>
      <c r="BF23" s="6">
        <v>0.33333333333333326</v>
      </c>
      <c r="BG23" s="10">
        <f t="shared" si="18"/>
        <v>10.063837159696146</v>
      </c>
      <c r="BH23" s="10">
        <f t="shared" si="19"/>
        <v>9.8123693379790957</v>
      </c>
      <c r="BI23" s="10">
        <f t="shared" si="20"/>
        <v>13.895982957642987</v>
      </c>
      <c r="BJ23" s="10">
        <f t="shared" si="21"/>
        <v>14.990921010093754</v>
      </c>
      <c r="BK23" s="10">
        <f t="shared" si="22"/>
        <v>10.339301295475076</v>
      </c>
      <c r="BL23" s="10">
        <f t="shared" si="23"/>
        <v>10.022529775864379</v>
      </c>
      <c r="BM23" s="10">
        <f t="shared" si="24"/>
        <v>13.169637110433605</v>
      </c>
      <c r="BO23" s="62"/>
      <c r="BP23" s="6">
        <v>0.33333333333333326</v>
      </c>
      <c r="BQ23" s="65">
        <v>0</v>
      </c>
      <c r="BR23" s="65">
        <v>0</v>
      </c>
      <c r="BS23" s="65">
        <v>0</v>
      </c>
      <c r="BT23" s="65">
        <v>1</v>
      </c>
      <c r="BU23" s="65">
        <v>0</v>
      </c>
      <c r="BV23" s="65">
        <v>0.99980000000000002</v>
      </c>
      <c r="BW23" s="65">
        <v>0.99980000000000002</v>
      </c>
      <c r="BX23" s="62"/>
      <c r="BY23" s="64"/>
      <c r="BZ23" s="6">
        <v>0.33333333333333326</v>
      </c>
      <c r="CA23" s="67">
        <f t="shared" si="25"/>
        <v>0.2305466806463686</v>
      </c>
      <c r="CB23" s="67">
        <f t="shared" si="26"/>
        <v>0.24527551020408164</v>
      </c>
      <c r="CC23" s="67">
        <f t="shared" si="27"/>
        <v>0.18696077637404171</v>
      </c>
      <c r="CD23" s="67">
        <f t="shared" si="28"/>
        <v>0.1730234090380591</v>
      </c>
      <c r="CE23" s="67">
        <f t="shared" si="29"/>
        <v>0.16782868751618754</v>
      </c>
      <c r="CF23" s="67">
        <f t="shared" si="30"/>
        <v>0.23296611312794349</v>
      </c>
      <c r="CG23" s="67">
        <f t="shared" si="31"/>
        <v>0.18475868055555555</v>
      </c>
      <c r="CQ23" s="6">
        <v>0.31249999999999994</v>
      </c>
      <c r="CR23" s="10">
        <f>'linear calc'!AW20*(1-'linear calc'!V20)</f>
        <v>9.7999999999999989</v>
      </c>
      <c r="CS23" s="10">
        <f>'linear calc'!AX20*(1-'linear calc'!W20)</f>
        <v>9.7999999999999989</v>
      </c>
      <c r="CT23" s="10">
        <f>'linear calc'!AY20*(1-'linear calc'!X20)</f>
        <v>12.6</v>
      </c>
      <c r="CU23" s="10">
        <f>'linear calc'!AZ20*(1-'linear calc'!Y20)</f>
        <v>13.299999999999999</v>
      </c>
      <c r="CV23" s="10">
        <f>'linear calc'!BA20*(1-'linear calc'!Z20)</f>
        <v>9.1</v>
      </c>
      <c r="CW23" s="10">
        <f>'linear calc'!BB20*(1-'linear calc'!AA20)</f>
        <v>9.7999999999999989</v>
      </c>
      <c r="CX23" s="10">
        <f>'linear calc'!BC20*(1-'linear calc'!AB20)</f>
        <v>11.899999999999999</v>
      </c>
    </row>
    <row r="24" spans="4:102" x14ac:dyDescent="0.3">
      <c r="D24" s="6">
        <v>0.35416666666666657</v>
      </c>
      <c r="E24" s="7">
        <v>26.5</v>
      </c>
      <c r="F24" s="7">
        <v>23.5</v>
      </c>
      <c r="G24" s="7">
        <v>25.25</v>
      </c>
      <c r="H24" s="7">
        <v>25.75</v>
      </c>
      <c r="I24" s="7">
        <v>19.59375</v>
      </c>
      <c r="J24" s="7">
        <v>25.375</v>
      </c>
      <c r="K24" s="7">
        <v>24.9375</v>
      </c>
      <c r="M24" s="6">
        <v>0.35416666666666657</v>
      </c>
      <c r="N24" s="7">
        <v>318.66055045871559</v>
      </c>
      <c r="O24" s="7">
        <v>321.24038461538464</v>
      </c>
      <c r="P24" s="7">
        <v>320.03370786516854</v>
      </c>
      <c r="Q24" s="7">
        <v>331.36734693877548</v>
      </c>
      <c r="R24" s="7">
        <v>329.02752293577981</v>
      </c>
      <c r="S24" s="7">
        <v>323.4375</v>
      </c>
      <c r="T24" s="7">
        <v>325.50526315789472</v>
      </c>
      <c r="V24" s="6">
        <v>0.35416666666666657</v>
      </c>
      <c r="W24" s="8">
        <v>0.3</v>
      </c>
      <c r="X24" s="8">
        <v>0.3</v>
      </c>
      <c r="Y24" s="8">
        <v>0.3</v>
      </c>
      <c r="Z24" s="8">
        <v>0.3</v>
      </c>
      <c r="AA24" s="8">
        <v>0.3</v>
      </c>
      <c r="AB24" s="8">
        <v>0.3</v>
      </c>
      <c r="AC24" s="8">
        <v>0.3</v>
      </c>
      <c r="AE24" s="6">
        <v>0.35416666666666657</v>
      </c>
      <c r="AF24" s="7">
        <f t="shared" si="4"/>
        <v>4.0865779070634742</v>
      </c>
      <c r="AG24" s="7">
        <f t="shared" si="5"/>
        <v>3.6532854425384915</v>
      </c>
      <c r="AH24" s="7">
        <f t="shared" si="6"/>
        <v>3.9105938461070004</v>
      </c>
      <c r="AI24" s="7">
        <f t="shared" si="7"/>
        <v>4.1292630583011363</v>
      </c>
      <c r="AJ24" s="7">
        <f t="shared" si="8"/>
        <v>3.1198620922972005</v>
      </c>
      <c r="AK24" s="7">
        <f t="shared" si="9"/>
        <v>3.9717511432926829</v>
      </c>
      <c r="AL24" s="7">
        <f t="shared" si="10"/>
        <v>3.9282266260162597</v>
      </c>
      <c r="AN24" s="6">
        <v>0.35416666666666657</v>
      </c>
      <c r="AO24" s="10">
        <v>14</v>
      </c>
      <c r="AP24" s="10">
        <v>14</v>
      </c>
      <c r="AQ24" s="10">
        <v>18</v>
      </c>
      <c r="AR24" s="10">
        <v>19</v>
      </c>
      <c r="AS24" s="10">
        <v>13</v>
      </c>
      <c r="AT24" s="10">
        <v>14</v>
      </c>
      <c r="AU24" s="10">
        <v>17</v>
      </c>
      <c r="AW24" s="6">
        <v>0.35416666666666657</v>
      </c>
      <c r="AX24" s="10">
        <f t="shared" si="11"/>
        <v>-9.9134220929365249</v>
      </c>
      <c r="AY24" s="10">
        <f t="shared" si="12"/>
        <v>-10.346714557461508</v>
      </c>
      <c r="AZ24" s="10">
        <f t="shared" si="13"/>
        <v>-14.089406153893</v>
      </c>
      <c r="BA24" s="10">
        <f t="shared" si="14"/>
        <v>-14.870736941698864</v>
      </c>
      <c r="BB24" s="10">
        <f t="shared" si="15"/>
        <v>-9.8801379077027995</v>
      </c>
      <c r="BC24" s="10">
        <f t="shared" si="16"/>
        <v>-10.028248856707318</v>
      </c>
      <c r="BD24" s="10">
        <f t="shared" si="17"/>
        <v>-13.07177337398374</v>
      </c>
      <c r="BF24" s="6">
        <v>0.35416666666666657</v>
      </c>
      <c r="BG24" s="10">
        <f t="shared" si="18"/>
        <v>9.9134220929365249</v>
      </c>
      <c r="BH24" s="10">
        <f t="shared" si="19"/>
        <v>10.346714557461508</v>
      </c>
      <c r="BI24" s="10">
        <f t="shared" si="20"/>
        <v>14.089406153893</v>
      </c>
      <c r="BJ24" s="10">
        <f t="shared" si="21"/>
        <v>14.870736941698864</v>
      </c>
      <c r="BK24" s="10">
        <f t="shared" si="22"/>
        <v>9.8801379077027995</v>
      </c>
      <c r="BL24" s="10">
        <f t="shared" si="23"/>
        <v>10.028248856707318</v>
      </c>
      <c r="BM24" s="10">
        <f t="shared" si="24"/>
        <v>13.07177337398374</v>
      </c>
      <c r="BO24" s="62"/>
      <c r="BP24" s="6">
        <v>0.35416666666666657</v>
      </c>
      <c r="BQ24" s="65">
        <v>0</v>
      </c>
      <c r="BR24" s="65">
        <v>0</v>
      </c>
      <c r="BS24" s="65">
        <v>0</v>
      </c>
      <c r="BT24" s="65">
        <v>0</v>
      </c>
      <c r="BU24" s="65">
        <v>0</v>
      </c>
      <c r="BV24" s="65">
        <v>1</v>
      </c>
      <c r="BW24" s="65">
        <v>1</v>
      </c>
      <c r="BX24" s="62"/>
      <c r="BY24" s="64"/>
      <c r="BZ24" s="6">
        <v>0.35416666666666657</v>
      </c>
      <c r="CA24" s="67">
        <f t="shared" si="25"/>
        <v>0.23935670598514638</v>
      </c>
      <c r="CB24" s="67">
        <f t="shared" si="26"/>
        <v>0.21397814734868309</v>
      </c>
      <c r="CC24" s="67">
        <f t="shared" si="27"/>
        <v>0.17814927521154114</v>
      </c>
      <c r="CD24" s="67">
        <f t="shared" si="28"/>
        <v>0.17821030041089117</v>
      </c>
      <c r="CE24" s="67">
        <f t="shared" si="29"/>
        <v>0.19679130120643881</v>
      </c>
      <c r="CF24" s="67">
        <f t="shared" si="30"/>
        <v>0.23263113839285718</v>
      </c>
      <c r="CG24" s="67">
        <f t="shared" si="31"/>
        <v>0.1894791666666667</v>
      </c>
      <c r="CQ24" s="6">
        <v>0.33333333333333326</v>
      </c>
      <c r="CR24" s="10">
        <f>'linear calc'!AW21*(1-'linear calc'!V21)</f>
        <v>9.7999999999999989</v>
      </c>
      <c r="CS24" s="10">
        <f>'linear calc'!AX21*(1-'linear calc'!W21)</f>
        <v>9.7999999999999989</v>
      </c>
      <c r="CT24" s="10">
        <f>'linear calc'!AY21*(1-'linear calc'!X21)</f>
        <v>12.6</v>
      </c>
      <c r="CU24" s="10">
        <f>'linear calc'!AZ21*(1-'linear calc'!Y21)</f>
        <v>13.299999999999999</v>
      </c>
      <c r="CV24" s="10">
        <f>'linear calc'!BA21*(1-'linear calc'!Z21)</f>
        <v>9.1</v>
      </c>
      <c r="CW24" s="10">
        <f>'linear calc'!BB21*(1-'linear calc'!AA21)</f>
        <v>9.7999999999999989</v>
      </c>
      <c r="CX24" s="10">
        <f>'linear calc'!BC21*(1-'linear calc'!AB21)</f>
        <v>11.899999999999999</v>
      </c>
    </row>
    <row r="25" spans="4:102" x14ac:dyDescent="0.3">
      <c r="D25" s="6">
        <v>0.37499999999999989</v>
      </c>
      <c r="E25" s="7">
        <v>21</v>
      </c>
      <c r="F25" s="7">
        <v>24.5</v>
      </c>
      <c r="G25" s="7">
        <v>22.25</v>
      </c>
      <c r="H25" s="7">
        <v>25.75</v>
      </c>
      <c r="I25" s="7">
        <v>19.598958333333332</v>
      </c>
      <c r="J25" s="7">
        <v>43.375</v>
      </c>
      <c r="K25" s="7">
        <v>46.6875</v>
      </c>
      <c r="M25" s="6">
        <v>0.37499999999999989</v>
      </c>
      <c r="N25" s="7">
        <v>326.40206185567013</v>
      </c>
      <c r="O25" s="7">
        <v>334.24175824175825</v>
      </c>
      <c r="P25" s="7">
        <v>324.85046728971963</v>
      </c>
      <c r="Q25" s="7">
        <v>318.57575757575756</v>
      </c>
      <c r="R25" s="7">
        <v>330.56565656565658</v>
      </c>
      <c r="S25" s="7">
        <v>313.83168316831683</v>
      </c>
      <c r="T25" s="7">
        <v>337.34042553191489</v>
      </c>
      <c r="V25" s="6">
        <v>0.37499999999999989</v>
      </c>
      <c r="W25" s="8">
        <v>0.3</v>
      </c>
      <c r="X25" s="8">
        <v>0.3</v>
      </c>
      <c r="Y25" s="8">
        <v>0.3</v>
      </c>
      <c r="Z25" s="8">
        <v>0.3</v>
      </c>
      <c r="AA25" s="8">
        <v>0.3</v>
      </c>
      <c r="AB25" s="8">
        <v>0.3</v>
      </c>
      <c r="AC25" s="8">
        <v>0.3</v>
      </c>
      <c r="AE25" s="6">
        <v>0.37499999999999989</v>
      </c>
      <c r="AF25" s="7">
        <f t="shared" si="4"/>
        <v>3.3170941245494929</v>
      </c>
      <c r="AG25" s="7">
        <f t="shared" si="5"/>
        <v>3.9628934750885971</v>
      </c>
      <c r="AH25" s="7">
        <f t="shared" si="6"/>
        <v>3.4978333803698516</v>
      </c>
      <c r="AI25" s="7">
        <f t="shared" si="7"/>
        <v>3.9698634134609745</v>
      </c>
      <c r="AJ25" s="7">
        <f t="shared" si="8"/>
        <v>3.1352799697354237</v>
      </c>
      <c r="AK25" s="7">
        <f t="shared" si="9"/>
        <v>6.5875189979799371</v>
      </c>
      <c r="AL25" s="7">
        <f t="shared" si="10"/>
        <v>7.6217485080435905</v>
      </c>
      <c r="AN25" s="6">
        <v>0.37499999999999989</v>
      </c>
      <c r="AO25" s="10">
        <v>14</v>
      </c>
      <c r="AP25" s="10">
        <v>14</v>
      </c>
      <c r="AQ25" s="10">
        <v>18</v>
      </c>
      <c r="AR25" s="10">
        <v>19</v>
      </c>
      <c r="AS25" s="10">
        <v>13</v>
      </c>
      <c r="AT25" s="10">
        <v>14</v>
      </c>
      <c r="AU25" s="10">
        <v>17</v>
      </c>
      <c r="AW25" s="6">
        <v>0.37499999999999989</v>
      </c>
      <c r="AX25" s="10">
        <f t="shared" si="11"/>
        <v>-10.682905875450507</v>
      </c>
      <c r="AY25" s="10">
        <f t="shared" si="12"/>
        <v>-10.037106524911403</v>
      </c>
      <c r="AZ25" s="10">
        <f t="shared" si="13"/>
        <v>-14.502166619630149</v>
      </c>
      <c r="BA25" s="10">
        <f t="shared" si="14"/>
        <v>-15.030136586539026</v>
      </c>
      <c r="BB25" s="10">
        <f t="shared" si="15"/>
        <v>-9.8647200302645768</v>
      </c>
      <c r="BC25" s="10">
        <f t="shared" si="16"/>
        <v>-7.4124810020200629</v>
      </c>
      <c r="BD25" s="10">
        <f t="shared" si="17"/>
        <v>-9.3782514919564086</v>
      </c>
      <c r="BF25" s="6">
        <v>0.37499999999999989</v>
      </c>
      <c r="BG25" s="10">
        <f t="shared" si="18"/>
        <v>10.682905875450507</v>
      </c>
      <c r="BH25" s="10">
        <f t="shared" si="19"/>
        <v>10.037106524911403</v>
      </c>
      <c r="BI25" s="10">
        <f t="shared" si="20"/>
        <v>14.502166619630149</v>
      </c>
      <c r="BJ25" s="10">
        <f t="shared" si="21"/>
        <v>15.030136586539026</v>
      </c>
      <c r="BK25" s="10">
        <f t="shared" si="22"/>
        <v>9.8647200302645768</v>
      </c>
      <c r="BL25" s="10">
        <f t="shared" si="23"/>
        <v>7.4124810020200629</v>
      </c>
      <c r="BM25" s="10">
        <f t="shared" si="24"/>
        <v>9.3782514919564086</v>
      </c>
      <c r="BO25" s="62"/>
      <c r="BP25" s="6">
        <v>0.37499999999999989</v>
      </c>
      <c r="BQ25" s="65">
        <v>0</v>
      </c>
      <c r="BR25" s="65">
        <v>0</v>
      </c>
      <c r="BS25" s="65">
        <v>0</v>
      </c>
      <c r="BT25" s="65">
        <v>0</v>
      </c>
      <c r="BU25" s="65">
        <v>0</v>
      </c>
      <c r="BV25" s="65">
        <v>0</v>
      </c>
      <c r="BW25" s="65">
        <v>0</v>
      </c>
      <c r="BX25" s="62"/>
      <c r="BY25" s="64"/>
      <c r="BZ25" s="6">
        <v>0.37499999999999989</v>
      </c>
      <c r="CA25" s="67">
        <f t="shared" si="25"/>
        <v>0.19428694158075605</v>
      </c>
      <c r="CB25" s="67">
        <f t="shared" si="26"/>
        <v>0.23211233211233215</v>
      </c>
      <c r="CC25" s="67">
        <f t="shared" si="27"/>
        <v>0.1593457428835155</v>
      </c>
      <c r="CD25" s="67">
        <f t="shared" si="28"/>
        <v>0.17133094731778944</v>
      </c>
      <c r="CE25" s="67">
        <f t="shared" si="29"/>
        <v>0.19776381347561905</v>
      </c>
      <c r="CF25" s="67">
        <f t="shared" si="30"/>
        <v>0.38584039845311063</v>
      </c>
      <c r="CG25" s="67">
        <f t="shared" si="31"/>
        <v>0.36763728097622034</v>
      </c>
      <c r="CQ25" s="6">
        <v>0.35416666666666657</v>
      </c>
      <c r="CR25" s="10">
        <f>'linear calc'!AW22*(1-'linear calc'!V22)</f>
        <v>9.7999999999999989</v>
      </c>
      <c r="CS25" s="10">
        <f>'linear calc'!AX22*(1-'linear calc'!W22)</f>
        <v>9.7999999999999989</v>
      </c>
      <c r="CT25" s="10">
        <f>'linear calc'!AY22*(1-'linear calc'!X22)</f>
        <v>12.6</v>
      </c>
      <c r="CU25" s="10">
        <f>'linear calc'!AZ22*(1-'linear calc'!Y22)</f>
        <v>13.299999999999999</v>
      </c>
      <c r="CV25" s="10">
        <f>'linear calc'!BA22*(1-'linear calc'!Z22)</f>
        <v>9.1</v>
      </c>
      <c r="CW25" s="10">
        <f>'linear calc'!BB22*(1-'linear calc'!AA22)</f>
        <v>9.7999999999999989</v>
      </c>
      <c r="CX25" s="10">
        <f>'linear calc'!BC22*(1-'linear calc'!AB22)</f>
        <v>11.899999999999999</v>
      </c>
    </row>
    <row r="26" spans="4:102" x14ac:dyDescent="0.3">
      <c r="D26" s="6">
        <v>0.3958333333333332</v>
      </c>
      <c r="E26" s="7">
        <v>100.5</v>
      </c>
      <c r="F26" s="7">
        <v>101.5</v>
      </c>
      <c r="G26" s="7">
        <v>101.5</v>
      </c>
      <c r="H26" s="7">
        <v>106.75</v>
      </c>
      <c r="I26" s="7">
        <v>74.604166666666671</v>
      </c>
      <c r="J26" s="7">
        <v>99.9375</v>
      </c>
      <c r="K26" s="7">
        <v>101.625</v>
      </c>
      <c r="M26" s="6">
        <v>0.3958333333333332</v>
      </c>
      <c r="N26" s="7">
        <v>317.02806122448982</v>
      </c>
      <c r="O26" s="7">
        <v>319.61538461538464</v>
      </c>
      <c r="P26" s="7">
        <v>322.67050691244242</v>
      </c>
      <c r="Q26" s="7">
        <v>306.54972375690608</v>
      </c>
      <c r="R26" s="7">
        <v>332.49275362318838</v>
      </c>
      <c r="S26" s="7">
        <v>318.76630434782606</v>
      </c>
      <c r="T26" s="7">
        <v>324.61</v>
      </c>
      <c r="V26" s="6">
        <v>0.3958333333333332</v>
      </c>
      <c r="W26" s="8">
        <v>0.3</v>
      </c>
      <c r="X26" s="8">
        <v>0.3</v>
      </c>
      <c r="Y26" s="8">
        <v>0.3</v>
      </c>
      <c r="Z26" s="8">
        <v>0.3</v>
      </c>
      <c r="AA26" s="8">
        <v>0.3</v>
      </c>
      <c r="AB26" s="8">
        <v>0.3</v>
      </c>
      <c r="AC26" s="8">
        <v>0.3</v>
      </c>
      <c r="AE26" s="6">
        <v>0.3958333333333332</v>
      </c>
      <c r="AF26" s="7">
        <f t="shared" si="4"/>
        <v>15.418757333072604</v>
      </c>
      <c r="AG26" s="7">
        <f t="shared" si="5"/>
        <v>15.699265165728582</v>
      </c>
      <c r="AH26" s="7">
        <f t="shared" si="6"/>
        <v>15.849330454710078</v>
      </c>
      <c r="AI26" s="7">
        <f t="shared" si="7"/>
        <v>15.836325498959409</v>
      </c>
      <c r="AJ26" s="7">
        <f t="shared" si="8"/>
        <v>12.004135117481264</v>
      </c>
      <c r="AK26" s="7">
        <f t="shared" si="9"/>
        <v>15.416525135869565</v>
      </c>
      <c r="AL26" s="7">
        <f t="shared" si="10"/>
        <v>15.964233086527292</v>
      </c>
      <c r="AN26" s="6">
        <v>0.3958333333333332</v>
      </c>
      <c r="AO26" s="10">
        <v>14</v>
      </c>
      <c r="AP26" s="10">
        <v>14</v>
      </c>
      <c r="AQ26" s="10">
        <v>18</v>
      </c>
      <c r="AR26" s="10">
        <v>19</v>
      </c>
      <c r="AS26" s="10">
        <v>13</v>
      </c>
      <c r="AT26" s="10">
        <v>14</v>
      </c>
      <c r="AU26" s="10">
        <v>17</v>
      </c>
      <c r="AW26" s="6">
        <v>0.3958333333333332</v>
      </c>
      <c r="AX26" s="10">
        <f t="shared" si="11"/>
        <v>1.4187573330726035</v>
      </c>
      <c r="AY26" s="10">
        <f t="shared" si="12"/>
        <v>1.6992651657285816</v>
      </c>
      <c r="AZ26" s="10">
        <f t="shared" si="13"/>
        <v>-2.1506695452899223</v>
      </c>
      <c r="BA26" s="10">
        <f t="shared" si="14"/>
        <v>-3.1636745010405907</v>
      </c>
      <c r="BB26" s="10">
        <f t="shared" si="15"/>
        <v>-0.99586488251873639</v>
      </c>
      <c r="BC26" s="10">
        <f t="shared" si="16"/>
        <v>1.4165251358695645</v>
      </c>
      <c r="BD26" s="10">
        <f t="shared" si="17"/>
        <v>-1.0357669134727079</v>
      </c>
      <c r="BF26" s="6">
        <v>0.3958333333333332</v>
      </c>
      <c r="BG26" s="10">
        <f t="shared" si="18"/>
        <v>-1.4187573330726035</v>
      </c>
      <c r="BH26" s="10">
        <f t="shared" si="19"/>
        <v>-1.6992651657285816</v>
      </c>
      <c r="BI26" s="10">
        <f t="shared" si="20"/>
        <v>2.1506695452899223</v>
      </c>
      <c r="BJ26" s="10">
        <f t="shared" si="21"/>
        <v>3.1636745010405907</v>
      </c>
      <c r="BK26" s="10">
        <f t="shared" si="22"/>
        <v>0.99586488251873639</v>
      </c>
      <c r="BL26" s="10">
        <f t="shared" si="23"/>
        <v>-1.4165251358695645</v>
      </c>
      <c r="BM26" s="10">
        <f t="shared" si="24"/>
        <v>1.0357669134727079</v>
      </c>
      <c r="BO26" s="62"/>
      <c r="BP26" s="6">
        <v>0.3958333333333332</v>
      </c>
      <c r="BQ26" s="65">
        <v>0</v>
      </c>
      <c r="BR26" s="65">
        <v>0</v>
      </c>
      <c r="BS26" s="65">
        <v>0</v>
      </c>
      <c r="BT26" s="65">
        <v>0.99990000000000001</v>
      </c>
      <c r="BU26" s="65">
        <v>0</v>
      </c>
      <c r="BV26" s="65">
        <v>0</v>
      </c>
      <c r="BW26" s="65">
        <v>0</v>
      </c>
      <c r="BX26" s="62"/>
      <c r="BY26" s="64"/>
      <c r="BZ26" s="6">
        <v>0.3958333333333332</v>
      </c>
      <c r="CA26" s="67">
        <f t="shared" si="25"/>
        <v>0.90309864379425264</v>
      </c>
      <c r="CB26" s="67">
        <f t="shared" si="26"/>
        <v>0.91952838827838856</v>
      </c>
      <c r="CC26" s="67">
        <f t="shared" si="27"/>
        <v>0.72202505404790362</v>
      </c>
      <c r="CD26" s="67">
        <f t="shared" si="28"/>
        <v>0.68346246890245876</v>
      </c>
      <c r="CE26" s="67">
        <f t="shared" si="29"/>
        <v>0.75718390741035668</v>
      </c>
      <c r="CF26" s="67">
        <f t="shared" si="30"/>
        <v>0.90296790081521749</v>
      </c>
      <c r="CG26" s="67">
        <f t="shared" si="31"/>
        <v>0.77003947829131658</v>
      </c>
      <c r="CQ26" s="6">
        <v>0.37499999999999989</v>
      </c>
      <c r="CR26" s="10">
        <f>'linear calc'!AW23*(1-'linear calc'!V23)</f>
        <v>9.7999999999999989</v>
      </c>
      <c r="CS26" s="10">
        <f>'linear calc'!AX23*(1-'linear calc'!W23)</f>
        <v>9.7999999999999989</v>
      </c>
      <c r="CT26" s="10">
        <f>'linear calc'!AY23*(1-'linear calc'!X23)</f>
        <v>12.6</v>
      </c>
      <c r="CU26" s="10">
        <f>'linear calc'!AZ23*(1-'linear calc'!Y23)</f>
        <v>13.299999999999999</v>
      </c>
      <c r="CV26" s="10">
        <f>'linear calc'!BA23*(1-'linear calc'!Z23)</f>
        <v>9.1</v>
      </c>
      <c r="CW26" s="10">
        <f>'linear calc'!BB23*(1-'linear calc'!AA23)</f>
        <v>9.7999999999999989</v>
      </c>
      <c r="CX26" s="10">
        <f>'linear calc'!BC23*(1-'linear calc'!AB23)</f>
        <v>11.899999999999999</v>
      </c>
    </row>
    <row r="27" spans="4:102" x14ac:dyDescent="0.3">
      <c r="D27" s="6">
        <v>0.41666666666666652</v>
      </c>
      <c r="E27" s="7">
        <v>99.5</v>
      </c>
      <c r="F27" s="7">
        <v>97.75</v>
      </c>
      <c r="G27" s="7">
        <v>94.25</v>
      </c>
      <c r="H27" s="7">
        <v>99.5</v>
      </c>
      <c r="I27" s="7">
        <v>66.359375</v>
      </c>
      <c r="J27" s="7">
        <v>93.625</v>
      </c>
      <c r="K27" s="7">
        <v>104.375</v>
      </c>
      <c r="M27" s="6">
        <v>0.41666666666666652</v>
      </c>
      <c r="N27" s="7">
        <v>308.16759776536315</v>
      </c>
      <c r="O27" s="7">
        <v>315.58904109589042</v>
      </c>
      <c r="P27" s="7">
        <v>321.91578947368419</v>
      </c>
      <c r="Q27" s="7">
        <v>317.44801980198019</v>
      </c>
      <c r="R27" s="7">
        <v>329.53902439024392</v>
      </c>
      <c r="S27" s="7">
        <v>324.356783919598</v>
      </c>
      <c r="T27" s="7">
        <v>329.23589743589741</v>
      </c>
      <c r="V27" s="6">
        <v>0.41666666666666652</v>
      </c>
      <c r="W27" s="8">
        <v>0.3</v>
      </c>
      <c r="X27" s="8">
        <v>0.3</v>
      </c>
      <c r="Y27" s="8">
        <v>0.3</v>
      </c>
      <c r="Z27" s="8">
        <v>0.3</v>
      </c>
      <c r="AA27" s="8">
        <v>0.3</v>
      </c>
      <c r="AB27" s="8">
        <v>0.3</v>
      </c>
      <c r="AC27" s="8">
        <v>0.3</v>
      </c>
      <c r="AE27" s="6">
        <v>0.41666666666666652</v>
      </c>
      <c r="AF27" s="7">
        <f t="shared" si="4"/>
        <v>14.838693368976788</v>
      </c>
      <c r="AG27" s="7">
        <f t="shared" si="5"/>
        <v>14.928778923307824</v>
      </c>
      <c r="AH27" s="7">
        <f t="shared" si="6"/>
        <v>14.68281221346048</v>
      </c>
      <c r="AI27" s="7">
        <f t="shared" si="7"/>
        <v>15.28555844478176</v>
      </c>
      <c r="AJ27" s="7">
        <f t="shared" si="8"/>
        <v>10.582657615488937</v>
      </c>
      <c r="AK27" s="7">
        <f t="shared" si="9"/>
        <v>14.696043309365253</v>
      </c>
      <c r="AL27" s="7">
        <f t="shared" si="10"/>
        <v>16.629886176380076</v>
      </c>
      <c r="AN27" s="6">
        <v>0.41666666666666652</v>
      </c>
      <c r="AO27" s="10">
        <v>14</v>
      </c>
      <c r="AP27" s="10">
        <v>14</v>
      </c>
      <c r="AQ27" s="10">
        <v>18</v>
      </c>
      <c r="AR27" s="10">
        <v>19</v>
      </c>
      <c r="AS27" s="10">
        <v>13</v>
      </c>
      <c r="AT27" s="10">
        <v>14</v>
      </c>
      <c r="AU27" s="10">
        <v>17</v>
      </c>
      <c r="AW27" s="6">
        <v>0.41666666666666652</v>
      </c>
      <c r="AX27" s="10">
        <f t="shared" si="11"/>
        <v>0.83869336897678792</v>
      </c>
      <c r="AY27" s="10">
        <f t="shared" si="12"/>
        <v>0.9287789233078243</v>
      </c>
      <c r="AZ27" s="10">
        <f t="shared" si="13"/>
        <v>-3.3171877865395203</v>
      </c>
      <c r="BA27" s="10">
        <f t="shared" si="14"/>
        <v>-3.7144415552182402</v>
      </c>
      <c r="BB27" s="10">
        <f t="shared" si="15"/>
        <v>-2.4173423845110626</v>
      </c>
      <c r="BC27" s="10">
        <f t="shared" si="16"/>
        <v>0.69604330936525294</v>
      </c>
      <c r="BD27" s="10">
        <f t="shared" si="17"/>
        <v>-0.37011382361992418</v>
      </c>
      <c r="BF27" s="6">
        <v>0.41666666666666652</v>
      </c>
      <c r="BG27" s="10">
        <f t="shared" si="18"/>
        <v>-0.83869336897678792</v>
      </c>
      <c r="BH27" s="10">
        <f t="shared" si="19"/>
        <v>-0.9287789233078243</v>
      </c>
      <c r="BI27" s="10">
        <f t="shared" si="20"/>
        <v>3.3171877865395203</v>
      </c>
      <c r="BJ27" s="10">
        <f t="shared" si="21"/>
        <v>3.7144415552182402</v>
      </c>
      <c r="BK27" s="10">
        <f t="shared" si="22"/>
        <v>2.4173423845110626</v>
      </c>
      <c r="BL27" s="10">
        <f t="shared" si="23"/>
        <v>-0.69604330936525294</v>
      </c>
      <c r="BM27" s="10">
        <f t="shared" si="24"/>
        <v>0.37011382361992418</v>
      </c>
      <c r="BO27" s="62"/>
      <c r="BP27" s="6">
        <v>0.41666666666666652</v>
      </c>
      <c r="BQ27" s="65">
        <v>0</v>
      </c>
      <c r="BR27" s="65">
        <v>0</v>
      </c>
      <c r="BS27" s="65">
        <v>0</v>
      </c>
      <c r="BT27" s="65">
        <v>0.99990000000000001</v>
      </c>
      <c r="BU27" s="65">
        <v>0</v>
      </c>
      <c r="BV27" s="65">
        <v>0.99990000000000001</v>
      </c>
      <c r="BW27" s="65">
        <v>0.99990000000000001</v>
      </c>
      <c r="BX27" s="62"/>
      <c r="BY27" s="64"/>
      <c r="BZ27" s="6">
        <v>0.41666666666666652</v>
      </c>
      <c r="CA27" s="67">
        <f t="shared" si="25"/>
        <v>0.86912346875435476</v>
      </c>
      <c r="CB27" s="67">
        <f t="shared" si="26"/>
        <v>0.87439990836517267</v>
      </c>
      <c r="CC27" s="67">
        <f t="shared" si="27"/>
        <v>0.6688836675020885</v>
      </c>
      <c r="CD27" s="67">
        <f t="shared" si="28"/>
        <v>0.65969252235373921</v>
      </c>
      <c r="CE27" s="67">
        <f t="shared" si="29"/>
        <v>0.66752148036160985</v>
      </c>
      <c r="CF27" s="67">
        <f t="shared" si="30"/>
        <v>0.86076825097710785</v>
      </c>
      <c r="CG27" s="67">
        <f t="shared" si="31"/>
        <v>0.80214745086068617</v>
      </c>
      <c r="CQ27" s="6">
        <v>0.3958333333333332</v>
      </c>
      <c r="CR27" s="10">
        <f>'linear calc'!AW24*(1-'linear calc'!V24)</f>
        <v>9.7999999999999989</v>
      </c>
      <c r="CS27" s="10">
        <f>'linear calc'!AX24*(1-'linear calc'!W24)</f>
        <v>9.7999999999999989</v>
      </c>
      <c r="CT27" s="10">
        <f>'linear calc'!AY24*(1-'linear calc'!X24)</f>
        <v>12.6</v>
      </c>
      <c r="CU27" s="10">
        <f>'linear calc'!AZ24*(1-'linear calc'!Y24)</f>
        <v>13.299999999999999</v>
      </c>
      <c r="CV27" s="10">
        <f>'linear calc'!BA24*(1-'linear calc'!Z24)</f>
        <v>9.1</v>
      </c>
      <c r="CW27" s="10">
        <f>'linear calc'!BB24*(1-'linear calc'!AA24)</f>
        <v>9.7999999999999989</v>
      </c>
      <c r="CX27" s="10">
        <f>'linear calc'!BC24*(1-'linear calc'!AB24)</f>
        <v>11.899999999999999</v>
      </c>
    </row>
    <row r="28" spans="4:102" x14ac:dyDescent="0.3">
      <c r="D28" s="6">
        <v>0.43749999999999983</v>
      </c>
      <c r="E28" s="7">
        <v>108</v>
      </c>
      <c r="F28" s="7">
        <v>88.5</v>
      </c>
      <c r="G28" s="7">
        <v>103.5</v>
      </c>
      <c r="H28" s="7">
        <v>105.5</v>
      </c>
      <c r="I28" s="7">
        <v>79.614583333333329</v>
      </c>
      <c r="J28" s="7">
        <v>91</v>
      </c>
      <c r="K28" s="7">
        <v>106</v>
      </c>
      <c r="M28" s="6">
        <v>0.43749999999999983</v>
      </c>
      <c r="N28" s="7">
        <v>319.47323943661974</v>
      </c>
      <c r="O28" s="7">
        <v>313.21739130434781</v>
      </c>
      <c r="P28" s="7">
        <v>326.14207650273227</v>
      </c>
      <c r="Q28" s="7">
        <v>318.30215827338128</v>
      </c>
      <c r="R28" s="7">
        <v>319.72209026128269</v>
      </c>
      <c r="S28" s="7">
        <v>324.31175059952039</v>
      </c>
      <c r="T28" s="7">
        <v>333.140625</v>
      </c>
      <c r="V28" s="6">
        <v>0.43749999999999983</v>
      </c>
      <c r="W28" s="8">
        <v>0.3</v>
      </c>
      <c r="X28" s="8">
        <v>0.3</v>
      </c>
      <c r="Y28" s="8">
        <v>0.3</v>
      </c>
      <c r="Z28" s="8">
        <v>0.3</v>
      </c>
      <c r="AA28" s="8">
        <v>0.3</v>
      </c>
      <c r="AB28" s="8">
        <v>0.3</v>
      </c>
      <c r="AC28" s="8">
        <v>0.3</v>
      </c>
      <c r="AE28" s="6">
        <v>0.43749999999999983</v>
      </c>
      <c r="AF28" s="7">
        <f t="shared" si="4"/>
        <v>16.697207636060263</v>
      </c>
      <c r="AG28" s="7">
        <f t="shared" si="5"/>
        <v>13.414507902843003</v>
      </c>
      <c r="AH28" s="7">
        <f t="shared" si="6"/>
        <v>16.335513413682147</v>
      </c>
      <c r="AI28" s="7">
        <f t="shared" si="7"/>
        <v>16.250908680720926</v>
      </c>
      <c r="AJ28" s="7">
        <f t="shared" si="8"/>
        <v>12.318302844857921</v>
      </c>
      <c r="AK28" s="7">
        <f t="shared" si="9"/>
        <v>14.282021537241752</v>
      </c>
      <c r="AL28" s="7">
        <f t="shared" si="10"/>
        <v>17.089095165505224</v>
      </c>
      <c r="AN28" s="6">
        <v>0.43749999999999983</v>
      </c>
      <c r="AO28" s="10">
        <v>14</v>
      </c>
      <c r="AP28" s="10">
        <v>14</v>
      </c>
      <c r="AQ28" s="10">
        <v>18</v>
      </c>
      <c r="AR28" s="10">
        <v>19</v>
      </c>
      <c r="AS28" s="10">
        <v>13</v>
      </c>
      <c r="AT28" s="10">
        <v>14</v>
      </c>
      <c r="AU28" s="10">
        <v>17</v>
      </c>
      <c r="AW28" s="6">
        <v>0.43749999999999983</v>
      </c>
      <c r="AX28" s="10">
        <f t="shared" si="11"/>
        <v>2.6972076360602628</v>
      </c>
      <c r="AY28" s="10">
        <f t="shared" si="12"/>
        <v>-0.58549209715699746</v>
      </c>
      <c r="AZ28" s="10">
        <f t="shared" si="13"/>
        <v>-1.6644865863178531</v>
      </c>
      <c r="BA28" s="10">
        <f t="shared" si="14"/>
        <v>-2.7490913192790742</v>
      </c>
      <c r="BB28" s="10">
        <f t="shared" si="15"/>
        <v>-0.68169715514207851</v>
      </c>
      <c r="BC28" s="10">
        <f t="shared" si="16"/>
        <v>0.28202153724175183</v>
      </c>
      <c r="BD28" s="10">
        <f t="shared" si="17"/>
        <v>8.9095165505224116E-2</v>
      </c>
      <c r="BF28" s="6">
        <v>0.43749999999999983</v>
      </c>
      <c r="BG28" s="10">
        <f t="shared" si="18"/>
        <v>-2.6972076360602628</v>
      </c>
      <c r="BH28" s="10">
        <f t="shared" si="19"/>
        <v>0.58549209715699746</v>
      </c>
      <c r="BI28" s="10">
        <f t="shared" si="20"/>
        <v>1.6644865863178531</v>
      </c>
      <c r="BJ28" s="10">
        <f t="shared" si="21"/>
        <v>2.7490913192790742</v>
      </c>
      <c r="BK28" s="10">
        <f t="shared" si="22"/>
        <v>0.68169715514207851</v>
      </c>
      <c r="BL28" s="10">
        <f t="shared" si="23"/>
        <v>-0.28202153724175183</v>
      </c>
      <c r="BM28" s="10">
        <f t="shared" si="24"/>
        <v>-8.9095165505224116E-2</v>
      </c>
      <c r="BO28" s="62"/>
      <c r="BP28" s="6">
        <v>0.43749999999999983</v>
      </c>
      <c r="BQ28" s="65">
        <v>0</v>
      </c>
      <c r="BR28" s="65">
        <v>0</v>
      </c>
      <c r="BS28" s="65">
        <v>0</v>
      </c>
      <c r="BT28" s="65">
        <v>0.99980000000000002</v>
      </c>
      <c r="BU28" s="65">
        <v>0</v>
      </c>
      <c r="BV28" s="65">
        <v>0.99990000000000001</v>
      </c>
      <c r="BW28" s="65">
        <v>0.99990000000000001</v>
      </c>
      <c r="BX28" s="62"/>
      <c r="BY28" s="64"/>
      <c r="BZ28" s="6">
        <v>0.43749999999999983</v>
      </c>
      <c r="CA28" s="67">
        <f t="shared" si="25"/>
        <v>0.97797930439781566</v>
      </c>
      <c r="CB28" s="67">
        <f t="shared" si="26"/>
        <v>0.78570689145223305</v>
      </c>
      <c r="CC28" s="67">
        <f t="shared" si="27"/>
        <v>0.74417338884552009</v>
      </c>
      <c r="CD28" s="67">
        <f t="shared" si="28"/>
        <v>0.70135500622058733</v>
      </c>
      <c r="CE28" s="67">
        <f t="shared" si="29"/>
        <v>0.77700064098334587</v>
      </c>
      <c r="CF28" s="67">
        <f t="shared" si="30"/>
        <v>0.8365184043241598</v>
      </c>
      <c r="CG28" s="67">
        <f t="shared" si="31"/>
        <v>0.8242975315126051</v>
      </c>
      <c r="CQ28" s="6">
        <v>0.41666666666666652</v>
      </c>
      <c r="CR28" s="10">
        <f>'linear calc'!AW25*(1-'linear calc'!V25)</f>
        <v>9.7999999999999989</v>
      </c>
      <c r="CS28" s="10">
        <f>'linear calc'!AX25*(1-'linear calc'!W25)</f>
        <v>9.7999999999999989</v>
      </c>
      <c r="CT28" s="10">
        <f>'linear calc'!AY25*(1-'linear calc'!X25)</f>
        <v>12.6</v>
      </c>
      <c r="CU28" s="10">
        <f>'linear calc'!AZ25*(1-'linear calc'!Y25)</f>
        <v>13.299999999999999</v>
      </c>
      <c r="CV28" s="10">
        <f>'linear calc'!BA25*(1-'linear calc'!Z25)</f>
        <v>9.1</v>
      </c>
      <c r="CW28" s="10">
        <f>'linear calc'!BB25*(1-'linear calc'!AA25)</f>
        <v>9.7999999999999989</v>
      </c>
      <c r="CX28" s="10">
        <f>'linear calc'!BC25*(1-'linear calc'!AB25)</f>
        <v>11.899999999999999</v>
      </c>
    </row>
    <row r="29" spans="4:102" x14ac:dyDescent="0.3">
      <c r="D29" s="6">
        <v>0.45833333333333315</v>
      </c>
      <c r="E29" s="7">
        <v>104.5</v>
      </c>
      <c r="F29" s="7">
        <v>93</v>
      </c>
      <c r="G29" s="7">
        <v>101</v>
      </c>
      <c r="H29" s="7">
        <v>102</v>
      </c>
      <c r="I29" s="7">
        <v>75.369791666666671</v>
      </c>
      <c r="J29" s="7">
        <v>101.4375</v>
      </c>
      <c r="K29" s="7">
        <v>98.0625</v>
      </c>
      <c r="M29" s="6">
        <v>0.45833333333333315</v>
      </c>
      <c r="N29" s="7">
        <v>334.02933333333334</v>
      </c>
      <c r="O29" s="7">
        <v>329.15526315789475</v>
      </c>
      <c r="P29" s="7">
        <v>326.53148614609574</v>
      </c>
      <c r="Q29" s="7">
        <v>318.34032634032633</v>
      </c>
      <c r="R29" s="7">
        <v>324.76513317191285</v>
      </c>
      <c r="S29" s="7">
        <v>341.50129870129871</v>
      </c>
      <c r="T29" s="7">
        <v>325.71527777777777</v>
      </c>
      <c r="V29" s="6">
        <v>0.45833333333333315</v>
      </c>
      <c r="W29" s="8">
        <v>0.3</v>
      </c>
      <c r="X29" s="8">
        <v>0.3</v>
      </c>
      <c r="Y29" s="8">
        <v>0.3</v>
      </c>
      <c r="Z29" s="8">
        <v>0.3</v>
      </c>
      <c r="AA29" s="8">
        <v>0.3</v>
      </c>
      <c r="AB29" s="8">
        <v>0.3</v>
      </c>
      <c r="AC29" s="8">
        <v>0.3</v>
      </c>
      <c r="AE29" s="6">
        <v>0.45833333333333315</v>
      </c>
      <c r="AF29" s="7">
        <f t="shared" si="4"/>
        <v>16.892211253064911</v>
      </c>
      <c r="AG29" s="7">
        <f t="shared" si="5"/>
        <v>14.813898312855308</v>
      </c>
      <c r="AH29" s="7">
        <f t="shared" si="6"/>
        <v>15.959969077020746</v>
      </c>
      <c r="AI29" s="7">
        <f t="shared" si="7"/>
        <v>15.7136630307362</v>
      </c>
      <c r="AJ29" s="7">
        <f t="shared" si="8"/>
        <v>11.845470590284712</v>
      </c>
      <c r="AK29" s="7">
        <f t="shared" si="9"/>
        <v>16.763955665414727</v>
      </c>
      <c r="AL29" s="7">
        <f t="shared" si="10"/>
        <v>15.457053052208348</v>
      </c>
      <c r="AN29" s="6">
        <v>0.45833333333333315</v>
      </c>
      <c r="AO29" s="10">
        <v>14</v>
      </c>
      <c r="AP29" s="10">
        <v>14</v>
      </c>
      <c r="AQ29" s="10">
        <v>18</v>
      </c>
      <c r="AR29" s="10">
        <v>19</v>
      </c>
      <c r="AS29" s="10">
        <v>13</v>
      </c>
      <c r="AT29" s="10">
        <v>14</v>
      </c>
      <c r="AU29" s="10">
        <v>17</v>
      </c>
      <c r="AW29" s="6">
        <v>0.45833333333333315</v>
      </c>
      <c r="AX29" s="10">
        <f t="shared" si="11"/>
        <v>2.8922112530649109</v>
      </c>
      <c r="AY29" s="10">
        <f t="shared" si="12"/>
        <v>0.81389831285530789</v>
      </c>
      <c r="AZ29" s="10">
        <f t="shared" si="13"/>
        <v>-2.0400309229792537</v>
      </c>
      <c r="BA29" s="10">
        <f t="shared" si="14"/>
        <v>-3.2863369692638003</v>
      </c>
      <c r="BB29" s="10">
        <f t="shared" si="15"/>
        <v>-1.1545294097152876</v>
      </c>
      <c r="BC29" s="10">
        <f t="shared" si="16"/>
        <v>2.763955665414727</v>
      </c>
      <c r="BD29" s="10">
        <f t="shared" si="17"/>
        <v>-1.542946947791652</v>
      </c>
      <c r="BF29" s="6">
        <v>0.45833333333333315</v>
      </c>
      <c r="BG29" s="10">
        <f t="shared" si="18"/>
        <v>-2.8922112530649109</v>
      </c>
      <c r="BH29" s="10">
        <f t="shared" si="19"/>
        <v>-0.81389831285530789</v>
      </c>
      <c r="BI29" s="10">
        <f t="shared" si="20"/>
        <v>2.0400309229792537</v>
      </c>
      <c r="BJ29" s="10">
        <f t="shared" si="21"/>
        <v>3.2863369692638003</v>
      </c>
      <c r="BK29" s="10">
        <f t="shared" si="22"/>
        <v>1.1545294097152876</v>
      </c>
      <c r="BL29" s="10">
        <f t="shared" si="23"/>
        <v>-2.763955665414727</v>
      </c>
      <c r="BM29" s="10">
        <f t="shared" si="24"/>
        <v>1.542946947791652</v>
      </c>
      <c r="BO29" s="62"/>
      <c r="BP29" s="6">
        <v>0.45833333333333315</v>
      </c>
      <c r="BQ29" s="65">
        <v>0.99990000000000001</v>
      </c>
      <c r="BR29" s="65">
        <v>1</v>
      </c>
      <c r="BS29" s="65">
        <v>0.99990000000000001</v>
      </c>
      <c r="BT29" s="65">
        <v>1</v>
      </c>
      <c r="BU29" s="65">
        <v>1</v>
      </c>
      <c r="BV29" s="65">
        <v>0.99829999999999997</v>
      </c>
      <c r="BW29" s="65">
        <v>1</v>
      </c>
      <c r="BX29" s="62"/>
      <c r="BY29" s="64"/>
      <c r="BZ29" s="6">
        <v>0.45833333333333315</v>
      </c>
      <c r="CA29" s="67">
        <f t="shared" si="25"/>
        <v>0.9894009448223734</v>
      </c>
      <c r="CB29" s="67">
        <f t="shared" si="26"/>
        <v>0.86767118689581113</v>
      </c>
      <c r="CC29" s="67">
        <f t="shared" si="27"/>
        <v>0.72706525795316734</v>
      </c>
      <c r="CD29" s="67">
        <f t="shared" si="28"/>
        <v>0.67816861501072023</v>
      </c>
      <c r="CE29" s="67">
        <f t="shared" si="29"/>
        <v>0.74717583723334347</v>
      </c>
      <c r="CF29" s="67">
        <f t="shared" si="30"/>
        <v>0.98188883183143416</v>
      </c>
      <c r="CG29" s="67">
        <f t="shared" si="31"/>
        <v>0.74557550016534402</v>
      </c>
      <c r="CQ29" s="6">
        <v>0.43749999999999983</v>
      </c>
      <c r="CR29" s="10">
        <f>'linear calc'!AW26*(1-'linear calc'!V26)</f>
        <v>9.7999999999999989</v>
      </c>
      <c r="CS29" s="10">
        <f>'linear calc'!AX26*(1-'linear calc'!W26)</f>
        <v>9.7999999999999989</v>
      </c>
      <c r="CT29" s="10">
        <f>'linear calc'!AY26*(1-'linear calc'!X26)</f>
        <v>12.6</v>
      </c>
      <c r="CU29" s="10">
        <f>'linear calc'!AZ26*(1-'linear calc'!Y26)</f>
        <v>13.299999999999999</v>
      </c>
      <c r="CV29" s="10">
        <f>'linear calc'!BA26*(1-'linear calc'!Z26)</f>
        <v>9.1</v>
      </c>
      <c r="CW29" s="10">
        <f>'linear calc'!BB26*(1-'linear calc'!AA26)</f>
        <v>9.7999999999999989</v>
      </c>
      <c r="CX29" s="10">
        <f>'linear calc'!BC26*(1-'linear calc'!AB26)</f>
        <v>11.899999999999999</v>
      </c>
    </row>
    <row r="30" spans="4:102" x14ac:dyDescent="0.3">
      <c r="D30" s="6">
        <v>0.47916666666666646</v>
      </c>
      <c r="E30" s="7">
        <v>108.75</v>
      </c>
      <c r="F30" s="7">
        <v>107.75</v>
      </c>
      <c r="G30" s="7">
        <v>110</v>
      </c>
      <c r="H30" s="7">
        <v>104.25</v>
      </c>
      <c r="I30" s="7">
        <v>78.875</v>
      </c>
      <c r="J30" s="7">
        <v>105.9375</v>
      </c>
      <c r="K30" s="7">
        <v>102.4375</v>
      </c>
      <c r="M30" s="6">
        <v>0.47916666666666646</v>
      </c>
      <c r="N30" s="7">
        <v>321.01285347043699</v>
      </c>
      <c r="O30" s="7">
        <v>324.48424068767906</v>
      </c>
      <c r="P30" s="7">
        <v>331.12740384615387</v>
      </c>
      <c r="Q30" s="7">
        <v>323.80541871921184</v>
      </c>
      <c r="R30" s="7">
        <v>322.93794749403344</v>
      </c>
      <c r="S30" s="7">
        <v>332.37470167064441</v>
      </c>
      <c r="T30" s="7">
        <v>335.24413145539904</v>
      </c>
      <c r="V30" s="6">
        <v>0.47916666666666646</v>
      </c>
      <c r="W30" s="8">
        <v>0.3</v>
      </c>
      <c r="X30" s="8">
        <v>0.3</v>
      </c>
      <c r="Y30" s="8">
        <v>0.3</v>
      </c>
      <c r="Z30" s="8">
        <v>0.3</v>
      </c>
      <c r="AA30" s="8">
        <v>0.3</v>
      </c>
      <c r="AB30" s="8">
        <v>0.3</v>
      </c>
      <c r="AC30" s="8">
        <v>0.3</v>
      </c>
      <c r="AE30" s="6">
        <v>0.47916666666666646</v>
      </c>
      <c r="AF30" s="7">
        <f t="shared" si="4"/>
        <v>16.894186902298692</v>
      </c>
      <c r="AG30" s="7">
        <f t="shared" si="5"/>
        <v>16.919849464816792</v>
      </c>
      <c r="AH30" s="7">
        <f t="shared" si="6"/>
        <v>17.626797533428629</v>
      </c>
      <c r="AI30" s="7">
        <f t="shared" si="7"/>
        <v>16.336002178415519</v>
      </c>
      <c r="AJ30" s="7">
        <f t="shared" si="8"/>
        <v>12.326621471444001</v>
      </c>
      <c r="AK30" s="7">
        <f t="shared" si="9"/>
        <v>17.039752689815085</v>
      </c>
      <c r="AL30" s="7">
        <f t="shared" si="10"/>
        <v>16.619033447523439</v>
      </c>
      <c r="AN30" s="6">
        <v>0.47916666666666646</v>
      </c>
      <c r="AO30" s="10">
        <v>14</v>
      </c>
      <c r="AP30" s="10">
        <v>14</v>
      </c>
      <c r="AQ30" s="10">
        <v>18</v>
      </c>
      <c r="AR30" s="10">
        <v>19</v>
      </c>
      <c r="AS30" s="10">
        <v>13</v>
      </c>
      <c r="AT30" s="10">
        <v>14</v>
      </c>
      <c r="AU30" s="10">
        <v>17</v>
      </c>
      <c r="AW30" s="6">
        <v>0.47916666666666646</v>
      </c>
      <c r="AX30" s="10">
        <f t="shared" si="11"/>
        <v>2.8941869022986921</v>
      </c>
      <c r="AY30" s="10">
        <f t="shared" si="12"/>
        <v>2.9198494648167923</v>
      </c>
      <c r="AZ30" s="10">
        <f t="shared" si="13"/>
        <v>-0.37320246657137091</v>
      </c>
      <c r="BA30" s="10">
        <f t="shared" si="14"/>
        <v>-2.6639978215844806</v>
      </c>
      <c r="BB30" s="10">
        <f t="shared" si="15"/>
        <v>-0.67337852855599856</v>
      </c>
      <c r="BC30" s="10">
        <f t="shared" si="16"/>
        <v>3.0397526898150851</v>
      </c>
      <c r="BD30" s="10">
        <f t="shared" si="17"/>
        <v>-0.3809665524765613</v>
      </c>
      <c r="BF30" s="6">
        <v>0.47916666666666646</v>
      </c>
      <c r="BG30" s="10">
        <f t="shared" si="18"/>
        <v>-2.8941869022986921</v>
      </c>
      <c r="BH30" s="10">
        <f t="shared" si="19"/>
        <v>-2.9198494648167923</v>
      </c>
      <c r="BI30" s="10">
        <f t="shared" si="20"/>
        <v>0.37320246657137091</v>
      </c>
      <c r="BJ30" s="10">
        <f t="shared" si="21"/>
        <v>2.6639978215844806</v>
      </c>
      <c r="BK30" s="10">
        <f t="shared" si="22"/>
        <v>0.67337852855599856</v>
      </c>
      <c r="BL30" s="10">
        <f t="shared" si="23"/>
        <v>-3.0397526898150851</v>
      </c>
      <c r="BM30" s="10">
        <f t="shared" si="24"/>
        <v>0.3809665524765613</v>
      </c>
      <c r="BO30" s="62"/>
      <c r="BP30" s="6">
        <v>0.47916666666666646</v>
      </c>
      <c r="BQ30" s="65">
        <v>0.99990000000000001</v>
      </c>
      <c r="BR30" s="65">
        <v>0.99990000000000001</v>
      </c>
      <c r="BS30" s="65">
        <v>0.99990000000000001</v>
      </c>
      <c r="BT30" s="65">
        <v>1</v>
      </c>
      <c r="BU30" s="65">
        <v>1</v>
      </c>
      <c r="BV30" s="65">
        <v>0.99860000000000004</v>
      </c>
      <c r="BW30" s="65">
        <v>1</v>
      </c>
      <c r="BX30" s="62"/>
      <c r="BY30" s="64"/>
      <c r="BZ30" s="6">
        <v>0.47916666666666646</v>
      </c>
      <c r="CA30" s="67">
        <f t="shared" si="25"/>
        <v>0.98951666142035222</v>
      </c>
      <c r="CB30" s="67">
        <f t="shared" si="26"/>
        <v>0.99101975436784084</v>
      </c>
      <c r="CC30" s="67">
        <f t="shared" si="27"/>
        <v>0.80299855430063771</v>
      </c>
      <c r="CD30" s="67">
        <f t="shared" si="28"/>
        <v>0.70502746243688041</v>
      </c>
      <c r="CE30" s="67">
        <f t="shared" si="29"/>
        <v>0.77752535435262171</v>
      </c>
      <c r="CF30" s="67">
        <f t="shared" si="30"/>
        <v>0.99804265754631227</v>
      </c>
      <c r="CG30" s="67">
        <f t="shared" si="31"/>
        <v>0.80162396629230726</v>
      </c>
      <c r="CQ30" s="6">
        <v>0.45833333333333315</v>
      </c>
      <c r="CR30" s="10">
        <f>'linear calc'!AW27*(1-'linear calc'!V27)</f>
        <v>9.7999999999999989</v>
      </c>
      <c r="CS30" s="10">
        <f>'linear calc'!AX27*(1-'linear calc'!W27)</f>
        <v>9.7999999999999989</v>
      </c>
      <c r="CT30" s="10">
        <f>'linear calc'!AY27*(1-'linear calc'!X27)</f>
        <v>12.6</v>
      </c>
      <c r="CU30" s="10">
        <f>'linear calc'!AZ27*(1-'linear calc'!Y27)</f>
        <v>13.299999999999999</v>
      </c>
      <c r="CV30" s="10">
        <f>'linear calc'!BA27*(1-'linear calc'!Z27)</f>
        <v>9.1</v>
      </c>
      <c r="CW30" s="10">
        <f>'linear calc'!BB27*(1-'linear calc'!AA27)</f>
        <v>9.7999999999999989</v>
      </c>
      <c r="CX30" s="10">
        <f>'linear calc'!BC27*(1-'linear calc'!AB27)</f>
        <v>11.899999999999999</v>
      </c>
    </row>
    <row r="31" spans="4:102" x14ac:dyDescent="0.3">
      <c r="D31" s="14">
        <v>0.49999999999999978</v>
      </c>
      <c r="E31" s="7">
        <v>99.5</v>
      </c>
      <c r="F31" s="7">
        <v>100.75</v>
      </c>
      <c r="G31" s="7">
        <v>94.75</v>
      </c>
      <c r="H31" s="7">
        <v>92.75</v>
      </c>
      <c r="I31" s="7">
        <v>82.130208333333329</v>
      </c>
      <c r="J31" s="7">
        <v>99.875</v>
      </c>
      <c r="K31" s="7">
        <v>102</v>
      </c>
      <c r="M31" s="14">
        <v>0.49999999999999978</v>
      </c>
      <c r="N31" s="7">
        <v>318.93333333333334</v>
      </c>
      <c r="O31" s="7">
        <v>321.41688654353561</v>
      </c>
      <c r="P31" s="7">
        <v>334.07713498622587</v>
      </c>
      <c r="Q31" s="7">
        <v>329.00254452926208</v>
      </c>
      <c r="R31" s="7">
        <v>325.71834625322998</v>
      </c>
      <c r="S31" s="7">
        <v>325.93457943925233</v>
      </c>
      <c r="T31" s="7">
        <v>316.97237569060775</v>
      </c>
      <c r="V31" s="14">
        <v>0.49999999999999978</v>
      </c>
      <c r="W31" s="8">
        <v>0.3</v>
      </c>
      <c r="X31" s="8">
        <v>0.3</v>
      </c>
      <c r="Y31" s="8">
        <v>0.3</v>
      </c>
      <c r="Z31" s="8">
        <v>0.3</v>
      </c>
      <c r="AA31" s="8">
        <v>0.3</v>
      </c>
      <c r="AB31" s="8">
        <v>0.3</v>
      </c>
      <c r="AC31" s="8">
        <v>0.3</v>
      </c>
      <c r="AE31" s="14">
        <v>0.49999999999999978</v>
      </c>
      <c r="AF31" s="7">
        <f t="shared" si="4"/>
        <v>15.357078332688088</v>
      </c>
      <c r="AG31" s="7">
        <f t="shared" si="5"/>
        <v>15.671095295809723</v>
      </c>
      <c r="AH31" s="7">
        <f t="shared" si="6"/>
        <v>15.318335530364353</v>
      </c>
      <c r="AI31" s="7">
        <f t="shared" si="7"/>
        <v>14.767221256818164</v>
      </c>
      <c r="AJ31" s="7">
        <f t="shared" si="8"/>
        <v>12.945855418005506</v>
      </c>
      <c r="AK31" s="7">
        <f t="shared" si="9"/>
        <v>15.753346942264482</v>
      </c>
      <c r="AL31" s="7">
        <f t="shared" si="10"/>
        <v>15.64613933432152</v>
      </c>
      <c r="AN31" s="14">
        <v>0.49999999999999978</v>
      </c>
      <c r="AO31" s="10">
        <v>14</v>
      </c>
      <c r="AP31" s="10">
        <v>14</v>
      </c>
      <c r="AQ31" s="10">
        <v>18</v>
      </c>
      <c r="AR31" s="10">
        <v>19</v>
      </c>
      <c r="AS31" s="10">
        <v>13</v>
      </c>
      <c r="AT31" s="10">
        <v>14</v>
      </c>
      <c r="AU31" s="10">
        <v>17</v>
      </c>
      <c r="AW31" s="14">
        <v>0.49999999999999978</v>
      </c>
      <c r="AX31" s="10">
        <f t="shared" si="11"/>
        <v>1.3570783326880882</v>
      </c>
      <c r="AY31" s="10">
        <f t="shared" si="12"/>
        <v>1.6710952958097227</v>
      </c>
      <c r="AZ31" s="10">
        <f t="shared" si="13"/>
        <v>-2.6816644696356473</v>
      </c>
      <c r="BA31" s="10">
        <f t="shared" si="14"/>
        <v>-4.2327787431818358</v>
      </c>
      <c r="BB31" s="10">
        <f t="shared" si="15"/>
        <v>-5.4144581994494345E-2</v>
      </c>
      <c r="BC31" s="10">
        <f t="shared" si="16"/>
        <v>1.7533469422644821</v>
      </c>
      <c r="BD31" s="10">
        <f t="shared" si="17"/>
        <v>-1.3538606656784804</v>
      </c>
      <c r="BF31" s="14">
        <v>0.49999999999999978</v>
      </c>
      <c r="BG31" s="10">
        <f t="shared" si="18"/>
        <v>-1.3570783326880882</v>
      </c>
      <c r="BH31" s="10">
        <f t="shared" si="19"/>
        <v>-1.6710952958097227</v>
      </c>
      <c r="BI31" s="10">
        <f t="shared" si="20"/>
        <v>2.6816644696356473</v>
      </c>
      <c r="BJ31" s="10">
        <f t="shared" si="21"/>
        <v>4.2327787431818358</v>
      </c>
      <c r="BK31" s="10">
        <f t="shared" si="22"/>
        <v>5.4144581994494345E-2</v>
      </c>
      <c r="BL31" s="10">
        <f t="shared" si="23"/>
        <v>-1.7533469422644821</v>
      </c>
      <c r="BM31" s="10">
        <f t="shared" si="24"/>
        <v>1.3538606656784804</v>
      </c>
      <c r="BO31" s="55"/>
      <c r="BP31" s="14">
        <v>0.49999999999999978</v>
      </c>
      <c r="BQ31" s="65">
        <v>0.99980000000000002</v>
      </c>
      <c r="BR31" s="65">
        <v>0.99990000000000001</v>
      </c>
      <c r="BS31" s="65">
        <v>0.99990000000000001</v>
      </c>
      <c r="BT31" s="65">
        <v>1</v>
      </c>
      <c r="BU31" s="65">
        <v>1</v>
      </c>
      <c r="BV31" s="65">
        <v>0.99829999999999997</v>
      </c>
      <c r="BW31" s="65">
        <v>1</v>
      </c>
      <c r="BX31" s="55"/>
      <c r="BY31" s="64"/>
      <c r="BZ31" s="14">
        <v>0.49999999999999978</v>
      </c>
      <c r="CA31" s="67">
        <f t="shared" si="25"/>
        <v>0.89948601662887395</v>
      </c>
      <c r="CB31" s="67">
        <f t="shared" si="26"/>
        <v>0.91787843875456965</v>
      </c>
      <c r="CC31" s="67">
        <f t="shared" si="27"/>
        <v>0.69783528527215388</v>
      </c>
      <c r="CD31" s="67">
        <f t="shared" si="28"/>
        <v>0.63732218055741563</v>
      </c>
      <c r="CE31" s="67">
        <f t="shared" si="29"/>
        <v>0.81658472636650126</v>
      </c>
      <c r="CF31" s="67">
        <f t="shared" si="30"/>
        <v>0.92269603518977683</v>
      </c>
      <c r="CG31" s="67">
        <f t="shared" si="31"/>
        <v>0.75469613259668511</v>
      </c>
      <c r="CQ31" s="6">
        <v>0.47916666666666646</v>
      </c>
      <c r="CR31" s="10">
        <f>'linear calc'!AW28*(1-'linear calc'!V28)</f>
        <v>9.7999999999999989</v>
      </c>
      <c r="CS31" s="10">
        <f>'linear calc'!AX28*(1-'linear calc'!W28)</f>
        <v>9.7999999999999989</v>
      </c>
      <c r="CT31" s="10">
        <f>'linear calc'!AY28*(1-'linear calc'!X28)</f>
        <v>12.6</v>
      </c>
      <c r="CU31" s="10">
        <f>'linear calc'!AZ28*(1-'linear calc'!Y28)</f>
        <v>13.299999999999999</v>
      </c>
      <c r="CV31" s="10">
        <f>'linear calc'!BA28*(1-'linear calc'!Z28)</f>
        <v>9.1</v>
      </c>
      <c r="CW31" s="10">
        <f>'linear calc'!BB28*(1-'linear calc'!AA28)</f>
        <v>9.7999999999999989</v>
      </c>
      <c r="CX31" s="10">
        <f>'linear calc'!BC28*(1-'linear calc'!AB28)</f>
        <v>11.899999999999999</v>
      </c>
    </row>
    <row r="32" spans="4:102" x14ac:dyDescent="0.3">
      <c r="D32" s="15">
        <v>0.52083333333333315</v>
      </c>
      <c r="E32" s="7">
        <v>94</v>
      </c>
      <c r="F32" s="7">
        <v>97.5</v>
      </c>
      <c r="G32" s="7">
        <v>93.5</v>
      </c>
      <c r="H32" s="7">
        <v>93</v>
      </c>
      <c r="I32" s="7">
        <v>69.885416666666671</v>
      </c>
      <c r="J32" s="7">
        <v>94.25</v>
      </c>
      <c r="K32" s="7">
        <v>101</v>
      </c>
      <c r="M32" s="15">
        <v>0.52083333333333315</v>
      </c>
      <c r="N32" s="7">
        <v>321.26822916666669</v>
      </c>
      <c r="O32" s="7">
        <v>320.44646924829158</v>
      </c>
      <c r="P32" s="7">
        <v>325.25599999999997</v>
      </c>
      <c r="Q32" s="7">
        <v>316.2093023255814</v>
      </c>
      <c r="R32" s="7">
        <v>316.92631578947368</v>
      </c>
      <c r="S32" s="7">
        <v>316.32134292565945</v>
      </c>
      <c r="T32" s="7">
        <v>311.90796019900495</v>
      </c>
      <c r="V32" s="15">
        <v>0.52083333333333315</v>
      </c>
      <c r="W32" s="8">
        <v>0.3</v>
      </c>
      <c r="X32" s="8">
        <v>0.3</v>
      </c>
      <c r="Y32" s="8">
        <v>0.3</v>
      </c>
      <c r="Z32" s="8">
        <v>0.3</v>
      </c>
      <c r="AA32" s="8">
        <v>0.3</v>
      </c>
      <c r="AB32" s="8">
        <v>0.3</v>
      </c>
      <c r="AC32" s="8">
        <v>0.3</v>
      </c>
      <c r="AE32" s="15">
        <v>0.52083333333333315</v>
      </c>
      <c r="AF32" s="7">
        <f t="shared" si="4"/>
        <v>14.614408411569235</v>
      </c>
      <c r="AG32" s="7">
        <f t="shared" si="5"/>
        <v>15.119788400942909</v>
      </c>
      <c r="AH32" s="7">
        <f t="shared" si="6"/>
        <v>14.717109949670924</v>
      </c>
      <c r="AI32" s="7">
        <f t="shared" si="7"/>
        <v>14.231254895605435</v>
      </c>
      <c r="AJ32" s="7">
        <f t="shared" si="8"/>
        <v>10.718412520121442</v>
      </c>
      <c r="AK32" s="7">
        <f t="shared" si="9"/>
        <v>14.427645456225029</v>
      </c>
      <c r="AL32" s="7">
        <f t="shared" si="10"/>
        <v>15.245210985336575</v>
      </c>
      <c r="AN32" s="15">
        <v>0.52083333333333315</v>
      </c>
      <c r="AO32" s="10">
        <v>14</v>
      </c>
      <c r="AP32" s="10">
        <v>14</v>
      </c>
      <c r="AQ32" s="10">
        <v>18</v>
      </c>
      <c r="AR32" s="10">
        <v>19</v>
      </c>
      <c r="AS32" s="10">
        <v>13</v>
      </c>
      <c r="AT32" s="10">
        <v>14</v>
      </c>
      <c r="AU32" s="10">
        <v>17</v>
      </c>
      <c r="AW32" s="15">
        <v>0.52083333333333315</v>
      </c>
      <c r="AX32" s="10">
        <f t="shared" si="11"/>
        <v>0.61440841156923476</v>
      </c>
      <c r="AY32" s="10">
        <f t="shared" si="12"/>
        <v>1.1197884009429089</v>
      </c>
      <c r="AZ32" s="10">
        <f t="shared" si="13"/>
        <v>-3.2828900503290761</v>
      </c>
      <c r="BA32" s="10">
        <f t="shared" si="14"/>
        <v>-4.768745104394565</v>
      </c>
      <c r="BB32" s="10">
        <f t="shared" si="15"/>
        <v>-2.2815874798785583</v>
      </c>
      <c r="BC32" s="10">
        <f t="shared" si="16"/>
        <v>0.42764545622502936</v>
      </c>
      <c r="BD32" s="10">
        <f t="shared" si="17"/>
        <v>-1.7547890146634249</v>
      </c>
      <c r="BF32" s="15">
        <v>0.52083333333333315</v>
      </c>
      <c r="BG32" s="10">
        <f t="shared" si="18"/>
        <v>-0.61440841156923476</v>
      </c>
      <c r="BH32" s="10">
        <f t="shared" si="19"/>
        <v>-1.1197884009429089</v>
      </c>
      <c r="BI32" s="10">
        <f t="shared" si="20"/>
        <v>3.2828900503290761</v>
      </c>
      <c r="BJ32" s="10">
        <f t="shared" si="21"/>
        <v>4.768745104394565</v>
      </c>
      <c r="BK32" s="10">
        <f t="shared" si="22"/>
        <v>2.2815874798785583</v>
      </c>
      <c r="BL32" s="10">
        <f t="shared" si="23"/>
        <v>-0.42764545622502936</v>
      </c>
      <c r="BM32" s="10">
        <f t="shared" si="24"/>
        <v>1.7547890146634249</v>
      </c>
      <c r="BO32" s="55"/>
      <c r="BP32" s="14">
        <v>0.52083333333333315</v>
      </c>
      <c r="BQ32" s="65">
        <v>0.99990000000000001</v>
      </c>
      <c r="BR32" s="65">
        <v>0.99980000000000002</v>
      </c>
      <c r="BS32" s="65">
        <v>1</v>
      </c>
      <c r="BT32" s="65">
        <v>1</v>
      </c>
      <c r="BU32" s="65">
        <v>1</v>
      </c>
      <c r="BV32" s="65">
        <v>0.99870000000000003</v>
      </c>
      <c r="BW32" s="65">
        <v>1</v>
      </c>
      <c r="BZ32" s="14">
        <v>0.52083333333333315</v>
      </c>
      <c r="CA32" s="67">
        <f t="shared" si="25"/>
        <v>0.85598677839191251</v>
      </c>
      <c r="CB32" s="67">
        <f t="shared" si="26"/>
        <v>0.88558760634094191</v>
      </c>
      <c r="CC32" s="67">
        <f t="shared" si="27"/>
        <v>0.67044611992945324</v>
      </c>
      <c r="CD32" s="67">
        <f t="shared" si="28"/>
        <v>0.61419100075770838</v>
      </c>
      <c r="CE32" s="67">
        <f t="shared" si="29"/>
        <v>0.67608448203842952</v>
      </c>
      <c r="CF32" s="67">
        <f t="shared" si="30"/>
        <v>0.84504780529318058</v>
      </c>
      <c r="CG32" s="67">
        <f t="shared" si="31"/>
        <v>0.73535723576329382</v>
      </c>
      <c r="CQ32" s="14">
        <v>0.49999999999999978</v>
      </c>
      <c r="CR32" s="10">
        <f>'linear calc'!AW29*(1-'linear calc'!V29)</f>
        <v>9.7999999999999989</v>
      </c>
      <c r="CS32" s="10">
        <f>'linear calc'!AX29*(1-'linear calc'!W29)</f>
        <v>9.7999999999999989</v>
      </c>
      <c r="CT32" s="10">
        <f>'linear calc'!AY29*(1-'linear calc'!X29)</f>
        <v>12.6</v>
      </c>
      <c r="CU32" s="10">
        <f>'linear calc'!AZ29*(1-'linear calc'!Y29)</f>
        <v>13.299999999999999</v>
      </c>
      <c r="CV32" s="10">
        <f>'linear calc'!BA29*(1-'linear calc'!Z29)</f>
        <v>9.1</v>
      </c>
      <c r="CW32" s="10">
        <f>'linear calc'!BB29*(1-'linear calc'!AA29)</f>
        <v>9.7999999999999989</v>
      </c>
      <c r="CX32" s="10">
        <f>'linear calc'!BC29*(1-'linear calc'!AB29)</f>
        <v>11.899999999999999</v>
      </c>
    </row>
    <row r="33" spans="4:102" x14ac:dyDescent="0.3">
      <c r="D33" s="15">
        <v>0.54166666666666652</v>
      </c>
      <c r="E33" s="7">
        <v>91.5</v>
      </c>
      <c r="F33" s="7">
        <v>90</v>
      </c>
      <c r="G33" s="7">
        <v>95.25</v>
      </c>
      <c r="H33" s="7">
        <v>103</v>
      </c>
      <c r="I33" s="7">
        <v>65.890625</v>
      </c>
      <c r="J33" s="7">
        <v>90.375</v>
      </c>
      <c r="K33" s="7">
        <v>99.9375</v>
      </c>
      <c r="M33" s="15">
        <v>0.54166666666666652</v>
      </c>
      <c r="N33" s="7">
        <v>312.28641975308642</v>
      </c>
      <c r="O33" s="7">
        <v>324.34020618556701</v>
      </c>
      <c r="P33" s="7">
        <v>340.63659147869674</v>
      </c>
      <c r="Q33" s="7">
        <v>322.81796116504853</v>
      </c>
      <c r="R33" s="7">
        <v>338.8423645320197</v>
      </c>
      <c r="S33" s="7">
        <v>322.27872860635699</v>
      </c>
      <c r="T33" s="7">
        <v>323.0687203791469</v>
      </c>
      <c r="V33" s="15">
        <v>0.54166666666666652</v>
      </c>
      <c r="W33" s="8">
        <v>0.3</v>
      </c>
      <c r="X33" s="8">
        <v>0.3</v>
      </c>
      <c r="Y33" s="8">
        <v>0.3</v>
      </c>
      <c r="Z33" s="8">
        <v>0.3</v>
      </c>
      <c r="AA33" s="8">
        <v>0.3</v>
      </c>
      <c r="AB33" s="8">
        <v>0.3</v>
      </c>
      <c r="AC33" s="8">
        <v>0.3</v>
      </c>
      <c r="AE33" s="15">
        <v>0.54166666666666652</v>
      </c>
      <c r="AF33" s="7">
        <f t="shared" si="4"/>
        <v>13.828013650506875</v>
      </c>
      <c r="AG33" s="7">
        <f t="shared" si="5"/>
        <v>14.126315600416682</v>
      </c>
      <c r="AH33" s="7">
        <f t="shared" si="6"/>
        <v>15.701526973647825</v>
      </c>
      <c r="AI33" s="7">
        <f t="shared" si="7"/>
        <v>16.09090689121177</v>
      </c>
      <c r="AJ33" s="7">
        <f t="shared" si="8"/>
        <v>10.804556317989068</v>
      </c>
      <c r="AK33" s="7">
        <f t="shared" si="9"/>
        <v>14.095015533197596</v>
      </c>
      <c r="AL33" s="7">
        <f t="shared" si="10"/>
        <v>15.624603292146242</v>
      </c>
      <c r="AN33" s="15">
        <v>0.54166666666666652</v>
      </c>
      <c r="AO33" s="10">
        <v>14</v>
      </c>
      <c r="AP33" s="10">
        <v>14</v>
      </c>
      <c r="AQ33" s="10">
        <v>18</v>
      </c>
      <c r="AR33" s="10">
        <v>19</v>
      </c>
      <c r="AS33" s="10">
        <v>13</v>
      </c>
      <c r="AT33" s="10">
        <v>14</v>
      </c>
      <c r="AU33" s="10">
        <v>17</v>
      </c>
      <c r="AW33" s="15">
        <v>0.54166666666666652</v>
      </c>
      <c r="AX33" s="10">
        <f t="shared" si="11"/>
        <v>-0.17198634949312464</v>
      </c>
      <c r="AY33" s="10">
        <f t="shared" si="12"/>
        <v>0.12631560041668166</v>
      </c>
      <c r="AZ33" s="10">
        <f t="shared" si="13"/>
        <v>-2.2984730263521751</v>
      </c>
      <c r="BA33" s="10">
        <f t="shared" si="14"/>
        <v>-2.9090931087882304</v>
      </c>
      <c r="BB33" s="10">
        <f t="shared" si="15"/>
        <v>-2.1954436820109322</v>
      </c>
      <c r="BC33" s="10">
        <f t="shared" si="16"/>
        <v>9.5015533197596369E-2</v>
      </c>
      <c r="BD33" s="10">
        <f t="shared" si="17"/>
        <v>-1.3753967078537581</v>
      </c>
      <c r="BF33" s="15">
        <v>0.54166666666666652</v>
      </c>
      <c r="BG33" s="10">
        <f t="shared" si="18"/>
        <v>0.17198634949312464</v>
      </c>
      <c r="BH33" s="10">
        <f t="shared" si="19"/>
        <v>-0.12631560041668166</v>
      </c>
      <c r="BI33" s="10">
        <f t="shared" si="20"/>
        <v>2.2984730263521751</v>
      </c>
      <c r="BJ33" s="10">
        <f t="shared" si="21"/>
        <v>2.9090931087882304</v>
      </c>
      <c r="BK33" s="10">
        <f t="shared" si="22"/>
        <v>2.1954436820109322</v>
      </c>
      <c r="BL33" s="10">
        <f t="shared" si="23"/>
        <v>-9.5015533197596369E-2</v>
      </c>
      <c r="BM33" s="10">
        <f t="shared" si="24"/>
        <v>1.3753967078537581</v>
      </c>
      <c r="BO33" s="55"/>
      <c r="BP33" s="14">
        <v>0.54166666666666652</v>
      </c>
      <c r="BQ33" s="65">
        <v>0.99970000000000003</v>
      </c>
      <c r="BR33" s="65">
        <v>0.99990000000000001</v>
      </c>
      <c r="BS33" s="65">
        <v>0.99990000000000001</v>
      </c>
      <c r="BT33" s="65">
        <v>1</v>
      </c>
      <c r="BU33" s="65">
        <v>1</v>
      </c>
      <c r="BV33" s="65">
        <v>0.99839999999999995</v>
      </c>
      <c r="BW33" s="65">
        <v>1</v>
      </c>
      <c r="BZ33" s="14">
        <v>0.54166666666666652</v>
      </c>
      <c r="CA33" s="67">
        <f t="shared" si="25"/>
        <v>0.80992651381540282</v>
      </c>
      <c r="CB33" s="67">
        <f t="shared" si="26"/>
        <v>0.82739848516726289</v>
      </c>
      <c r="CC33" s="67">
        <f t="shared" si="27"/>
        <v>0.71529178435506768</v>
      </c>
      <c r="CD33" s="67">
        <f t="shared" si="28"/>
        <v>0.6944496658312449</v>
      </c>
      <c r="CE33" s="67">
        <f t="shared" si="29"/>
        <v>0.68151816775007978</v>
      </c>
      <c r="CF33" s="67">
        <f t="shared" si="30"/>
        <v>0.82556519551585927</v>
      </c>
      <c r="CG33" s="67">
        <f t="shared" si="31"/>
        <v>0.75365733526823064</v>
      </c>
      <c r="CQ33" s="15">
        <v>0.52083333333333315</v>
      </c>
      <c r="CR33" s="10">
        <f>'linear calc'!AW30*(1-'linear calc'!V30)</f>
        <v>9.7999999999999989</v>
      </c>
      <c r="CS33" s="10">
        <f>'linear calc'!AX30*(1-'linear calc'!W30)</f>
        <v>9.7999999999999989</v>
      </c>
      <c r="CT33" s="10">
        <f>'linear calc'!AY30*(1-'linear calc'!X30)</f>
        <v>12.6</v>
      </c>
      <c r="CU33" s="10">
        <f>'linear calc'!AZ30*(1-'linear calc'!Y30)</f>
        <v>13.299999999999999</v>
      </c>
      <c r="CV33" s="10">
        <f>'linear calc'!BA30*(1-'linear calc'!Z30)</f>
        <v>9.1</v>
      </c>
      <c r="CW33" s="10">
        <f>'linear calc'!BB30*(1-'linear calc'!AA30)</f>
        <v>9.7999999999999989</v>
      </c>
      <c r="CX33" s="10">
        <f>'linear calc'!BC30*(1-'linear calc'!AB30)</f>
        <v>11.899999999999999</v>
      </c>
    </row>
    <row r="34" spans="4:102" x14ac:dyDescent="0.3">
      <c r="D34" s="15">
        <v>0.56249999999999989</v>
      </c>
      <c r="E34" s="7">
        <v>112.25</v>
      </c>
      <c r="F34" s="7">
        <v>90.5</v>
      </c>
      <c r="G34" s="7">
        <v>93.75</v>
      </c>
      <c r="H34" s="7">
        <v>91.75</v>
      </c>
      <c r="I34" s="7">
        <v>72.395833333333329</v>
      </c>
      <c r="J34" s="7">
        <v>99.3125</v>
      </c>
      <c r="K34" s="7">
        <v>95.125</v>
      </c>
      <c r="M34" s="15">
        <v>0.56249999999999989</v>
      </c>
      <c r="N34" s="7">
        <v>334.17530864197533</v>
      </c>
      <c r="O34" s="7">
        <v>327.59746835443036</v>
      </c>
      <c r="P34" s="7">
        <v>324.0402144772118</v>
      </c>
      <c r="Q34" s="7">
        <v>330.05263157894734</v>
      </c>
      <c r="R34" s="7">
        <v>308.502538071066</v>
      </c>
      <c r="S34" s="7">
        <v>333.5090909090909</v>
      </c>
      <c r="T34" s="7">
        <v>332.19306930693068</v>
      </c>
      <c r="V34" s="15">
        <v>0.56249999999999989</v>
      </c>
      <c r="W34" s="8">
        <v>0.3</v>
      </c>
      <c r="X34" s="8">
        <v>0.3</v>
      </c>
      <c r="Y34" s="8">
        <v>0.3</v>
      </c>
      <c r="Z34" s="8">
        <v>0.3</v>
      </c>
      <c r="AA34" s="8">
        <v>0.3</v>
      </c>
      <c r="AB34" s="8">
        <v>0.3</v>
      </c>
      <c r="AC34" s="8">
        <v>0.3</v>
      </c>
      <c r="AE34" s="15">
        <v>0.56249999999999989</v>
      </c>
      <c r="AF34" s="7">
        <f t="shared" si="4"/>
        <v>18.152912502449542</v>
      </c>
      <c r="AG34" s="7">
        <f t="shared" si="5"/>
        <v>14.347450099727036</v>
      </c>
      <c r="AH34" s="7">
        <f t="shared" si="6"/>
        <v>14.701301832771296</v>
      </c>
      <c r="AI34" s="7">
        <f t="shared" si="7"/>
        <v>14.654630733337408</v>
      </c>
      <c r="AJ34" s="7">
        <f t="shared" si="8"/>
        <v>10.808313167394122</v>
      </c>
      <c r="AK34" s="7">
        <f t="shared" si="9"/>
        <v>16.028659306479426</v>
      </c>
      <c r="AL34" s="7">
        <f t="shared" si="10"/>
        <v>15.292230796468147</v>
      </c>
      <c r="AN34" s="15">
        <v>0.56249999999999989</v>
      </c>
      <c r="AO34" s="10">
        <v>14</v>
      </c>
      <c r="AP34" s="10">
        <v>14</v>
      </c>
      <c r="AQ34" s="10">
        <v>18</v>
      </c>
      <c r="AR34" s="10">
        <v>19</v>
      </c>
      <c r="AS34" s="10">
        <v>13</v>
      </c>
      <c r="AT34" s="10">
        <v>14</v>
      </c>
      <c r="AU34" s="10">
        <v>17</v>
      </c>
      <c r="AW34" s="15">
        <v>0.56249999999999989</v>
      </c>
      <c r="AX34" s="10">
        <f t="shared" si="11"/>
        <v>4.1529125024495421</v>
      </c>
      <c r="AY34" s="10">
        <f t="shared" si="12"/>
        <v>0.34745009972703578</v>
      </c>
      <c r="AZ34" s="10">
        <f t="shared" si="13"/>
        <v>-3.2986981672287037</v>
      </c>
      <c r="BA34" s="10">
        <f t="shared" si="14"/>
        <v>-4.3453692666625923</v>
      </c>
      <c r="BB34" s="10">
        <f t="shared" si="15"/>
        <v>-2.1916868326058783</v>
      </c>
      <c r="BC34" s="10">
        <f t="shared" si="16"/>
        <v>2.028659306479426</v>
      </c>
      <c r="BD34" s="10">
        <f t="shared" si="17"/>
        <v>-1.7077692035318535</v>
      </c>
      <c r="BF34" s="15">
        <v>0.56249999999999989</v>
      </c>
      <c r="BG34" s="10">
        <f t="shared" si="18"/>
        <v>-4.1529125024495421</v>
      </c>
      <c r="BH34" s="10">
        <f t="shared" si="19"/>
        <v>-0.34745009972703578</v>
      </c>
      <c r="BI34" s="10">
        <f t="shared" si="20"/>
        <v>3.2986981672287037</v>
      </c>
      <c r="BJ34" s="10">
        <f t="shared" si="21"/>
        <v>4.3453692666625923</v>
      </c>
      <c r="BK34" s="10">
        <f t="shared" si="22"/>
        <v>2.1916868326058783</v>
      </c>
      <c r="BL34" s="10">
        <f t="shared" si="23"/>
        <v>-2.028659306479426</v>
      </c>
      <c r="BM34" s="10">
        <f t="shared" si="24"/>
        <v>1.7077692035318535</v>
      </c>
      <c r="BO34" s="55"/>
      <c r="BP34" s="14">
        <v>0.56249999999999989</v>
      </c>
      <c r="BQ34" s="65">
        <v>0.99970000000000003</v>
      </c>
      <c r="BR34" s="65">
        <v>1</v>
      </c>
      <c r="BS34" s="65">
        <v>1</v>
      </c>
      <c r="BT34" s="65">
        <v>1</v>
      </c>
      <c r="BU34" s="65">
        <v>1</v>
      </c>
      <c r="BV34" s="65">
        <v>0.99929999999999997</v>
      </c>
      <c r="BW34" s="65">
        <v>1</v>
      </c>
      <c r="BZ34" s="14">
        <v>0.56249999999999989</v>
      </c>
      <c r="CA34" s="67">
        <f t="shared" si="25"/>
        <v>1.0632420180006161</v>
      </c>
      <c r="CB34" s="67">
        <f t="shared" si="26"/>
        <v>0.84035064869829801</v>
      </c>
      <c r="CC34" s="67">
        <f t="shared" si="27"/>
        <v>0.66972597238180354</v>
      </c>
      <c r="CD34" s="67">
        <f t="shared" si="28"/>
        <v>0.6324630105966671</v>
      </c>
      <c r="CE34" s="67">
        <f t="shared" si="29"/>
        <v>0.68175513825101386</v>
      </c>
      <c r="CF34" s="67">
        <f t="shared" si="30"/>
        <v>0.93882147366522373</v>
      </c>
      <c r="CG34" s="67">
        <f t="shared" si="31"/>
        <v>0.73762525018258129</v>
      </c>
      <c r="CQ34" s="15">
        <v>0.54166666666666652</v>
      </c>
      <c r="CR34" s="10">
        <f>'linear calc'!AW31*(1-'linear calc'!V31)</f>
        <v>9.7999999999999989</v>
      </c>
      <c r="CS34" s="10">
        <f>'linear calc'!AX31*(1-'linear calc'!W31)</f>
        <v>9.7999999999999989</v>
      </c>
      <c r="CT34" s="10">
        <f>'linear calc'!AY31*(1-'linear calc'!X31)</f>
        <v>12.6</v>
      </c>
      <c r="CU34" s="10">
        <f>'linear calc'!AZ31*(1-'linear calc'!Y31)</f>
        <v>13.299999999999999</v>
      </c>
      <c r="CV34" s="10">
        <f>'linear calc'!BA31*(1-'linear calc'!Z31)</f>
        <v>9.1</v>
      </c>
      <c r="CW34" s="10">
        <f>'linear calc'!BB31*(1-'linear calc'!AA31)</f>
        <v>9.7999999999999989</v>
      </c>
      <c r="CX34" s="10">
        <f>'linear calc'!BC31*(1-'linear calc'!AB31)</f>
        <v>11.899999999999999</v>
      </c>
    </row>
    <row r="35" spans="4:102" x14ac:dyDescent="0.3">
      <c r="D35" s="15">
        <v>0.58333333333333326</v>
      </c>
      <c r="E35" s="7">
        <v>94.75</v>
      </c>
      <c r="F35" s="7">
        <v>106.25</v>
      </c>
      <c r="G35" s="7">
        <v>108.25</v>
      </c>
      <c r="H35" s="7">
        <v>94.5</v>
      </c>
      <c r="I35" s="7">
        <v>71.651041666666671</v>
      </c>
      <c r="J35" s="7">
        <v>106.125</v>
      </c>
      <c r="K35" s="7">
        <v>106.625</v>
      </c>
      <c r="M35" s="15">
        <v>0.58333333333333326</v>
      </c>
      <c r="N35" s="7">
        <v>326.2962962962963</v>
      </c>
      <c r="O35" s="7">
        <v>314.83614457831328</v>
      </c>
      <c r="P35" s="7">
        <v>306.29368932038835</v>
      </c>
      <c r="Q35" s="7">
        <v>332.3038277511962</v>
      </c>
      <c r="R35" s="7">
        <v>333.31627906976746</v>
      </c>
      <c r="S35" s="7">
        <v>324.97837837837835</v>
      </c>
      <c r="T35" s="7">
        <v>324.59147869674183</v>
      </c>
      <c r="V35" s="15">
        <v>0.58333333333333326</v>
      </c>
      <c r="W35" s="8">
        <v>0.3</v>
      </c>
      <c r="X35" s="8">
        <v>0.3</v>
      </c>
      <c r="Y35" s="8">
        <v>0.3</v>
      </c>
      <c r="Z35" s="8">
        <v>0.3</v>
      </c>
      <c r="AA35" s="8">
        <v>0.3</v>
      </c>
      <c r="AB35" s="8">
        <v>0.3</v>
      </c>
      <c r="AC35" s="8">
        <v>0.3</v>
      </c>
      <c r="AE35" s="15">
        <v>0.58333333333333326</v>
      </c>
      <c r="AF35" s="7">
        <f t="shared" si="4"/>
        <v>14.961563140763683</v>
      </c>
      <c r="AG35" s="7">
        <f t="shared" si="5"/>
        <v>16.188221235697728</v>
      </c>
      <c r="AH35" s="7">
        <f t="shared" si="6"/>
        <v>16.045437412375161</v>
      </c>
      <c r="AI35" s="7">
        <f t="shared" si="7"/>
        <v>15.196821391060801</v>
      </c>
      <c r="AJ35" s="7">
        <f t="shared" si="8"/>
        <v>11.557519647602692</v>
      </c>
      <c r="AK35" s="7">
        <f t="shared" si="9"/>
        <v>16.690055364598045</v>
      </c>
      <c r="AL35" s="7">
        <f t="shared" si="10"/>
        <v>16.748725520731753</v>
      </c>
      <c r="AN35" s="15">
        <v>0.58333333333333326</v>
      </c>
      <c r="AO35" s="10">
        <v>13</v>
      </c>
      <c r="AP35" s="10">
        <v>16</v>
      </c>
      <c r="AQ35" s="10">
        <v>13</v>
      </c>
      <c r="AR35" s="10">
        <v>15</v>
      </c>
      <c r="AS35" s="10">
        <v>13</v>
      </c>
      <c r="AT35" s="10">
        <v>12</v>
      </c>
      <c r="AU35" s="10">
        <v>16</v>
      </c>
      <c r="AW35" s="15">
        <v>0.58333333333333326</v>
      </c>
      <c r="AX35" s="10">
        <f t="shared" si="11"/>
        <v>1.9615631407636833</v>
      </c>
      <c r="AY35" s="10">
        <f t="shared" si="12"/>
        <v>0.18822123569772842</v>
      </c>
      <c r="AZ35" s="10">
        <f t="shared" si="13"/>
        <v>3.0454374123751613</v>
      </c>
      <c r="BA35" s="10">
        <f t="shared" si="14"/>
        <v>0.19682139106080143</v>
      </c>
      <c r="BB35" s="10">
        <f t="shared" si="15"/>
        <v>-1.4424803523973075</v>
      </c>
      <c r="BC35" s="10">
        <f t="shared" si="16"/>
        <v>4.6900553645980452</v>
      </c>
      <c r="BD35" s="10">
        <f t="shared" si="17"/>
        <v>0.74872552073175314</v>
      </c>
      <c r="BF35" s="15">
        <v>0.58333333333333326</v>
      </c>
      <c r="BG35" s="10">
        <f t="shared" si="18"/>
        <v>-1.9615631407636833</v>
      </c>
      <c r="BH35" s="10">
        <f t="shared" si="19"/>
        <v>-0.18822123569772842</v>
      </c>
      <c r="BI35" s="10">
        <f t="shared" si="20"/>
        <v>-3.0454374123751613</v>
      </c>
      <c r="BJ35" s="10">
        <f t="shared" si="21"/>
        <v>-0.19682139106080143</v>
      </c>
      <c r="BK35" s="10">
        <f t="shared" si="22"/>
        <v>1.4424803523973075</v>
      </c>
      <c r="BL35" s="10">
        <f t="shared" si="23"/>
        <v>-4.6900553645980452</v>
      </c>
      <c r="BM35" s="10">
        <f t="shared" si="24"/>
        <v>-0.74872552073175314</v>
      </c>
      <c r="BO35" s="55"/>
      <c r="BP35" s="14">
        <v>0.58333333333333326</v>
      </c>
      <c r="BQ35" s="65">
        <v>0.99960000000000004</v>
      </c>
      <c r="BR35" s="65">
        <v>0.99990000000000001</v>
      </c>
      <c r="BS35" s="65">
        <v>1</v>
      </c>
      <c r="BT35" s="65">
        <v>1</v>
      </c>
      <c r="BU35" s="65">
        <v>0.99990000000000001</v>
      </c>
      <c r="BV35" s="65">
        <v>0.99990000000000001</v>
      </c>
      <c r="BW35" s="65">
        <v>1</v>
      </c>
      <c r="BZ35" s="14">
        <v>0.58333333333333326</v>
      </c>
      <c r="CA35" s="67">
        <f t="shared" si="25"/>
        <v>0.94372936734047852</v>
      </c>
      <c r="CB35" s="67">
        <f t="shared" si="26"/>
        <v>0.82964633832950863</v>
      </c>
      <c r="CC35" s="67">
        <f t="shared" si="27"/>
        <v>1.0120968213959718</v>
      </c>
      <c r="CD35" s="67">
        <f t="shared" si="28"/>
        <v>0.83075956937799045</v>
      </c>
      <c r="CE35" s="67">
        <f t="shared" si="29"/>
        <v>0.72901277777186213</v>
      </c>
      <c r="CF35" s="67">
        <f t="shared" si="30"/>
        <v>1.1404871165808668</v>
      </c>
      <c r="CG35" s="67">
        <f t="shared" si="31"/>
        <v>0.85837218293750239</v>
      </c>
      <c r="CQ35" s="15">
        <v>0.56249999999999989</v>
      </c>
      <c r="CR35" s="10">
        <f>'linear calc'!AW32*(1-'linear calc'!V32)</f>
        <v>9.7999999999999989</v>
      </c>
      <c r="CS35" s="10">
        <f>'linear calc'!AX32*(1-'linear calc'!W32)</f>
        <v>9.7999999999999989</v>
      </c>
      <c r="CT35" s="10">
        <f>'linear calc'!AY32*(1-'linear calc'!X32)</f>
        <v>12.6</v>
      </c>
      <c r="CU35" s="10">
        <f>'linear calc'!AZ32*(1-'linear calc'!Y32)</f>
        <v>13.299999999999999</v>
      </c>
      <c r="CV35" s="10">
        <f>'linear calc'!BA32*(1-'linear calc'!Z32)</f>
        <v>9.1</v>
      </c>
      <c r="CW35" s="10">
        <f>'linear calc'!BB32*(1-'linear calc'!AA32)</f>
        <v>9.7999999999999989</v>
      </c>
      <c r="CX35" s="10">
        <f>'linear calc'!BC32*(1-'linear calc'!AB32)</f>
        <v>11.899999999999999</v>
      </c>
    </row>
    <row r="36" spans="4:102" x14ac:dyDescent="0.3">
      <c r="D36" s="15">
        <v>0.60416666666666663</v>
      </c>
      <c r="E36" s="7">
        <v>98.5</v>
      </c>
      <c r="F36" s="7">
        <v>104.5</v>
      </c>
      <c r="G36" s="7">
        <v>111.25</v>
      </c>
      <c r="H36" s="7">
        <v>109.5</v>
      </c>
      <c r="I36" s="7">
        <v>81.15625</v>
      </c>
      <c r="J36" s="7">
        <v>94.75</v>
      </c>
      <c r="K36" s="7">
        <v>94.8125</v>
      </c>
      <c r="M36" s="15">
        <v>0.60416666666666663</v>
      </c>
      <c r="N36" s="7">
        <v>319.26165803108807</v>
      </c>
      <c r="O36" s="7">
        <v>336.76991150442478</v>
      </c>
      <c r="P36" s="7">
        <v>319.50383631713555</v>
      </c>
      <c r="Q36" s="7">
        <v>317.90909090909093</v>
      </c>
      <c r="R36" s="7">
        <v>315.85929648241205</v>
      </c>
      <c r="S36" s="7">
        <v>308.74540682414698</v>
      </c>
      <c r="T36" s="7">
        <v>330.34188034188037</v>
      </c>
      <c r="V36" s="15">
        <v>0.60416666666666663</v>
      </c>
      <c r="W36" s="8">
        <v>0.3</v>
      </c>
      <c r="X36" s="8">
        <v>0.3</v>
      </c>
      <c r="Y36" s="8">
        <v>0.3</v>
      </c>
      <c r="Z36" s="8">
        <v>0.3</v>
      </c>
      <c r="AA36" s="8">
        <v>0.3</v>
      </c>
      <c r="AB36" s="8">
        <v>0.3</v>
      </c>
      <c r="AC36" s="8">
        <v>0.3</v>
      </c>
      <c r="AE36" s="15">
        <v>0.60416666666666663</v>
      </c>
      <c r="AF36" s="7">
        <f t="shared" si="4"/>
        <v>15.218386235028152</v>
      </c>
      <c r="AG36" s="7">
        <f t="shared" si="5"/>
        <v>17.030805145282805</v>
      </c>
      <c r="AH36" s="7">
        <f t="shared" si="6"/>
        <v>17.201317165254224</v>
      </c>
      <c r="AI36" s="7">
        <f t="shared" si="7"/>
        <v>16.846227959032838</v>
      </c>
      <c r="AJ36" s="7">
        <f t="shared" si="8"/>
        <v>12.405127773011397</v>
      </c>
      <c r="AK36" s="7">
        <f t="shared" si="9"/>
        <v>14.156807634818005</v>
      </c>
      <c r="AL36" s="7">
        <f t="shared" si="10"/>
        <v>15.157055521638855</v>
      </c>
      <c r="AN36" s="15">
        <v>0.60416666666666663</v>
      </c>
      <c r="AO36" s="10">
        <v>13</v>
      </c>
      <c r="AP36" s="10">
        <v>16</v>
      </c>
      <c r="AQ36" s="10">
        <v>13</v>
      </c>
      <c r="AR36" s="10">
        <v>15</v>
      </c>
      <c r="AS36" s="10">
        <v>13</v>
      </c>
      <c r="AT36" s="10">
        <v>12</v>
      </c>
      <c r="AU36" s="10">
        <v>16</v>
      </c>
      <c r="AW36" s="15">
        <v>0.60416666666666663</v>
      </c>
      <c r="AX36" s="10">
        <f t="shared" si="11"/>
        <v>2.2183862350281522</v>
      </c>
      <c r="AY36" s="10">
        <f t="shared" si="12"/>
        <v>1.0308051452828053</v>
      </c>
      <c r="AZ36" s="10">
        <f t="shared" si="13"/>
        <v>4.2013171652542241</v>
      </c>
      <c r="BA36" s="10">
        <f t="shared" si="14"/>
        <v>1.8462279590328379</v>
      </c>
      <c r="BB36" s="10">
        <f t="shared" si="15"/>
        <v>-0.59487222698860265</v>
      </c>
      <c r="BC36" s="10">
        <f t="shared" si="16"/>
        <v>2.156807634818005</v>
      </c>
      <c r="BD36" s="10">
        <f t="shared" si="17"/>
        <v>-0.8429444783611455</v>
      </c>
      <c r="BF36" s="15">
        <v>0.60416666666666663</v>
      </c>
      <c r="BG36" s="10">
        <f t="shared" si="18"/>
        <v>-2.2183862350281522</v>
      </c>
      <c r="BH36" s="10">
        <f t="shared" si="19"/>
        <v>-1.0308051452828053</v>
      </c>
      <c r="BI36" s="10">
        <f t="shared" si="20"/>
        <v>-4.2013171652542241</v>
      </c>
      <c r="BJ36" s="10">
        <f t="shared" si="21"/>
        <v>-1.8462279590328379</v>
      </c>
      <c r="BK36" s="10">
        <f t="shared" si="22"/>
        <v>0.59487222698860265</v>
      </c>
      <c r="BL36" s="10">
        <f t="shared" si="23"/>
        <v>-2.156807634818005</v>
      </c>
      <c r="BM36" s="10">
        <f t="shared" si="24"/>
        <v>0.8429444783611455</v>
      </c>
      <c r="BO36" s="55"/>
      <c r="BP36" s="14">
        <v>0.60416666666666663</v>
      </c>
      <c r="BQ36" s="65">
        <v>0.99990000000000001</v>
      </c>
      <c r="BR36" s="65">
        <v>0.99990000000000001</v>
      </c>
      <c r="BS36" s="65">
        <v>1</v>
      </c>
      <c r="BT36" s="65">
        <v>1</v>
      </c>
      <c r="BU36" s="65">
        <v>1</v>
      </c>
      <c r="BV36" s="65">
        <v>0.99990000000000001</v>
      </c>
      <c r="BW36" s="65">
        <v>1</v>
      </c>
      <c r="BZ36" s="14">
        <v>0.60416666666666663</v>
      </c>
      <c r="CA36" s="67">
        <f t="shared" si="25"/>
        <v>0.95992897790177578</v>
      </c>
      <c r="CB36" s="67">
        <f t="shared" si="26"/>
        <v>0.8728287636957438</v>
      </c>
      <c r="CC36" s="67">
        <f t="shared" si="27"/>
        <v>1.0850061596544973</v>
      </c>
      <c r="CD36" s="67">
        <f t="shared" si="28"/>
        <v>0.92092712842712843</v>
      </c>
      <c r="CE36" s="67">
        <f t="shared" si="29"/>
        <v>0.78247729029764201</v>
      </c>
      <c r="CF36" s="67">
        <f t="shared" si="30"/>
        <v>0.96738185504589713</v>
      </c>
      <c r="CG36" s="67">
        <f t="shared" si="31"/>
        <v>0.77679909548399129</v>
      </c>
      <c r="CQ36" s="15">
        <v>0.58333333333333326</v>
      </c>
      <c r="CR36" s="10">
        <f>'linear calc'!AW33*(1-'linear calc'!V33)</f>
        <v>9.1</v>
      </c>
      <c r="CS36" s="10">
        <f>'linear calc'!AX33*(1-'linear calc'!W33)</f>
        <v>11.2</v>
      </c>
      <c r="CT36" s="10">
        <f>'linear calc'!AY33*(1-'linear calc'!X33)</f>
        <v>9.1</v>
      </c>
      <c r="CU36" s="10">
        <f>'linear calc'!AZ33*(1-'linear calc'!Y33)</f>
        <v>10.5</v>
      </c>
      <c r="CV36" s="10">
        <f>'linear calc'!BA33*(1-'linear calc'!Z33)</f>
        <v>9.1</v>
      </c>
      <c r="CW36" s="10">
        <f>'linear calc'!BB33*(1-'linear calc'!AA33)</f>
        <v>8.3999999999999986</v>
      </c>
      <c r="CX36" s="10">
        <f>'linear calc'!BC33*(1-'linear calc'!AB33)</f>
        <v>11.2</v>
      </c>
    </row>
    <row r="37" spans="4:102" x14ac:dyDescent="0.3">
      <c r="D37" s="15">
        <v>0.625</v>
      </c>
      <c r="E37" s="7">
        <v>106.75</v>
      </c>
      <c r="F37" s="7">
        <v>96</v>
      </c>
      <c r="G37" s="7">
        <v>105.25</v>
      </c>
      <c r="H37" s="7">
        <v>102.25</v>
      </c>
      <c r="I37" s="7">
        <v>78.661458333333329</v>
      </c>
      <c r="J37" s="7">
        <v>101.125</v>
      </c>
      <c r="K37" s="7">
        <v>99.1875</v>
      </c>
      <c r="M37" s="15">
        <v>0.625</v>
      </c>
      <c r="N37" s="7">
        <v>322.04473684210524</v>
      </c>
      <c r="O37" s="7">
        <v>327.97542997542996</v>
      </c>
      <c r="P37" s="7">
        <v>327.03439803439801</v>
      </c>
      <c r="Q37" s="7">
        <v>334.33152173913044</v>
      </c>
      <c r="R37" s="7">
        <v>332.26603325415675</v>
      </c>
      <c r="S37" s="7">
        <v>325.46134020618558</v>
      </c>
      <c r="T37" s="7">
        <v>327.96800000000002</v>
      </c>
      <c r="V37" s="15">
        <v>0.625</v>
      </c>
      <c r="W37" s="8">
        <v>0.3</v>
      </c>
      <c r="X37" s="8">
        <v>0.3</v>
      </c>
      <c r="Y37" s="8">
        <v>0.3</v>
      </c>
      <c r="Z37" s="8">
        <v>0.3</v>
      </c>
      <c r="AA37" s="8">
        <v>0.3</v>
      </c>
      <c r="AB37" s="8">
        <v>0.3</v>
      </c>
      <c r="AC37" s="8">
        <v>0.3</v>
      </c>
      <c r="AE37" s="15">
        <v>0.625</v>
      </c>
      <c r="AF37" s="7">
        <f t="shared" si="4"/>
        <v>16.636796195264584</v>
      </c>
      <c r="AG37" s="7">
        <f t="shared" si="5"/>
        <v>15.236953773539138</v>
      </c>
      <c r="AH37" s="7">
        <f t="shared" si="6"/>
        <v>16.657167244057486</v>
      </c>
      <c r="AI37" s="7">
        <f t="shared" si="7"/>
        <v>16.54345629976098</v>
      </c>
      <c r="AJ37" s="7">
        <f t="shared" si="8"/>
        <v>12.648340461867884</v>
      </c>
      <c r="AK37" s="7">
        <f t="shared" si="9"/>
        <v>15.927350962229248</v>
      </c>
      <c r="AL37" s="7">
        <f t="shared" si="10"/>
        <v>15.742511614401858</v>
      </c>
      <c r="AN37" s="15">
        <v>0.625</v>
      </c>
      <c r="AO37" s="10">
        <v>13</v>
      </c>
      <c r="AP37" s="10">
        <v>16</v>
      </c>
      <c r="AQ37" s="10">
        <v>13</v>
      </c>
      <c r="AR37" s="10">
        <v>15</v>
      </c>
      <c r="AS37" s="10">
        <v>13</v>
      </c>
      <c r="AT37" s="10">
        <v>12</v>
      </c>
      <c r="AU37" s="10">
        <v>16</v>
      </c>
      <c r="AW37" s="15">
        <v>0.625</v>
      </c>
      <c r="AX37" s="10">
        <f t="shared" si="11"/>
        <v>3.6367961952645835</v>
      </c>
      <c r="AY37" s="10">
        <f t="shared" si="12"/>
        <v>-0.76304622646086173</v>
      </c>
      <c r="AZ37" s="10">
        <f t="shared" si="13"/>
        <v>3.6571672440574865</v>
      </c>
      <c r="BA37" s="10">
        <f t="shared" si="14"/>
        <v>1.5434562997609795</v>
      </c>
      <c r="BB37" s="10">
        <f t="shared" si="15"/>
        <v>-0.35165953813211637</v>
      </c>
      <c r="BC37" s="10">
        <f t="shared" si="16"/>
        <v>3.927350962229248</v>
      </c>
      <c r="BD37" s="10">
        <f t="shared" si="17"/>
        <v>-0.25748838559814224</v>
      </c>
      <c r="BF37" s="15">
        <v>0.625</v>
      </c>
      <c r="BG37" s="10">
        <f t="shared" si="18"/>
        <v>-3.6367961952645835</v>
      </c>
      <c r="BH37" s="10">
        <f t="shared" si="19"/>
        <v>0.76304622646086173</v>
      </c>
      <c r="BI37" s="10">
        <f t="shared" si="20"/>
        <v>-3.6571672440574865</v>
      </c>
      <c r="BJ37" s="10">
        <f t="shared" si="21"/>
        <v>-1.5434562997609795</v>
      </c>
      <c r="BK37" s="10">
        <f t="shared" si="22"/>
        <v>0.35165953813211637</v>
      </c>
      <c r="BL37" s="10">
        <f t="shared" si="23"/>
        <v>-3.927350962229248</v>
      </c>
      <c r="BM37" s="10">
        <f t="shared" si="24"/>
        <v>0.25748838559814224</v>
      </c>
      <c r="BO37" s="55"/>
      <c r="BP37" s="14">
        <v>0.625</v>
      </c>
      <c r="BQ37" s="65">
        <v>0.99980000000000002</v>
      </c>
      <c r="BR37" s="65">
        <v>0.99970000000000003</v>
      </c>
      <c r="BS37" s="65">
        <v>1</v>
      </c>
      <c r="BT37" s="65">
        <v>1</v>
      </c>
      <c r="BU37" s="65">
        <v>1</v>
      </c>
      <c r="BV37" s="65">
        <v>0.99980000000000002</v>
      </c>
      <c r="BW37" s="65">
        <v>1</v>
      </c>
      <c r="BZ37" s="14">
        <v>0.625</v>
      </c>
      <c r="CA37" s="67">
        <f t="shared" si="25"/>
        <v>1.0493979138551508</v>
      </c>
      <c r="CB37" s="67">
        <f t="shared" si="26"/>
        <v>0.7808938808938809</v>
      </c>
      <c r="CC37" s="67">
        <f t="shared" si="27"/>
        <v>1.050682856932857</v>
      </c>
      <c r="CD37" s="67">
        <f t="shared" si="28"/>
        <v>0.90437561105360031</v>
      </c>
      <c r="CE37" s="67">
        <f t="shared" si="29"/>
        <v>0.79781839836397428</v>
      </c>
      <c r="CF37" s="67">
        <f t="shared" si="30"/>
        <v>1.0883689824189988</v>
      </c>
      <c r="CG37" s="67">
        <f t="shared" si="31"/>
        <v>0.80680372023809532</v>
      </c>
      <c r="CQ37" s="15">
        <v>0.60416666666666663</v>
      </c>
      <c r="CR37" s="10">
        <f>'linear calc'!AW34*(1-'linear calc'!V34)</f>
        <v>9.1</v>
      </c>
      <c r="CS37" s="10">
        <f>'linear calc'!AX34*(1-'linear calc'!W34)</f>
        <v>11.2</v>
      </c>
      <c r="CT37" s="10">
        <f>'linear calc'!AY34*(1-'linear calc'!X34)</f>
        <v>9.1</v>
      </c>
      <c r="CU37" s="10">
        <f>'linear calc'!AZ34*(1-'linear calc'!Y34)</f>
        <v>10.5</v>
      </c>
      <c r="CV37" s="10">
        <f>'linear calc'!BA34*(1-'linear calc'!Z34)</f>
        <v>9.1</v>
      </c>
      <c r="CW37" s="10">
        <f>'linear calc'!BB34*(1-'linear calc'!AA34)</f>
        <v>8.3999999999999986</v>
      </c>
      <c r="CX37" s="10">
        <f>'linear calc'!BC34*(1-'linear calc'!AB34)</f>
        <v>11.2</v>
      </c>
    </row>
    <row r="38" spans="4:102" x14ac:dyDescent="0.3">
      <c r="D38" s="15">
        <v>0.64583333333333337</v>
      </c>
      <c r="E38" s="7">
        <v>98.25</v>
      </c>
      <c r="F38" s="7">
        <v>104.5</v>
      </c>
      <c r="G38" s="7">
        <v>96</v>
      </c>
      <c r="H38" s="7">
        <v>105.75</v>
      </c>
      <c r="I38" s="7">
        <v>75.666666666666671</v>
      </c>
      <c r="J38" s="7">
        <v>92.8125</v>
      </c>
      <c r="K38" s="7">
        <v>92.875</v>
      </c>
      <c r="M38" s="15">
        <v>0.64583333333333337</v>
      </c>
      <c r="N38" s="7">
        <v>326.36319612590802</v>
      </c>
      <c r="O38" s="7">
        <v>325.89834515366431</v>
      </c>
      <c r="P38" s="7">
        <v>319.71428571428572</v>
      </c>
      <c r="Q38" s="7">
        <v>323.92434988179667</v>
      </c>
      <c r="R38" s="7">
        <v>317.09732360097325</v>
      </c>
      <c r="S38" s="7">
        <v>330.9336870026525</v>
      </c>
      <c r="T38" s="7">
        <v>326.82205513784459</v>
      </c>
      <c r="V38" s="15">
        <v>0.64583333333333337</v>
      </c>
      <c r="W38" s="8">
        <v>0.3</v>
      </c>
      <c r="X38" s="8">
        <v>0.3</v>
      </c>
      <c r="Y38" s="8">
        <v>0.3</v>
      </c>
      <c r="Z38" s="8">
        <v>0.3</v>
      </c>
      <c r="AA38" s="8">
        <v>0.3</v>
      </c>
      <c r="AB38" s="8">
        <v>0.3</v>
      </c>
      <c r="AC38" s="8">
        <v>0.3</v>
      </c>
      <c r="AE38" s="15">
        <v>0.64583333333333337</v>
      </c>
      <c r="AF38" s="7">
        <f t="shared" si="4"/>
        <v>15.517413869226898</v>
      </c>
      <c r="AG38" s="7">
        <f t="shared" si="5"/>
        <v>16.481018713007124</v>
      </c>
      <c r="AH38" s="7">
        <f t="shared" si="6"/>
        <v>14.853160776505723</v>
      </c>
      <c r="AI38" s="7">
        <f t="shared" si="7"/>
        <v>16.577138985675571</v>
      </c>
      <c r="AJ38" s="7">
        <f t="shared" si="8"/>
        <v>11.611351861114487</v>
      </c>
      <c r="AK38" s="7">
        <f t="shared" si="9"/>
        <v>14.863909613305113</v>
      </c>
      <c r="AL38" s="7">
        <f t="shared" si="10"/>
        <v>14.689120388563355</v>
      </c>
      <c r="AN38" s="15">
        <v>0.64583333333333337</v>
      </c>
      <c r="AO38" s="10">
        <v>13</v>
      </c>
      <c r="AP38" s="10">
        <v>16</v>
      </c>
      <c r="AQ38" s="10">
        <v>13</v>
      </c>
      <c r="AR38" s="10">
        <v>15</v>
      </c>
      <c r="AS38" s="10">
        <v>13</v>
      </c>
      <c r="AT38" s="10">
        <v>12</v>
      </c>
      <c r="AU38" s="10">
        <v>16</v>
      </c>
      <c r="AW38" s="15">
        <v>0.64583333333333337</v>
      </c>
      <c r="AX38" s="10">
        <f t="shared" si="11"/>
        <v>2.5174138692268979</v>
      </c>
      <c r="AY38" s="10">
        <f t="shared" si="12"/>
        <v>0.48101871300712418</v>
      </c>
      <c r="AZ38" s="10">
        <f t="shared" si="13"/>
        <v>1.8531607765057228</v>
      </c>
      <c r="BA38" s="10">
        <f t="shared" si="14"/>
        <v>1.5771389856755711</v>
      </c>
      <c r="BB38" s="10">
        <f t="shared" si="15"/>
        <v>-1.3886481388855128</v>
      </c>
      <c r="BC38" s="10">
        <f t="shared" si="16"/>
        <v>2.863909613305113</v>
      </c>
      <c r="BD38" s="10">
        <f t="shared" si="17"/>
        <v>-1.3108796114366452</v>
      </c>
      <c r="BF38" s="15">
        <v>0.64583333333333337</v>
      </c>
      <c r="BG38" s="10">
        <f t="shared" si="18"/>
        <v>-2.5174138692268979</v>
      </c>
      <c r="BH38" s="10">
        <f t="shared" si="19"/>
        <v>-0.48101871300712418</v>
      </c>
      <c r="BI38" s="10">
        <f t="shared" si="20"/>
        <v>-1.8531607765057228</v>
      </c>
      <c r="BJ38" s="10">
        <f t="shared" si="21"/>
        <v>-1.5771389856755711</v>
      </c>
      <c r="BK38" s="10">
        <f t="shared" si="22"/>
        <v>1.3886481388855128</v>
      </c>
      <c r="BL38" s="10">
        <f t="shared" si="23"/>
        <v>-2.863909613305113</v>
      </c>
      <c r="BM38" s="10">
        <f t="shared" si="24"/>
        <v>1.3108796114366452</v>
      </c>
      <c r="BO38" s="55"/>
      <c r="BP38" s="14">
        <v>0.64583333333333337</v>
      </c>
      <c r="BQ38" s="65">
        <v>1</v>
      </c>
      <c r="BR38" s="65">
        <v>0.99980000000000002</v>
      </c>
      <c r="BS38" s="65">
        <v>1</v>
      </c>
      <c r="BT38" s="65">
        <v>0.99980000000000002</v>
      </c>
      <c r="BU38" s="65">
        <v>0.99990000000000001</v>
      </c>
      <c r="BV38" s="65">
        <v>0.98280000000000001</v>
      </c>
      <c r="BW38" s="65">
        <v>0.99419999999999997</v>
      </c>
      <c r="BZ38" s="14">
        <v>0.64583333333333337</v>
      </c>
      <c r="CA38" s="67">
        <f t="shared" si="25"/>
        <v>0.97879072098200437</v>
      </c>
      <c r="CB38" s="67">
        <f t="shared" si="26"/>
        <v>0.8446522090416152</v>
      </c>
      <c r="CC38" s="67">
        <f t="shared" si="27"/>
        <v>0.93689167974882259</v>
      </c>
      <c r="CD38" s="67">
        <f t="shared" si="28"/>
        <v>0.90621693121693114</v>
      </c>
      <c r="CE38" s="67">
        <f t="shared" si="29"/>
        <v>0.73240834816260614</v>
      </c>
      <c r="CF38" s="67">
        <f t="shared" si="30"/>
        <v>1.0157004902425162</v>
      </c>
      <c r="CG38" s="67">
        <f t="shared" si="31"/>
        <v>0.75281741991387208</v>
      </c>
      <c r="CQ38" s="15">
        <v>0.625</v>
      </c>
      <c r="CR38" s="10">
        <f>'linear calc'!AW35*(1-'linear calc'!V35)</f>
        <v>9.1</v>
      </c>
      <c r="CS38" s="10">
        <f>'linear calc'!AX35*(1-'linear calc'!W35)</f>
        <v>11.2</v>
      </c>
      <c r="CT38" s="10">
        <f>'linear calc'!AY35*(1-'linear calc'!X35)</f>
        <v>9.1</v>
      </c>
      <c r="CU38" s="10">
        <f>'linear calc'!AZ35*(1-'linear calc'!Y35)</f>
        <v>10.5</v>
      </c>
      <c r="CV38" s="10">
        <f>'linear calc'!BA35*(1-'linear calc'!Z35)</f>
        <v>9.1</v>
      </c>
      <c r="CW38" s="10">
        <f>'linear calc'!BB35*(1-'linear calc'!AA35)</f>
        <v>8.3999999999999986</v>
      </c>
      <c r="CX38" s="10">
        <f>'linear calc'!BC35*(1-'linear calc'!AB35)</f>
        <v>11.2</v>
      </c>
    </row>
    <row r="39" spans="4:102" x14ac:dyDescent="0.3">
      <c r="D39" s="15">
        <v>0.66666666666666674</v>
      </c>
      <c r="E39" s="7">
        <v>93.75</v>
      </c>
      <c r="F39" s="7">
        <v>98.25</v>
      </c>
      <c r="G39" s="7">
        <v>94</v>
      </c>
      <c r="H39" s="7">
        <v>97.5</v>
      </c>
      <c r="I39" s="7">
        <v>76.421875</v>
      </c>
      <c r="J39" s="7">
        <v>105.4375</v>
      </c>
      <c r="K39" s="7">
        <v>101.9375</v>
      </c>
      <c r="M39" s="15">
        <v>0.66666666666666674</v>
      </c>
      <c r="N39" s="7">
        <v>314.55432372505544</v>
      </c>
      <c r="O39" s="7">
        <v>321.89903846153845</v>
      </c>
      <c r="P39" s="7">
        <v>329.42892768079798</v>
      </c>
      <c r="Q39" s="7">
        <v>323.89295774647888</v>
      </c>
      <c r="R39" s="7">
        <v>333.70559610705595</v>
      </c>
      <c r="S39" s="7">
        <v>332.54421768707482</v>
      </c>
      <c r="T39" s="7">
        <v>325.87301587301585</v>
      </c>
      <c r="V39" s="15">
        <v>0.66666666666666674</v>
      </c>
      <c r="W39" s="8">
        <v>0.3</v>
      </c>
      <c r="X39" s="8">
        <v>0.3</v>
      </c>
      <c r="Y39" s="8">
        <v>0.3</v>
      </c>
      <c r="Z39" s="8">
        <v>0.3</v>
      </c>
      <c r="AA39" s="8">
        <v>0.3</v>
      </c>
      <c r="AB39" s="8">
        <v>0.3</v>
      </c>
      <c r="AC39" s="8">
        <v>0.3</v>
      </c>
      <c r="AE39" s="15">
        <v>0.66666666666666674</v>
      </c>
      <c r="AF39" s="7">
        <f t="shared" si="4"/>
        <v>14.27093875785131</v>
      </c>
      <c r="AG39" s="7">
        <f t="shared" si="5"/>
        <v>15.305158986085052</v>
      </c>
      <c r="AH39" s="7">
        <f t="shared" si="6"/>
        <v>14.985636470187288</v>
      </c>
      <c r="AI39" s="7">
        <f t="shared" si="7"/>
        <v>15.282405817015917</v>
      </c>
      <c r="AJ39" s="7">
        <f t="shared" si="8"/>
        <v>12.341466972751604</v>
      </c>
      <c r="AK39" s="7">
        <f t="shared" si="9"/>
        <v>16.967978587098795</v>
      </c>
      <c r="AL39" s="7">
        <f t="shared" si="10"/>
        <v>16.075629382285886</v>
      </c>
      <c r="AN39" s="15">
        <v>0.66666666666666674</v>
      </c>
      <c r="AO39" s="10">
        <v>13</v>
      </c>
      <c r="AP39" s="10">
        <v>16</v>
      </c>
      <c r="AQ39" s="10">
        <v>13</v>
      </c>
      <c r="AR39" s="10">
        <v>15</v>
      </c>
      <c r="AS39" s="10">
        <v>13</v>
      </c>
      <c r="AT39" s="10">
        <v>12</v>
      </c>
      <c r="AU39" s="10">
        <v>16</v>
      </c>
      <c r="AW39" s="15">
        <v>0.66666666666666674</v>
      </c>
      <c r="AX39" s="10">
        <f t="shared" si="11"/>
        <v>1.2709387578513098</v>
      </c>
      <c r="AY39" s="10">
        <f t="shared" si="12"/>
        <v>-0.69484101391494768</v>
      </c>
      <c r="AZ39" s="10">
        <f t="shared" si="13"/>
        <v>1.9856364701872877</v>
      </c>
      <c r="BA39" s="10">
        <f t="shared" si="14"/>
        <v>0.28240581701591694</v>
      </c>
      <c r="BB39" s="10">
        <f t="shared" si="15"/>
        <v>-0.6585330272483958</v>
      </c>
      <c r="BC39" s="10">
        <f t="shared" si="16"/>
        <v>4.9679785870987949</v>
      </c>
      <c r="BD39" s="10">
        <f t="shared" si="17"/>
        <v>7.5629382285885782E-2</v>
      </c>
      <c r="BF39" s="15">
        <v>0.66666666666666674</v>
      </c>
      <c r="BG39" s="10">
        <f t="shared" si="18"/>
        <v>-1.2709387578513098</v>
      </c>
      <c r="BH39" s="10">
        <f t="shared" si="19"/>
        <v>0.69484101391494768</v>
      </c>
      <c r="BI39" s="10">
        <f t="shared" si="20"/>
        <v>-1.9856364701872877</v>
      </c>
      <c r="BJ39" s="10">
        <f t="shared" si="21"/>
        <v>-0.28240581701591694</v>
      </c>
      <c r="BK39" s="10">
        <f t="shared" si="22"/>
        <v>0.6585330272483958</v>
      </c>
      <c r="BL39" s="10">
        <f t="shared" si="23"/>
        <v>-4.9679785870987949</v>
      </c>
      <c r="BM39" s="10">
        <f t="shared" si="24"/>
        <v>-7.5629382285885782E-2</v>
      </c>
      <c r="BO39" s="55"/>
      <c r="BP39" s="14">
        <v>0.66666666666666674</v>
      </c>
      <c r="BQ39" s="65">
        <v>0</v>
      </c>
      <c r="BR39" s="65">
        <v>0</v>
      </c>
      <c r="BS39" s="65">
        <v>0</v>
      </c>
      <c r="BT39" s="65">
        <v>0.99990000000000001</v>
      </c>
      <c r="BU39" s="65">
        <v>0</v>
      </c>
      <c r="BV39" s="65">
        <v>0.99980000000000002</v>
      </c>
      <c r="BW39" s="65">
        <v>0.99980000000000002</v>
      </c>
      <c r="BZ39" s="14">
        <v>0.66666666666666674</v>
      </c>
      <c r="CA39" s="67">
        <f t="shared" si="25"/>
        <v>0.90016690626446727</v>
      </c>
      <c r="CB39" s="67">
        <f t="shared" si="26"/>
        <v>0.78438939803685903</v>
      </c>
      <c r="CC39" s="67">
        <f t="shared" si="27"/>
        <v>0.94524783888873665</v>
      </c>
      <c r="CD39" s="67">
        <f t="shared" si="28"/>
        <v>0.83543818466353681</v>
      </c>
      <c r="CE39" s="67">
        <f t="shared" si="29"/>
        <v>0.77846176289663971</v>
      </c>
      <c r="CF39" s="67">
        <f t="shared" si="30"/>
        <v>1.1594785367850846</v>
      </c>
      <c r="CG39" s="67">
        <f t="shared" si="31"/>
        <v>0.82387600584215159</v>
      </c>
      <c r="CQ39" s="15">
        <v>0.64583333333333337</v>
      </c>
      <c r="CR39" s="10">
        <f>'linear calc'!AW36*(1-'linear calc'!V36)</f>
        <v>9.1</v>
      </c>
      <c r="CS39" s="10">
        <f>'linear calc'!AX36*(1-'linear calc'!W36)</f>
        <v>11.2</v>
      </c>
      <c r="CT39" s="10">
        <f>'linear calc'!AY36*(1-'linear calc'!X36)</f>
        <v>9.1</v>
      </c>
      <c r="CU39" s="10">
        <f>'linear calc'!AZ36*(1-'linear calc'!Y36)</f>
        <v>10.5</v>
      </c>
      <c r="CV39" s="10">
        <f>'linear calc'!BA36*(1-'linear calc'!Z36)</f>
        <v>9.1</v>
      </c>
      <c r="CW39" s="10">
        <f>'linear calc'!BB36*(1-'linear calc'!AA36)</f>
        <v>8.3999999999999986</v>
      </c>
      <c r="CX39" s="10">
        <f>'linear calc'!BC36*(1-'linear calc'!AB36)</f>
        <v>11.2</v>
      </c>
    </row>
    <row r="40" spans="4:102" x14ac:dyDescent="0.3">
      <c r="D40" s="15">
        <v>0.68750000000000011</v>
      </c>
      <c r="E40" s="7">
        <v>96.75</v>
      </c>
      <c r="F40" s="7">
        <v>109.75</v>
      </c>
      <c r="G40" s="7">
        <v>105.5</v>
      </c>
      <c r="H40" s="7">
        <v>91.75</v>
      </c>
      <c r="I40" s="7">
        <v>67.677083333333329</v>
      </c>
      <c r="J40" s="7">
        <v>99.875</v>
      </c>
      <c r="K40" s="7">
        <v>104.9375</v>
      </c>
      <c r="M40" s="15">
        <v>0.68750000000000011</v>
      </c>
      <c r="N40" s="7">
        <v>314.96561604584525</v>
      </c>
      <c r="O40" s="7">
        <v>318.28644501278774</v>
      </c>
      <c r="P40" s="7">
        <v>326.35897435897436</v>
      </c>
      <c r="Q40" s="7">
        <v>334.71860465116276</v>
      </c>
      <c r="R40" s="7">
        <v>328.14004914004914</v>
      </c>
      <c r="S40" s="7">
        <v>330.58949880668257</v>
      </c>
      <c r="T40" s="7">
        <v>323.12224938875306</v>
      </c>
      <c r="V40" s="15">
        <v>0.68750000000000011</v>
      </c>
      <c r="W40" s="8">
        <v>0.3</v>
      </c>
      <c r="X40" s="8">
        <v>0.3</v>
      </c>
      <c r="Y40" s="8">
        <v>0.3</v>
      </c>
      <c r="Z40" s="8">
        <v>0.3</v>
      </c>
      <c r="AA40" s="8">
        <v>0.3</v>
      </c>
      <c r="AB40" s="8">
        <v>0.3</v>
      </c>
      <c r="AC40" s="8">
        <v>0.3</v>
      </c>
      <c r="AE40" s="15">
        <v>0.68750000000000011</v>
      </c>
      <c r="AF40" s="7">
        <f t="shared" si="4"/>
        <v>14.746865733853816</v>
      </c>
      <c r="AG40" s="7">
        <f t="shared" si="5"/>
        <v>16.904731581568647</v>
      </c>
      <c r="AH40" s="7">
        <f t="shared" si="6"/>
        <v>16.662249223224833</v>
      </c>
      <c r="AI40" s="7">
        <f t="shared" si="7"/>
        <v>14.861804092501057</v>
      </c>
      <c r="AJ40" s="7">
        <f t="shared" si="8"/>
        <v>10.74698095753736</v>
      </c>
      <c r="AK40" s="7">
        <f t="shared" si="9"/>
        <v>15.978332459019272</v>
      </c>
      <c r="AL40" s="7">
        <f t="shared" si="10"/>
        <v>16.409040381935867</v>
      </c>
      <c r="AN40" s="15">
        <v>0.68750000000000011</v>
      </c>
      <c r="AO40" s="10">
        <v>13</v>
      </c>
      <c r="AP40" s="10">
        <v>16</v>
      </c>
      <c r="AQ40" s="10">
        <v>13</v>
      </c>
      <c r="AR40" s="10">
        <v>15</v>
      </c>
      <c r="AS40" s="10">
        <v>13</v>
      </c>
      <c r="AT40" s="10">
        <v>12</v>
      </c>
      <c r="AU40" s="10">
        <v>16</v>
      </c>
      <c r="AW40" s="15">
        <v>0.68750000000000011</v>
      </c>
      <c r="AX40" s="10">
        <f t="shared" si="11"/>
        <v>1.7468657338538165</v>
      </c>
      <c r="AY40" s="10">
        <f t="shared" si="12"/>
        <v>0.90473158156864741</v>
      </c>
      <c r="AZ40" s="10">
        <f t="shared" si="13"/>
        <v>3.6622492232248334</v>
      </c>
      <c r="BA40" s="10">
        <f t="shared" si="14"/>
        <v>-0.13819590749894317</v>
      </c>
      <c r="BB40" s="10">
        <f t="shared" si="15"/>
        <v>-2.2530190424626397</v>
      </c>
      <c r="BC40" s="10">
        <f t="shared" si="16"/>
        <v>3.9783324590192723</v>
      </c>
      <c r="BD40" s="10">
        <f t="shared" si="17"/>
        <v>0.409040381935867</v>
      </c>
      <c r="BF40" s="15">
        <v>0.68750000000000011</v>
      </c>
      <c r="BG40" s="10">
        <f t="shared" si="18"/>
        <v>-1.7468657338538165</v>
      </c>
      <c r="BH40" s="10">
        <f t="shared" si="19"/>
        <v>-0.90473158156864741</v>
      </c>
      <c r="BI40" s="10">
        <f t="shared" si="20"/>
        <v>-3.6622492232248334</v>
      </c>
      <c r="BJ40" s="10">
        <f t="shared" si="21"/>
        <v>0.13819590749894317</v>
      </c>
      <c r="BK40" s="10">
        <f t="shared" si="22"/>
        <v>2.2530190424626397</v>
      </c>
      <c r="BL40" s="10">
        <f t="shared" si="23"/>
        <v>-3.9783324590192723</v>
      </c>
      <c r="BM40" s="10">
        <f t="shared" si="24"/>
        <v>-0.409040381935867</v>
      </c>
      <c r="BO40" s="55"/>
      <c r="BP40" s="14">
        <v>0.68750000000000011</v>
      </c>
      <c r="BQ40" s="65">
        <v>0</v>
      </c>
      <c r="BR40" s="65">
        <v>0</v>
      </c>
      <c r="BS40" s="65">
        <v>0.33829999999999999</v>
      </c>
      <c r="BT40" s="65">
        <v>0.99970000000000003</v>
      </c>
      <c r="BU40" s="65">
        <v>0.29270000000000002</v>
      </c>
      <c r="BV40" s="65">
        <v>0.99990000000000001</v>
      </c>
      <c r="BW40" s="65">
        <v>0.99990000000000001</v>
      </c>
      <c r="BZ40" s="14">
        <v>0.68750000000000011</v>
      </c>
      <c r="CA40" s="67">
        <f t="shared" si="25"/>
        <v>0.93018691552001009</v>
      </c>
      <c r="CB40" s="67">
        <f t="shared" si="26"/>
        <v>0.86636749355539322</v>
      </c>
      <c r="CC40" s="67">
        <f t="shared" si="27"/>
        <v>1.0510034125418741</v>
      </c>
      <c r="CD40" s="67">
        <f t="shared" si="28"/>
        <v>0.81244529039005775</v>
      </c>
      <c r="CE40" s="67">
        <f t="shared" si="29"/>
        <v>0.67788649116774125</v>
      </c>
      <c r="CF40" s="67">
        <f t="shared" si="30"/>
        <v>1.0918527180329838</v>
      </c>
      <c r="CG40" s="67">
        <f t="shared" si="31"/>
        <v>0.84096331957421311</v>
      </c>
      <c r="CQ40" s="15">
        <v>0.66666666666666674</v>
      </c>
      <c r="CR40" s="10">
        <f>'linear calc'!AW37*(1-'linear calc'!V37)</f>
        <v>9.1</v>
      </c>
      <c r="CS40" s="10">
        <f>'linear calc'!AX37*(1-'linear calc'!W37)</f>
        <v>11.2</v>
      </c>
      <c r="CT40" s="10">
        <f>'linear calc'!AY37*(1-'linear calc'!X37)</f>
        <v>9.1</v>
      </c>
      <c r="CU40" s="10">
        <f>'linear calc'!AZ37*(1-'linear calc'!Y37)</f>
        <v>10.5</v>
      </c>
      <c r="CV40" s="10">
        <f>'linear calc'!BA37*(1-'linear calc'!Z37)</f>
        <v>9.1</v>
      </c>
      <c r="CW40" s="10">
        <f>'linear calc'!BB37*(1-'linear calc'!AA37)</f>
        <v>8.3999999999999986</v>
      </c>
      <c r="CX40" s="10">
        <f>'linear calc'!BC37*(1-'linear calc'!AB37)</f>
        <v>11.2</v>
      </c>
    </row>
    <row r="41" spans="4:102" x14ac:dyDescent="0.3">
      <c r="D41" s="15">
        <v>0.70833333333333348</v>
      </c>
      <c r="E41" s="7">
        <v>108.25</v>
      </c>
      <c r="F41" s="7">
        <v>105.5</v>
      </c>
      <c r="G41" s="7">
        <v>98</v>
      </c>
      <c r="H41" s="7">
        <v>87.75</v>
      </c>
      <c r="I41" s="7">
        <v>78.182291666666671</v>
      </c>
      <c r="J41" s="7">
        <v>101</v>
      </c>
      <c r="K41" s="7">
        <v>99.4375</v>
      </c>
      <c r="M41" s="15">
        <v>0.70833333333333348</v>
      </c>
      <c r="N41" s="7">
        <v>323.18947368421055</v>
      </c>
      <c r="O41" s="7">
        <v>332.06617647058823</v>
      </c>
      <c r="P41" s="7">
        <v>320.15844155844155</v>
      </c>
      <c r="Q41" s="7">
        <v>331.15294117647056</v>
      </c>
      <c r="R41" s="7">
        <v>327.48655256723714</v>
      </c>
      <c r="S41" s="7">
        <v>316.95384615384614</v>
      </c>
      <c r="T41" s="7">
        <v>316.58852867830421</v>
      </c>
      <c r="V41" s="15">
        <v>0.70833333333333348</v>
      </c>
      <c r="W41" s="8">
        <v>0.3</v>
      </c>
      <c r="X41" s="8">
        <v>0.3</v>
      </c>
      <c r="Y41" s="8">
        <v>0.3</v>
      </c>
      <c r="Z41" s="8">
        <v>0.3</v>
      </c>
      <c r="AA41" s="8">
        <v>0.3</v>
      </c>
      <c r="AB41" s="8">
        <v>0.3</v>
      </c>
      <c r="AC41" s="8">
        <v>0.3</v>
      </c>
      <c r="AE41" s="15">
        <v>0.70833333333333348</v>
      </c>
      <c r="AF41" s="7">
        <f t="shared" si="4"/>
        <v>16.930536452920919</v>
      </c>
      <c r="AG41" s="7">
        <f t="shared" si="5"/>
        <v>16.953630283414178</v>
      </c>
      <c r="AH41" s="7">
        <f t="shared" si="6"/>
        <v>15.183665927568365</v>
      </c>
      <c r="AI41" s="7">
        <f t="shared" si="7"/>
        <v>14.062461569993848</v>
      </c>
      <c r="AJ41" s="7">
        <f t="shared" si="8"/>
        <v>12.390461270675038</v>
      </c>
      <c r="AK41" s="7">
        <f t="shared" si="9"/>
        <v>15.491840138181601</v>
      </c>
      <c r="AL41" s="7">
        <f t="shared" si="10"/>
        <v>15.234597280511457</v>
      </c>
      <c r="AN41" s="15">
        <v>0.70833333333333348</v>
      </c>
      <c r="AO41" s="10">
        <v>13</v>
      </c>
      <c r="AP41" s="10">
        <v>16</v>
      </c>
      <c r="AQ41" s="10">
        <v>13</v>
      </c>
      <c r="AR41" s="10">
        <v>15</v>
      </c>
      <c r="AS41" s="10">
        <v>13</v>
      </c>
      <c r="AT41" s="10">
        <v>12</v>
      </c>
      <c r="AU41" s="10">
        <v>16</v>
      </c>
      <c r="AW41" s="15">
        <v>0.70833333333333348</v>
      </c>
      <c r="AX41" s="10">
        <f t="shared" si="11"/>
        <v>3.9305364529209186</v>
      </c>
      <c r="AY41" s="10">
        <f t="shared" si="12"/>
        <v>0.95363028341417788</v>
      </c>
      <c r="AZ41" s="10">
        <f t="shared" si="13"/>
        <v>2.1836659275683648</v>
      </c>
      <c r="BA41" s="10">
        <f t="shared" si="14"/>
        <v>-0.93753843000615156</v>
      </c>
      <c r="BB41" s="10">
        <f t="shared" si="15"/>
        <v>-0.60953872932496189</v>
      </c>
      <c r="BC41" s="10">
        <f t="shared" si="16"/>
        <v>3.4918401381816011</v>
      </c>
      <c r="BD41" s="10">
        <f t="shared" si="17"/>
        <v>-0.76540271948854333</v>
      </c>
      <c r="BF41" s="15">
        <v>0.70833333333333348</v>
      </c>
      <c r="BG41" s="10">
        <f t="shared" si="18"/>
        <v>-3.9305364529209186</v>
      </c>
      <c r="BH41" s="10">
        <f t="shared" si="19"/>
        <v>-0.95363028341417788</v>
      </c>
      <c r="BI41" s="10">
        <f t="shared" si="20"/>
        <v>-2.1836659275683648</v>
      </c>
      <c r="BJ41" s="10">
        <f t="shared" si="21"/>
        <v>0.93753843000615156</v>
      </c>
      <c r="BK41" s="10">
        <f t="shared" si="22"/>
        <v>0.60953872932496189</v>
      </c>
      <c r="BL41" s="10">
        <f t="shared" si="23"/>
        <v>-3.4918401381816011</v>
      </c>
      <c r="BM41" s="10">
        <f t="shared" si="24"/>
        <v>0.76540271948854333</v>
      </c>
      <c r="BO41" s="55"/>
      <c r="BP41" s="14">
        <v>0.70833333333333348</v>
      </c>
      <c r="BQ41" s="65">
        <v>0.99990000000000001</v>
      </c>
      <c r="BR41" s="65">
        <v>1</v>
      </c>
      <c r="BS41" s="65">
        <v>0.99990000000000001</v>
      </c>
      <c r="BT41" s="65">
        <v>0.99970000000000003</v>
      </c>
      <c r="BU41" s="65">
        <v>1</v>
      </c>
      <c r="BV41" s="65">
        <v>0.99970000000000003</v>
      </c>
      <c r="BW41" s="65">
        <v>0.99970000000000003</v>
      </c>
      <c r="BZ41" s="14">
        <v>0.70833333333333348</v>
      </c>
      <c r="CA41" s="67">
        <f t="shared" si="25"/>
        <v>1.0679261454919351</v>
      </c>
      <c r="CB41" s="67">
        <f t="shared" si="26"/>
        <v>0.86887355202497663</v>
      </c>
      <c r="CC41" s="67">
        <f t="shared" si="27"/>
        <v>0.95773892773892766</v>
      </c>
      <c r="CD41" s="67">
        <f t="shared" si="28"/>
        <v>0.76874789915966379</v>
      </c>
      <c r="CE41" s="67">
        <f t="shared" si="29"/>
        <v>0.78155217245796393</v>
      </c>
      <c r="CF41" s="67">
        <f t="shared" si="30"/>
        <v>1.0586090761090763</v>
      </c>
      <c r="CG41" s="67">
        <f t="shared" si="31"/>
        <v>0.78077311062621224</v>
      </c>
      <c r="CQ41" s="15">
        <v>0.68750000000000011</v>
      </c>
      <c r="CR41" s="10">
        <f>'linear calc'!AW38*(1-'linear calc'!V38)</f>
        <v>9.1</v>
      </c>
      <c r="CS41" s="10">
        <f>'linear calc'!AX38*(1-'linear calc'!W38)</f>
        <v>11.2</v>
      </c>
      <c r="CT41" s="10">
        <f>'linear calc'!AY38*(1-'linear calc'!X38)</f>
        <v>9.1</v>
      </c>
      <c r="CU41" s="10">
        <f>'linear calc'!AZ38*(1-'linear calc'!Y38)</f>
        <v>10.5</v>
      </c>
      <c r="CV41" s="10">
        <f>'linear calc'!BA38*(1-'linear calc'!Z38)</f>
        <v>9.1</v>
      </c>
      <c r="CW41" s="10">
        <f>'linear calc'!BB38*(1-'linear calc'!AA38)</f>
        <v>8.3999999999999986</v>
      </c>
      <c r="CX41" s="10">
        <f>'linear calc'!BC38*(1-'linear calc'!AB38)</f>
        <v>11.2</v>
      </c>
    </row>
    <row r="42" spans="4:102" x14ac:dyDescent="0.3">
      <c r="D42" s="15">
        <v>0.72916666666666685</v>
      </c>
      <c r="E42" s="7">
        <v>106.25</v>
      </c>
      <c r="F42" s="7">
        <v>105</v>
      </c>
      <c r="G42" s="7">
        <v>97</v>
      </c>
      <c r="H42" s="7">
        <v>93.75</v>
      </c>
      <c r="I42" s="7">
        <v>67.6875</v>
      </c>
      <c r="J42" s="7">
        <v>102.5625</v>
      </c>
      <c r="K42" s="7">
        <v>99.1875</v>
      </c>
      <c r="M42" s="15">
        <v>0.72916666666666685</v>
      </c>
      <c r="N42" s="7">
        <v>330.2879177377892</v>
      </c>
      <c r="O42" s="7">
        <v>313.60421545667447</v>
      </c>
      <c r="P42" s="7">
        <v>325.73184357541902</v>
      </c>
      <c r="Q42" s="7">
        <v>316.89999999999998</v>
      </c>
      <c r="R42" s="7">
        <v>317.86682808716705</v>
      </c>
      <c r="S42" s="7">
        <v>331.35828877005349</v>
      </c>
      <c r="T42" s="7">
        <v>329.95260663507111</v>
      </c>
      <c r="V42" s="15">
        <v>0.72916666666666685</v>
      </c>
      <c r="W42" s="8">
        <v>0.3</v>
      </c>
      <c r="X42" s="8">
        <v>0.3</v>
      </c>
      <c r="Y42" s="8">
        <v>0.3</v>
      </c>
      <c r="Z42" s="8">
        <v>0.3</v>
      </c>
      <c r="AA42" s="8">
        <v>0.3</v>
      </c>
      <c r="AB42" s="8">
        <v>0.3</v>
      </c>
      <c r="AC42" s="8">
        <v>0.3</v>
      </c>
      <c r="AE42" s="15">
        <v>0.72916666666666685</v>
      </c>
      <c r="AF42" s="7">
        <f t="shared" si="4"/>
        <v>16.982719347483595</v>
      </c>
      <c r="AG42" s="7">
        <f t="shared" si="5"/>
        <v>15.935173549627766</v>
      </c>
      <c r="AH42" s="7">
        <f t="shared" si="6"/>
        <v>15.290354639380393</v>
      </c>
      <c r="AI42" s="7">
        <f t="shared" si="7"/>
        <v>14.377359175377466</v>
      </c>
      <c r="AJ42" s="7">
        <f t="shared" si="8"/>
        <v>10.41212298013459</v>
      </c>
      <c r="AK42" s="7">
        <f t="shared" si="9"/>
        <v>16.446445263249423</v>
      </c>
      <c r="AL42" s="7">
        <f t="shared" si="10"/>
        <v>15.837773021010507</v>
      </c>
      <c r="AN42" s="15">
        <v>0.72916666666666685</v>
      </c>
      <c r="AO42" s="10">
        <v>13</v>
      </c>
      <c r="AP42" s="10">
        <v>16</v>
      </c>
      <c r="AQ42" s="10">
        <v>13</v>
      </c>
      <c r="AR42" s="10">
        <v>15</v>
      </c>
      <c r="AS42" s="10">
        <v>13</v>
      </c>
      <c r="AT42" s="10">
        <v>12</v>
      </c>
      <c r="AU42" s="10">
        <v>16</v>
      </c>
      <c r="AW42" s="15">
        <v>0.72916666666666685</v>
      </c>
      <c r="AX42" s="10">
        <f t="shared" si="11"/>
        <v>3.9827193474835951</v>
      </c>
      <c r="AY42" s="10">
        <f t="shared" si="12"/>
        <v>-6.4826450372233779E-2</v>
      </c>
      <c r="AZ42" s="10">
        <f t="shared" si="13"/>
        <v>2.2903546393803929</v>
      </c>
      <c r="BA42" s="10">
        <f t="shared" si="14"/>
        <v>-0.62264082462253434</v>
      </c>
      <c r="BB42" s="10">
        <f t="shared" si="15"/>
        <v>-2.5878770198654095</v>
      </c>
      <c r="BC42" s="10">
        <f t="shared" si="16"/>
        <v>4.4464452632494229</v>
      </c>
      <c r="BD42" s="10">
        <f t="shared" si="17"/>
        <v>-0.16222697898949257</v>
      </c>
      <c r="BF42" s="15">
        <v>0.72916666666666685</v>
      </c>
      <c r="BG42" s="10">
        <f t="shared" si="18"/>
        <v>-3.9827193474835951</v>
      </c>
      <c r="BH42" s="10">
        <f t="shared" si="19"/>
        <v>6.4826450372233779E-2</v>
      </c>
      <c r="BI42" s="10">
        <f t="shared" si="20"/>
        <v>-2.2903546393803929</v>
      </c>
      <c r="BJ42" s="10">
        <f t="shared" si="21"/>
        <v>0.62264082462253434</v>
      </c>
      <c r="BK42" s="10">
        <f t="shared" si="22"/>
        <v>2.5878770198654095</v>
      </c>
      <c r="BL42" s="10">
        <f t="shared" si="23"/>
        <v>-4.4464452632494229</v>
      </c>
      <c r="BM42" s="10">
        <f t="shared" si="24"/>
        <v>0.16222697898949257</v>
      </c>
      <c r="BO42" s="55"/>
      <c r="BP42" s="14">
        <v>0.72916666666666685</v>
      </c>
      <c r="BQ42" s="65">
        <v>0.99990000000000001</v>
      </c>
      <c r="BR42" s="65">
        <v>0.99990000000000001</v>
      </c>
      <c r="BS42" s="65">
        <v>0.99990000000000001</v>
      </c>
      <c r="BT42" s="65">
        <v>0.99960000000000004</v>
      </c>
      <c r="BU42" s="65">
        <v>1</v>
      </c>
      <c r="BV42" s="65">
        <v>0.99970000000000003</v>
      </c>
      <c r="BW42" s="65">
        <v>0.99970000000000003</v>
      </c>
      <c r="BZ42" s="14">
        <v>0.72916666666666685</v>
      </c>
      <c r="CA42" s="67">
        <f t="shared" si="25"/>
        <v>1.071217681918196</v>
      </c>
      <c r="CB42" s="67">
        <f t="shared" si="26"/>
        <v>0.81667764441842305</v>
      </c>
      <c r="CC42" s="67">
        <f t="shared" si="27"/>
        <v>0.96446852340707112</v>
      </c>
      <c r="CD42" s="67">
        <f t="shared" si="28"/>
        <v>0.78596230158730152</v>
      </c>
      <c r="CE42" s="67">
        <f t="shared" si="29"/>
        <v>0.65676468028541268</v>
      </c>
      <c r="CF42" s="67">
        <f t="shared" si="30"/>
        <v>1.1238404263220441</v>
      </c>
      <c r="CG42" s="67">
        <f t="shared" si="31"/>
        <v>0.8116858673267886</v>
      </c>
      <c r="CQ42" s="15">
        <v>0.70833333333333348</v>
      </c>
      <c r="CR42" s="10">
        <f>'linear calc'!AW39*(1-'linear calc'!V39)</f>
        <v>9.1</v>
      </c>
      <c r="CS42" s="10">
        <f>'linear calc'!AX39*(1-'linear calc'!W39)</f>
        <v>11.2</v>
      </c>
      <c r="CT42" s="10">
        <f>'linear calc'!AY39*(1-'linear calc'!X39)</f>
        <v>9.1</v>
      </c>
      <c r="CU42" s="10">
        <f>'linear calc'!AZ39*(1-'linear calc'!Y39)</f>
        <v>10.5</v>
      </c>
      <c r="CV42" s="10">
        <f>'linear calc'!BA39*(1-'linear calc'!Z39)</f>
        <v>9.1</v>
      </c>
      <c r="CW42" s="10">
        <f>'linear calc'!BB39*(1-'linear calc'!AA39)</f>
        <v>8.3999999999999986</v>
      </c>
      <c r="CX42" s="10">
        <f>'linear calc'!BC39*(1-'linear calc'!AB39)</f>
        <v>11.2</v>
      </c>
    </row>
    <row r="43" spans="4:102" x14ac:dyDescent="0.3">
      <c r="D43" s="15">
        <v>0.75000000000000022</v>
      </c>
      <c r="E43" s="7">
        <v>97.25</v>
      </c>
      <c r="F43" s="7">
        <v>97.25</v>
      </c>
      <c r="G43" s="7">
        <v>98.5</v>
      </c>
      <c r="H43" s="7">
        <v>96.75</v>
      </c>
      <c r="I43" s="7">
        <v>82.442708333333329</v>
      </c>
      <c r="J43" s="7">
        <v>93.3125</v>
      </c>
      <c r="K43" s="7">
        <v>85.75</v>
      </c>
      <c r="M43" s="15">
        <v>0.75000000000000022</v>
      </c>
      <c r="N43" s="7">
        <v>329.16385542168672</v>
      </c>
      <c r="O43" s="7">
        <v>318.99457994579944</v>
      </c>
      <c r="P43" s="7">
        <v>322.08466819221968</v>
      </c>
      <c r="Q43" s="7">
        <v>321.68144044321332</v>
      </c>
      <c r="R43" s="7">
        <v>312.7842105263158</v>
      </c>
      <c r="S43" s="7">
        <v>324.64356435643566</v>
      </c>
      <c r="T43" s="7">
        <v>333.53571428571428</v>
      </c>
      <c r="V43" s="15">
        <v>0.75000000000000022</v>
      </c>
      <c r="W43" s="8">
        <v>0.3</v>
      </c>
      <c r="X43" s="8">
        <v>0.3</v>
      </c>
      <c r="Y43" s="8">
        <v>0.3</v>
      </c>
      <c r="Z43" s="8">
        <v>0.3</v>
      </c>
      <c r="AA43" s="8">
        <v>0.3</v>
      </c>
      <c r="AB43" s="8">
        <v>0.3</v>
      </c>
      <c r="AC43" s="8">
        <v>0.3</v>
      </c>
      <c r="AE43" s="15">
        <v>0.75000000000000022</v>
      </c>
      <c r="AF43" s="7">
        <f t="shared" si="4"/>
        <v>15.491281910452493</v>
      </c>
      <c r="AG43" s="7">
        <f t="shared" si="5"/>
        <v>15.01269013730594</v>
      </c>
      <c r="AH43" s="7">
        <f t="shared" si="6"/>
        <v>15.352951905213724</v>
      </c>
      <c r="AI43" s="7">
        <f t="shared" si="7"/>
        <v>15.06130437615219</v>
      </c>
      <c r="AJ43" s="7">
        <f t="shared" si="8"/>
        <v>12.479083158968729</v>
      </c>
      <c r="AK43" s="7">
        <f t="shared" si="9"/>
        <v>14.65994125000479</v>
      </c>
      <c r="AL43" s="7">
        <f t="shared" si="10"/>
        <v>13.840828252032519</v>
      </c>
      <c r="AN43" s="15">
        <v>0.75000000000000022</v>
      </c>
      <c r="AO43" s="10">
        <v>13</v>
      </c>
      <c r="AP43" s="10">
        <v>16</v>
      </c>
      <c r="AQ43" s="10">
        <v>13</v>
      </c>
      <c r="AR43" s="10">
        <v>15</v>
      </c>
      <c r="AS43" s="10">
        <v>13</v>
      </c>
      <c r="AT43" s="10">
        <v>12</v>
      </c>
      <c r="AU43" s="10">
        <v>16</v>
      </c>
      <c r="AW43" s="15">
        <v>0.75000000000000022</v>
      </c>
      <c r="AX43" s="10">
        <f t="shared" si="11"/>
        <v>2.4912819104524928</v>
      </c>
      <c r="AY43" s="10">
        <f t="shared" si="12"/>
        <v>-0.98730986269405996</v>
      </c>
      <c r="AZ43" s="10">
        <f t="shared" si="13"/>
        <v>2.3529519052137235</v>
      </c>
      <c r="BA43" s="10">
        <f t="shared" si="14"/>
        <v>6.1304376152190088E-2</v>
      </c>
      <c r="BB43" s="10">
        <f t="shared" si="15"/>
        <v>-0.52091684103127101</v>
      </c>
      <c r="BC43" s="10">
        <f t="shared" si="16"/>
        <v>2.6599412500047901</v>
      </c>
      <c r="BD43" s="10">
        <f t="shared" si="17"/>
        <v>-2.1591717479674806</v>
      </c>
      <c r="BF43" s="15">
        <v>0.75000000000000022</v>
      </c>
      <c r="BG43" s="10">
        <f t="shared" si="18"/>
        <v>-2.4912819104524928</v>
      </c>
      <c r="BH43" s="10">
        <f t="shared" si="19"/>
        <v>0.98730986269405996</v>
      </c>
      <c r="BI43" s="10">
        <f t="shared" si="20"/>
        <v>-2.3529519052137235</v>
      </c>
      <c r="BJ43" s="10">
        <f t="shared" si="21"/>
        <v>-6.1304376152190088E-2</v>
      </c>
      <c r="BK43" s="10">
        <f t="shared" si="22"/>
        <v>0.52091684103127101</v>
      </c>
      <c r="BL43" s="10">
        <f t="shared" si="23"/>
        <v>-2.6599412500047901</v>
      </c>
      <c r="BM43" s="10">
        <f t="shared" si="24"/>
        <v>2.1591717479674806</v>
      </c>
      <c r="BO43" s="55"/>
      <c r="BP43" s="14">
        <v>0.75000000000000022</v>
      </c>
      <c r="BQ43" s="65">
        <v>0.99980000000000002</v>
      </c>
      <c r="BR43" s="65">
        <v>0.99990000000000001</v>
      </c>
      <c r="BS43" s="65">
        <v>0.99990000000000001</v>
      </c>
      <c r="BT43" s="65">
        <v>0.99990000000000001</v>
      </c>
      <c r="BU43" s="65">
        <v>1</v>
      </c>
      <c r="BV43" s="65">
        <v>0.99960000000000004</v>
      </c>
      <c r="BW43" s="65">
        <v>0.99960000000000004</v>
      </c>
      <c r="BZ43" s="14">
        <v>0.75000000000000022</v>
      </c>
      <c r="CA43" s="67">
        <f t="shared" si="25"/>
        <v>0.97714239742854192</v>
      </c>
      <c r="CB43" s="67">
        <f t="shared" si="26"/>
        <v>0.76940036953692958</v>
      </c>
      <c r="CC43" s="67">
        <f t="shared" si="27"/>
        <v>0.96841696632886565</v>
      </c>
      <c r="CD43" s="67">
        <f t="shared" si="28"/>
        <v>0.82335130589631977</v>
      </c>
      <c r="CE43" s="67">
        <f t="shared" si="29"/>
        <v>0.78714216848879681</v>
      </c>
      <c r="CF43" s="67">
        <f t="shared" si="30"/>
        <v>1.0017626520836609</v>
      </c>
      <c r="CG43" s="67">
        <f t="shared" si="31"/>
        <v>0.70934244791666667</v>
      </c>
      <c r="CQ43" s="15">
        <v>0.72916666666666685</v>
      </c>
      <c r="CR43" s="10">
        <f>'linear calc'!AW40*(1-'linear calc'!V40)</f>
        <v>9.1</v>
      </c>
      <c r="CS43" s="10">
        <f>'linear calc'!AX40*(1-'linear calc'!W40)</f>
        <v>11.2</v>
      </c>
      <c r="CT43" s="10">
        <f>'linear calc'!AY40*(1-'linear calc'!X40)</f>
        <v>9.1</v>
      </c>
      <c r="CU43" s="10">
        <f>'linear calc'!AZ40*(1-'linear calc'!Y40)</f>
        <v>10.5</v>
      </c>
      <c r="CV43" s="10">
        <f>'linear calc'!BA40*(1-'linear calc'!Z40)</f>
        <v>9.1</v>
      </c>
      <c r="CW43" s="10">
        <f>'linear calc'!BB40*(1-'linear calc'!AA40)</f>
        <v>8.3999999999999986</v>
      </c>
      <c r="CX43" s="10">
        <f>'linear calc'!BC40*(1-'linear calc'!AB40)</f>
        <v>11.2</v>
      </c>
    </row>
    <row r="44" spans="4:102" x14ac:dyDescent="0.3">
      <c r="D44" s="15">
        <v>0.77083333333333359</v>
      </c>
      <c r="E44" s="7">
        <v>98.5</v>
      </c>
      <c r="F44" s="7">
        <v>98.25</v>
      </c>
      <c r="G44" s="7">
        <v>96.25</v>
      </c>
      <c r="H44" s="7">
        <v>91</v>
      </c>
      <c r="I44" s="7">
        <v>74.947916666666671</v>
      </c>
      <c r="J44" s="7">
        <v>100.5625</v>
      </c>
      <c r="K44" s="7">
        <v>104.1875</v>
      </c>
      <c r="M44" s="15">
        <v>0.77083333333333359</v>
      </c>
      <c r="N44" s="7">
        <v>336.31658291457285</v>
      </c>
      <c r="O44" s="7">
        <v>323.0257731958763</v>
      </c>
      <c r="P44" s="7">
        <v>323.45913461538464</v>
      </c>
      <c r="Q44" s="7">
        <v>325.57451923076923</v>
      </c>
      <c r="R44" s="7">
        <v>331.37179487179486</v>
      </c>
      <c r="S44" s="7">
        <v>328.55927835051546</v>
      </c>
      <c r="T44" s="7">
        <v>328.83959899749374</v>
      </c>
      <c r="V44" s="15">
        <v>0.77083333333333359</v>
      </c>
      <c r="W44" s="8">
        <v>0.3</v>
      </c>
      <c r="X44" s="8">
        <v>0.3</v>
      </c>
      <c r="Y44" s="8">
        <v>0.3</v>
      </c>
      <c r="Z44" s="8">
        <v>0.3</v>
      </c>
      <c r="AA44" s="8">
        <v>0.3</v>
      </c>
      <c r="AB44" s="8">
        <v>0.3</v>
      </c>
      <c r="AC44" s="8">
        <v>0.3</v>
      </c>
      <c r="AE44" s="15">
        <v>0.77083333333333359</v>
      </c>
      <c r="AF44" s="7">
        <f t="shared" si="4"/>
        <v>16.031350859991012</v>
      </c>
      <c r="AG44" s="7">
        <f t="shared" si="5"/>
        <v>15.358731231366068</v>
      </c>
      <c r="AH44" s="7">
        <f t="shared" si="6"/>
        <v>15.066270667213885</v>
      </c>
      <c r="AI44" s="7">
        <f t="shared" si="7"/>
        <v>14.337631266937668</v>
      </c>
      <c r="AJ44" s="7">
        <f t="shared" si="8"/>
        <v>12.018789037812157</v>
      </c>
      <c r="AK44" s="7">
        <f t="shared" si="9"/>
        <v>15.989519177857002</v>
      </c>
      <c r="AL44" s="7">
        <f t="shared" si="10"/>
        <v>16.580030836503767</v>
      </c>
      <c r="AN44" s="15">
        <v>0.77083333333333359</v>
      </c>
      <c r="AO44" s="10">
        <v>13</v>
      </c>
      <c r="AP44" s="10">
        <v>16</v>
      </c>
      <c r="AQ44" s="10">
        <v>13</v>
      </c>
      <c r="AR44" s="10">
        <v>15</v>
      </c>
      <c r="AS44" s="10">
        <v>13</v>
      </c>
      <c r="AT44" s="10">
        <v>12</v>
      </c>
      <c r="AU44" s="10">
        <v>16</v>
      </c>
      <c r="AW44" s="15">
        <v>0.77083333333333359</v>
      </c>
      <c r="AX44" s="10">
        <f t="shared" si="11"/>
        <v>3.0313508599910115</v>
      </c>
      <c r="AY44" s="10">
        <f t="shared" si="12"/>
        <v>-0.64126876863393178</v>
      </c>
      <c r="AZ44" s="10">
        <f t="shared" si="13"/>
        <v>2.0662706672138853</v>
      </c>
      <c r="BA44" s="10">
        <f t="shared" si="14"/>
        <v>-0.66236873306233157</v>
      </c>
      <c r="BB44" s="10">
        <f t="shared" si="15"/>
        <v>-0.98121096218784309</v>
      </c>
      <c r="BC44" s="10">
        <f t="shared" si="16"/>
        <v>3.9895191778570016</v>
      </c>
      <c r="BD44" s="10">
        <f t="shared" si="17"/>
        <v>0.58003083650376652</v>
      </c>
      <c r="BF44" s="15">
        <v>0.77083333333333359</v>
      </c>
      <c r="BG44" s="10">
        <f t="shared" si="18"/>
        <v>-3.0313508599910115</v>
      </c>
      <c r="BH44" s="10">
        <f t="shared" si="19"/>
        <v>0.64126876863393178</v>
      </c>
      <c r="BI44" s="10">
        <f t="shared" si="20"/>
        <v>-2.0662706672138853</v>
      </c>
      <c r="BJ44" s="10">
        <f t="shared" si="21"/>
        <v>0.66236873306233157</v>
      </c>
      <c r="BK44" s="10">
        <f t="shared" si="22"/>
        <v>0.98121096218784309</v>
      </c>
      <c r="BL44" s="10">
        <f t="shared" si="23"/>
        <v>-3.9895191778570016</v>
      </c>
      <c r="BM44" s="10">
        <f t="shared" si="24"/>
        <v>-0.58003083650376652</v>
      </c>
      <c r="BO44" s="55"/>
      <c r="BP44" s="14">
        <v>0.77083333333333359</v>
      </c>
      <c r="BQ44" s="65">
        <v>0.99960000000000004</v>
      </c>
      <c r="BR44" s="65">
        <v>0.99990000000000001</v>
      </c>
      <c r="BS44" s="65">
        <v>1</v>
      </c>
      <c r="BT44" s="65">
        <v>1</v>
      </c>
      <c r="BU44" s="65">
        <v>0.99990000000000001</v>
      </c>
      <c r="BV44" s="65">
        <v>0.99990000000000001</v>
      </c>
      <c r="BW44" s="65">
        <v>1</v>
      </c>
      <c r="BZ44" s="14">
        <v>0.77083333333333359</v>
      </c>
      <c r="CA44" s="67">
        <f t="shared" si="25"/>
        <v>1.0112082850148176</v>
      </c>
      <c r="CB44" s="67">
        <f t="shared" si="26"/>
        <v>0.78713497560751111</v>
      </c>
      <c r="CC44" s="67">
        <f t="shared" si="27"/>
        <v>0.95033399593195278</v>
      </c>
      <c r="CD44" s="67">
        <f t="shared" si="28"/>
        <v>0.78379050925925919</v>
      </c>
      <c r="CE44" s="67">
        <f t="shared" si="29"/>
        <v>0.75810823161584384</v>
      </c>
      <c r="CF44" s="67">
        <f t="shared" si="30"/>
        <v>1.0926171438202288</v>
      </c>
      <c r="CG44" s="67">
        <f t="shared" si="31"/>
        <v>0.84972658037081794</v>
      </c>
      <c r="CQ44" s="15">
        <v>0.75000000000000022</v>
      </c>
      <c r="CR44" s="10">
        <f>'linear calc'!AW41*(1-'linear calc'!V41)</f>
        <v>9.1</v>
      </c>
      <c r="CS44" s="10">
        <f>'linear calc'!AX41*(1-'linear calc'!W41)</f>
        <v>11.2</v>
      </c>
      <c r="CT44" s="10">
        <f>'linear calc'!AY41*(1-'linear calc'!X41)</f>
        <v>9.1</v>
      </c>
      <c r="CU44" s="10">
        <f>'linear calc'!AZ41*(1-'linear calc'!Y41)</f>
        <v>10.5</v>
      </c>
      <c r="CV44" s="10">
        <f>'linear calc'!BA41*(1-'linear calc'!Z41)</f>
        <v>9.1</v>
      </c>
      <c r="CW44" s="10">
        <f>'linear calc'!BB41*(1-'linear calc'!AA41)</f>
        <v>8.3999999999999986</v>
      </c>
      <c r="CX44" s="10">
        <f>'linear calc'!BC41*(1-'linear calc'!AB41)</f>
        <v>11.2</v>
      </c>
    </row>
    <row r="45" spans="4:102" x14ac:dyDescent="0.3">
      <c r="D45" s="15">
        <v>0.79166666666666696</v>
      </c>
      <c r="E45" s="7">
        <v>105.75</v>
      </c>
      <c r="F45" s="7">
        <v>104.25</v>
      </c>
      <c r="G45" s="7">
        <v>113.75</v>
      </c>
      <c r="H45" s="7">
        <v>100.75</v>
      </c>
      <c r="I45" s="7">
        <v>86.453125</v>
      </c>
      <c r="J45" s="7">
        <v>100.4375</v>
      </c>
      <c r="K45" s="7">
        <v>100</v>
      </c>
      <c r="M45" s="15">
        <v>0.79166666666666696</v>
      </c>
      <c r="N45" s="7">
        <v>331.60824742268039</v>
      </c>
      <c r="O45" s="7">
        <v>324.9025641025641</v>
      </c>
      <c r="P45" s="7">
        <v>325.9591836734694</v>
      </c>
      <c r="Q45" s="7">
        <v>324.55324675324675</v>
      </c>
      <c r="R45" s="7">
        <v>314.20050761421322</v>
      </c>
      <c r="S45" s="7">
        <v>326.29931972789115</v>
      </c>
      <c r="T45" s="7">
        <v>330.44309927360774</v>
      </c>
      <c r="V45" s="15">
        <v>0.79166666666666696</v>
      </c>
      <c r="W45" s="8">
        <v>0.3</v>
      </c>
      <c r="X45" s="8">
        <v>0.3</v>
      </c>
      <c r="Y45" s="8">
        <v>0.3</v>
      </c>
      <c r="Z45" s="8">
        <v>0.3</v>
      </c>
      <c r="AA45" s="8">
        <v>0.3</v>
      </c>
      <c r="AB45" s="8">
        <v>0.3</v>
      </c>
      <c r="AC45" s="8">
        <v>0.3</v>
      </c>
      <c r="AE45" s="15">
        <v>0.79166666666666696</v>
      </c>
      <c r="AF45" s="7">
        <f t="shared" si="4"/>
        <v>16.97036980494989</v>
      </c>
      <c r="AG45" s="7">
        <f t="shared" si="5"/>
        <v>16.39135322671908</v>
      </c>
      <c r="AH45" s="7">
        <f t="shared" si="6"/>
        <v>17.943213870914221</v>
      </c>
      <c r="AI45" s="7">
        <f t="shared" si="7"/>
        <v>15.824012587296558</v>
      </c>
      <c r="AJ45" s="7">
        <f t="shared" si="8"/>
        <v>13.145381223303827</v>
      </c>
      <c r="AK45" s="7">
        <f t="shared" si="9"/>
        <v>15.859798647488416</v>
      </c>
      <c r="AL45" s="7">
        <f t="shared" si="10"/>
        <v>15.991245609446754</v>
      </c>
      <c r="AN45" s="15">
        <v>0.79166666666666696</v>
      </c>
      <c r="AO45" s="10">
        <v>13</v>
      </c>
      <c r="AP45" s="10">
        <v>16</v>
      </c>
      <c r="AQ45" s="10">
        <v>13</v>
      </c>
      <c r="AR45" s="10">
        <v>15</v>
      </c>
      <c r="AS45" s="10">
        <v>13</v>
      </c>
      <c r="AT45" s="10">
        <v>12</v>
      </c>
      <c r="AU45" s="10">
        <v>16</v>
      </c>
      <c r="AW45" s="15">
        <v>0.79166666666666696</v>
      </c>
      <c r="AX45" s="10">
        <f t="shared" si="11"/>
        <v>3.9703698049498897</v>
      </c>
      <c r="AY45" s="10">
        <f t="shared" si="12"/>
        <v>0.39135322671907957</v>
      </c>
      <c r="AZ45" s="10">
        <f t="shared" si="13"/>
        <v>4.9432138709142208</v>
      </c>
      <c r="BA45" s="10">
        <f t="shared" si="14"/>
        <v>0.8240125872965578</v>
      </c>
      <c r="BB45" s="10">
        <f t="shared" si="15"/>
        <v>0.14538122330382741</v>
      </c>
      <c r="BC45" s="10">
        <f t="shared" si="16"/>
        <v>3.8597986474884163</v>
      </c>
      <c r="BD45" s="10">
        <f t="shared" si="17"/>
        <v>-8.7543905532463384E-3</v>
      </c>
      <c r="BF45" s="15">
        <v>0.79166666666666696</v>
      </c>
      <c r="BG45" s="10">
        <f t="shared" si="18"/>
        <v>-3.9703698049498897</v>
      </c>
      <c r="BH45" s="10">
        <f t="shared" si="19"/>
        <v>-0.39135322671907957</v>
      </c>
      <c r="BI45" s="10">
        <f t="shared" si="20"/>
        <v>-4.9432138709142208</v>
      </c>
      <c r="BJ45" s="10">
        <f t="shared" si="21"/>
        <v>-0.8240125872965578</v>
      </c>
      <c r="BK45" s="10">
        <f t="shared" si="22"/>
        <v>-0.14538122330382741</v>
      </c>
      <c r="BL45" s="10">
        <f t="shared" si="23"/>
        <v>-3.8597986474884163</v>
      </c>
      <c r="BM45" s="10">
        <f t="shared" si="24"/>
        <v>8.7543905532463384E-3</v>
      </c>
      <c r="BO45" s="55"/>
      <c r="BP45" s="14">
        <v>0.79166666666666696</v>
      </c>
      <c r="BQ45" s="65">
        <v>0.99990000000000001</v>
      </c>
      <c r="BR45" s="65">
        <v>0.99990000000000001</v>
      </c>
      <c r="BS45" s="65">
        <v>1</v>
      </c>
      <c r="BT45" s="65">
        <v>1</v>
      </c>
      <c r="BU45" s="65">
        <v>1</v>
      </c>
      <c r="BV45" s="65">
        <v>0.99990000000000001</v>
      </c>
      <c r="BW45" s="65">
        <v>1</v>
      </c>
      <c r="BZ45" s="14">
        <v>0.79166666666666696</v>
      </c>
      <c r="CA45" s="67">
        <f t="shared" si="25"/>
        <v>1.0704387107737625</v>
      </c>
      <c r="CB45" s="67">
        <f t="shared" si="26"/>
        <v>0.84005685286935294</v>
      </c>
      <c r="CC45" s="67">
        <f t="shared" si="27"/>
        <v>1.1318027210884354</v>
      </c>
      <c r="CD45" s="67">
        <f t="shared" si="28"/>
        <v>0.86504602143887843</v>
      </c>
      <c r="CE45" s="67">
        <f t="shared" si="29"/>
        <v>0.82917020023916455</v>
      </c>
      <c r="CF45" s="67">
        <f t="shared" si="30"/>
        <v>1.0837529075783754</v>
      </c>
      <c r="CG45" s="67">
        <f t="shared" si="31"/>
        <v>0.81955133748414621</v>
      </c>
      <c r="CQ45" s="15">
        <v>0.77083333333333359</v>
      </c>
      <c r="CR45" s="10">
        <f>'linear calc'!AW42*(1-'linear calc'!V42)</f>
        <v>9.1</v>
      </c>
      <c r="CS45" s="10">
        <f>'linear calc'!AX42*(1-'linear calc'!W42)</f>
        <v>11.2</v>
      </c>
      <c r="CT45" s="10">
        <f>'linear calc'!AY42*(1-'linear calc'!X42)</f>
        <v>9.1</v>
      </c>
      <c r="CU45" s="10">
        <f>'linear calc'!AZ42*(1-'linear calc'!Y42)</f>
        <v>10.5</v>
      </c>
      <c r="CV45" s="10">
        <f>'linear calc'!BA42*(1-'linear calc'!Z42)</f>
        <v>9.1</v>
      </c>
      <c r="CW45" s="10">
        <f>'linear calc'!BB42*(1-'linear calc'!AA42)</f>
        <v>8.3999999999999986</v>
      </c>
      <c r="CX45" s="10">
        <f>'linear calc'!BC42*(1-'linear calc'!AB42)</f>
        <v>11.2</v>
      </c>
    </row>
    <row r="46" spans="4:102" x14ac:dyDescent="0.3">
      <c r="D46" s="15">
        <v>0.81250000000000033</v>
      </c>
      <c r="E46" s="7">
        <v>94</v>
      </c>
      <c r="F46" s="7">
        <v>91.75</v>
      </c>
      <c r="G46" s="7">
        <v>93.5</v>
      </c>
      <c r="H46" s="7">
        <v>98</v>
      </c>
      <c r="I46" s="7">
        <v>71.208333333333329</v>
      </c>
      <c r="J46" s="7">
        <v>96.25</v>
      </c>
      <c r="K46" s="7">
        <v>99.1875</v>
      </c>
      <c r="M46" s="15">
        <v>0.81250000000000033</v>
      </c>
      <c r="N46" s="7">
        <v>319.84023668639054</v>
      </c>
      <c r="O46" s="7">
        <v>334.51106194690266</v>
      </c>
      <c r="P46" s="7">
        <v>313.91489361702128</v>
      </c>
      <c r="Q46" s="7">
        <v>319.35195530726259</v>
      </c>
      <c r="R46" s="7">
        <v>325.30666666666667</v>
      </c>
      <c r="S46" s="7">
        <v>333.41558441558442</v>
      </c>
      <c r="T46" s="7">
        <v>325.06233062330625</v>
      </c>
      <c r="V46" s="15">
        <v>0.81250000000000033</v>
      </c>
      <c r="W46" s="8">
        <v>0.3</v>
      </c>
      <c r="X46" s="8">
        <v>0.3</v>
      </c>
      <c r="Y46" s="8">
        <v>0.3</v>
      </c>
      <c r="Z46" s="8">
        <v>0.3</v>
      </c>
      <c r="AA46" s="8">
        <v>0.3</v>
      </c>
      <c r="AB46" s="8">
        <v>0.3</v>
      </c>
      <c r="AC46" s="8">
        <v>0.3</v>
      </c>
      <c r="AE46" s="15">
        <v>0.81250000000000033</v>
      </c>
      <c r="AF46" s="7">
        <f t="shared" si="4"/>
        <v>14.549449404046028</v>
      </c>
      <c r="AG46" s="7">
        <f t="shared" si="5"/>
        <v>14.852589011628105</v>
      </c>
      <c r="AH46" s="7">
        <f t="shared" si="6"/>
        <v>14.203950132206488</v>
      </c>
      <c r="AI46" s="7">
        <f t="shared" si="7"/>
        <v>15.145417934626273</v>
      </c>
      <c r="AJ46" s="7">
        <f t="shared" si="8"/>
        <v>11.210097539467457</v>
      </c>
      <c r="AK46" s="7">
        <f t="shared" si="9"/>
        <v>15.530028068137824</v>
      </c>
      <c r="AL46" s="7">
        <f t="shared" si="10"/>
        <v>15.603039062475409</v>
      </c>
      <c r="AN46" s="15">
        <v>0.81250000000000033</v>
      </c>
      <c r="AO46" s="10">
        <v>13</v>
      </c>
      <c r="AP46" s="10">
        <v>16</v>
      </c>
      <c r="AQ46" s="10">
        <v>13</v>
      </c>
      <c r="AR46" s="10">
        <v>15</v>
      </c>
      <c r="AS46" s="10">
        <v>13</v>
      </c>
      <c r="AT46" s="10">
        <v>12</v>
      </c>
      <c r="AU46" s="10">
        <v>16</v>
      </c>
      <c r="AW46" s="15">
        <v>0.81250000000000033</v>
      </c>
      <c r="AX46" s="10">
        <f t="shared" si="11"/>
        <v>1.5494494040460278</v>
      </c>
      <c r="AY46" s="10">
        <f t="shared" si="12"/>
        <v>-1.1474109883718953</v>
      </c>
      <c r="AZ46" s="10">
        <f t="shared" si="13"/>
        <v>1.2039501322064883</v>
      </c>
      <c r="BA46" s="10">
        <f t="shared" si="14"/>
        <v>0.14541793462627339</v>
      </c>
      <c r="BB46" s="10">
        <f t="shared" si="15"/>
        <v>-1.7899024605325433</v>
      </c>
      <c r="BC46" s="10">
        <f t="shared" si="16"/>
        <v>3.530028068137824</v>
      </c>
      <c r="BD46" s="10">
        <f t="shared" si="17"/>
        <v>-0.39696093752459127</v>
      </c>
      <c r="BF46" s="15">
        <v>0.81250000000000033</v>
      </c>
      <c r="BG46" s="10">
        <f t="shared" si="18"/>
        <v>-1.5494494040460278</v>
      </c>
      <c r="BH46" s="10">
        <f t="shared" si="19"/>
        <v>1.1474109883718953</v>
      </c>
      <c r="BI46" s="10">
        <f t="shared" si="20"/>
        <v>-1.2039501322064883</v>
      </c>
      <c r="BJ46" s="10">
        <f t="shared" si="21"/>
        <v>-0.14541793462627339</v>
      </c>
      <c r="BK46" s="10">
        <f t="shared" si="22"/>
        <v>1.7899024605325433</v>
      </c>
      <c r="BL46" s="10">
        <f t="shared" si="23"/>
        <v>-3.530028068137824</v>
      </c>
      <c r="BM46" s="10">
        <f t="shared" si="24"/>
        <v>0.39696093752459127</v>
      </c>
      <c r="BO46" s="55"/>
      <c r="BP46" s="14">
        <v>0.81250000000000033</v>
      </c>
      <c r="BQ46" s="65">
        <v>0.99980000000000002</v>
      </c>
      <c r="BR46" s="65">
        <v>0.99970000000000003</v>
      </c>
      <c r="BS46" s="65">
        <v>1</v>
      </c>
      <c r="BT46" s="65">
        <v>1</v>
      </c>
      <c r="BU46" s="65">
        <v>1</v>
      </c>
      <c r="BV46" s="65">
        <v>0.99980000000000002</v>
      </c>
      <c r="BW46" s="65">
        <v>1</v>
      </c>
      <c r="BZ46" s="14">
        <v>0.81250000000000033</v>
      </c>
      <c r="CA46" s="67">
        <f t="shared" si="25"/>
        <v>0.91773450087059572</v>
      </c>
      <c r="CB46" s="67">
        <f t="shared" si="26"/>
        <v>0.76119518684594045</v>
      </c>
      <c r="CC46" s="67">
        <f t="shared" si="27"/>
        <v>0.89594146987764001</v>
      </c>
      <c r="CD46" s="67">
        <f t="shared" si="28"/>
        <v>0.82794951375956971</v>
      </c>
      <c r="CE46" s="67">
        <f t="shared" si="29"/>
        <v>0.70709846018179345</v>
      </c>
      <c r="CF46" s="67">
        <f t="shared" si="30"/>
        <v>1.0612185846560847</v>
      </c>
      <c r="CG46" s="67">
        <f t="shared" si="31"/>
        <v>0.79965575195186489</v>
      </c>
      <c r="CQ46" s="15">
        <v>0.79166666666666696</v>
      </c>
      <c r="CR46" s="10">
        <f>'linear calc'!AW43*(1-'linear calc'!V43)</f>
        <v>9.1</v>
      </c>
      <c r="CS46" s="10">
        <f>'linear calc'!AX43*(1-'linear calc'!W43)</f>
        <v>11.2</v>
      </c>
      <c r="CT46" s="10">
        <f>'linear calc'!AY43*(1-'linear calc'!X43)</f>
        <v>9.1</v>
      </c>
      <c r="CU46" s="10">
        <f>'linear calc'!AZ43*(1-'linear calc'!Y43)</f>
        <v>10.5</v>
      </c>
      <c r="CV46" s="10">
        <f>'linear calc'!BA43*(1-'linear calc'!Z43)</f>
        <v>9.1</v>
      </c>
      <c r="CW46" s="10">
        <f>'linear calc'!BB43*(1-'linear calc'!AA43)</f>
        <v>8.3999999999999986</v>
      </c>
      <c r="CX46" s="10">
        <f>'linear calc'!BC43*(1-'linear calc'!AB43)</f>
        <v>11.2</v>
      </c>
    </row>
    <row r="47" spans="4:102" x14ac:dyDescent="0.3">
      <c r="D47" s="15">
        <v>0.8333333333333337</v>
      </c>
      <c r="E47" s="7">
        <v>98</v>
      </c>
      <c r="F47" s="7">
        <v>97</v>
      </c>
      <c r="G47" s="7">
        <v>93.5</v>
      </c>
      <c r="H47" s="7">
        <v>112.75</v>
      </c>
      <c r="I47" s="7">
        <v>77.713541666666671</v>
      </c>
      <c r="J47" s="7">
        <v>76.0625</v>
      </c>
      <c r="K47" s="7">
        <v>87.8125</v>
      </c>
      <c r="M47" s="15">
        <v>0.8333333333333337</v>
      </c>
      <c r="N47" s="7">
        <v>325.59090909090907</v>
      </c>
      <c r="O47" s="7">
        <v>331.16331658291455</v>
      </c>
      <c r="P47" s="7">
        <v>325.2344139650873</v>
      </c>
      <c r="Q47" s="7">
        <v>341.88695652173914</v>
      </c>
      <c r="R47" s="7">
        <v>314.06153846153848</v>
      </c>
      <c r="S47" s="7">
        <v>329.71428571428572</v>
      </c>
      <c r="T47" s="7">
        <v>318.2357512953368</v>
      </c>
      <c r="V47" s="15">
        <v>0.8333333333333337</v>
      </c>
      <c r="W47" s="8">
        <v>0.3</v>
      </c>
      <c r="X47" s="8">
        <v>0.3</v>
      </c>
      <c r="Y47" s="8">
        <v>0.3</v>
      </c>
      <c r="Z47" s="8">
        <v>0.3</v>
      </c>
      <c r="AA47" s="8">
        <v>0.3</v>
      </c>
      <c r="AB47" s="8">
        <v>0.3</v>
      </c>
      <c r="AC47" s="8">
        <v>0.3</v>
      </c>
      <c r="AE47" s="15">
        <v>0.8333333333333337</v>
      </c>
      <c r="AF47" s="7">
        <f t="shared" si="4"/>
        <v>15.441303276669128</v>
      </c>
      <c r="AG47" s="7">
        <f t="shared" si="5"/>
        <v>15.545316351404718</v>
      </c>
      <c r="AH47" s="7">
        <f t="shared" si="6"/>
        <v>14.71613322964366</v>
      </c>
      <c r="AI47" s="7">
        <f t="shared" si="7"/>
        <v>18.654546238785368</v>
      </c>
      <c r="AJ47" s="7">
        <f t="shared" si="8"/>
        <v>11.811282643790266</v>
      </c>
      <c r="AK47" s="7">
        <f t="shared" si="9"/>
        <v>12.136514158508932</v>
      </c>
      <c r="AL47" s="7">
        <f t="shared" si="10"/>
        <v>13.52355638338258</v>
      </c>
      <c r="AN47" s="15">
        <v>0.8333333333333337</v>
      </c>
      <c r="AO47" s="10">
        <v>13</v>
      </c>
      <c r="AP47" s="10">
        <v>16</v>
      </c>
      <c r="AQ47" s="10">
        <v>13</v>
      </c>
      <c r="AR47" s="10">
        <v>15</v>
      </c>
      <c r="AS47" s="10">
        <v>13</v>
      </c>
      <c r="AT47" s="10">
        <v>12</v>
      </c>
      <c r="AU47" s="10">
        <v>16</v>
      </c>
      <c r="AW47" s="15">
        <v>0.8333333333333337</v>
      </c>
      <c r="AX47" s="10">
        <f t="shared" si="11"/>
        <v>2.4413032766691281</v>
      </c>
      <c r="AY47" s="10">
        <f t="shared" si="12"/>
        <v>-0.45468364859528165</v>
      </c>
      <c r="AZ47" s="10">
        <f t="shared" si="13"/>
        <v>1.7161332296436598</v>
      </c>
      <c r="BA47" s="10">
        <f t="shared" si="14"/>
        <v>3.6545462387853682</v>
      </c>
      <c r="BB47" s="10">
        <f t="shared" si="15"/>
        <v>-1.1887173562097342</v>
      </c>
      <c r="BC47" s="10">
        <f t="shared" si="16"/>
        <v>0.13651415850893223</v>
      </c>
      <c r="BD47" s="10">
        <f t="shared" si="17"/>
        <v>-2.47644361661742</v>
      </c>
      <c r="BF47" s="15">
        <v>0.8333333333333337</v>
      </c>
      <c r="BG47" s="10">
        <f t="shared" si="18"/>
        <v>-2.4413032766691281</v>
      </c>
      <c r="BH47" s="10">
        <f t="shared" si="19"/>
        <v>0.45468364859528165</v>
      </c>
      <c r="BI47" s="10">
        <f t="shared" si="20"/>
        <v>-1.7161332296436598</v>
      </c>
      <c r="BJ47" s="10">
        <f t="shared" si="21"/>
        <v>-3.6545462387853682</v>
      </c>
      <c r="BK47" s="10">
        <f t="shared" si="22"/>
        <v>1.1887173562097342</v>
      </c>
      <c r="BL47" s="10">
        <f t="shared" si="23"/>
        <v>-0.13651415850893223</v>
      </c>
      <c r="BM47" s="10">
        <f t="shared" si="24"/>
        <v>2.47644361661742</v>
      </c>
      <c r="BO47" s="55"/>
      <c r="BP47" s="14">
        <v>0.8333333333333337</v>
      </c>
      <c r="BQ47" s="65">
        <v>1</v>
      </c>
      <c r="BR47" s="65">
        <v>0.99980000000000002</v>
      </c>
      <c r="BS47" s="65">
        <v>1</v>
      </c>
      <c r="BT47" s="65">
        <v>0.99980000000000002</v>
      </c>
      <c r="BU47" s="65">
        <v>0.99990000000000001</v>
      </c>
      <c r="BV47" s="65">
        <v>0.98280000000000001</v>
      </c>
      <c r="BW47" s="65">
        <v>0.99419999999999997</v>
      </c>
      <c r="BZ47" s="14">
        <v>0.8333333333333337</v>
      </c>
      <c r="CA47" s="67">
        <f t="shared" si="25"/>
        <v>0.97398989898989896</v>
      </c>
      <c r="CB47" s="67">
        <f t="shared" si="26"/>
        <v>0.79669746300949196</v>
      </c>
      <c r="CC47" s="67">
        <f t="shared" si="27"/>
        <v>0.92824840371598483</v>
      </c>
      <c r="CD47" s="67">
        <f t="shared" si="28"/>
        <v>1.0197818610536</v>
      </c>
      <c r="CE47" s="67">
        <f t="shared" si="29"/>
        <v>0.7450193667621553</v>
      </c>
      <c r="CF47" s="67">
        <f t="shared" si="30"/>
        <v>0.82932846749811062</v>
      </c>
      <c r="CG47" s="67">
        <f t="shared" si="31"/>
        <v>0.69308226464835732</v>
      </c>
      <c r="CQ47" s="15">
        <v>0.81250000000000033</v>
      </c>
      <c r="CR47" s="10">
        <f>'linear calc'!AW44*(1-'linear calc'!V44)</f>
        <v>9.1</v>
      </c>
      <c r="CS47" s="10">
        <f>'linear calc'!AX44*(1-'linear calc'!W44)</f>
        <v>11.2</v>
      </c>
      <c r="CT47" s="10">
        <f>'linear calc'!AY44*(1-'linear calc'!X44)</f>
        <v>9.1</v>
      </c>
      <c r="CU47" s="10">
        <f>'linear calc'!AZ44*(1-'linear calc'!Y44)</f>
        <v>10.5</v>
      </c>
      <c r="CV47" s="10">
        <f>'linear calc'!BA44*(1-'linear calc'!Z44)</f>
        <v>9.1</v>
      </c>
      <c r="CW47" s="10">
        <f>'linear calc'!BB44*(1-'linear calc'!AA44)</f>
        <v>8.3999999999999986</v>
      </c>
      <c r="CX47" s="10">
        <f>'linear calc'!BC44*(1-'linear calc'!AB44)</f>
        <v>11.2</v>
      </c>
    </row>
    <row r="48" spans="4:102" x14ac:dyDescent="0.3">
      <c r="D48" s="15">
        <v>0.85416666666666707</v>
      </c>
      <c r="E48" s="7">
        <v>24</v>
      </c>
      <c r="F48" s="7">
        <v>22.25</v>
      </c>
      <c r="G48" s="7">
        <v>24</v>
      </c>
      <c r="H48" s="7">
        <v>23.25</v>
      </c>
      <c r="I48" s="7">
        <v>18.71875</v>
      </c>
      <c r="J48" s="7">
        <v>26.0625</v>
      </c>
      <c r="K48" s="7">
        <v>26.1875</v>
      </c>
      <c r="M48" s="15">
        <v>0.85416666666666707</v>
      </c>
      <c r="N48" s="7">
        <v>314.10309278350513</v>
      </c>
      <c r="O48" s="7">
        <v>319.23529411764707</v>
      </c>
      <c r="P48" s="7">
        <v>329.40625</v>
      </c>
      <c r="Q48" s="7">
        <v>332.61</v>
      </c>
      <c r="R48" s="7">
        <v>337.40366972477062</v>
      </c>
      <c r="S48" s="7">
        <v>324.32608695652175</v>
      </c>
      <c r="T48" s="7">
        <v>314.10091743119267</v>
      </c>
      <c r="V48" s="15">
        <v>0.85416666666666707</v>
      </c>
      <c r="W48" s="8">
        <v>0.3</v>
      </c>
      <c r="X48" s="8">
        <v>0.3</v>
      </c>
      <c r="Y48" s="8">
        <v>0.3</v>
      </c>
      <c r="Z48" s="8">
        <v>0.3</v>
      </c>
      <c r="AA48" s="8">
        <v>0.3</v>
      </c>
      <c r="AB48" s="8">
        <v>0.3</v>
      </c>
      <c r="AC48" s="8">
        <v>0.3</v>
      </c>
      <c r="AE48" s="15">
        <v>0.85416666666666707</v>
      </c>
      <c r="AF48" s="7">
        <f t="shared" si="4"/>
        <v>3.6481195445238686</v>
      </c>
      <c r="AG48" s="7">
        <f t="shared" si="5"/>
        <v>3.437371899979504</v>
      </c>
      <c r="AH48" s="7">
        <f t="shared" si="6"/>
        <v>3.8258565621370497</v>
      </c>
      <c r="AI48" s="7">
        <f t="shared" si="7"/>
        <v>3.7423453832752611</v>
      </c>
      <c r="AJ48" s="7">
        <f t="shared" si="8"/>
        <v>3.0564145096111837</v>
      </c>
      <c r="AK48" s="7">
        <f t="shared" si="9"/>
        <v>4.0905674803060146</v>
      </c>
      <c r="AL48" s="7">
        <f t="shared" si="10"/>
        <v>3.9806028722557869</v>
      </c>
      <c r="AN48" s="15">
        <v>0.85416666666666707</v>
      </c>
      <c r="AO48" s="10">
        <v>13</v>
      </c>
      <c r="AP48" s="10">
        <v>16</v>
      </c>
      <c r="AQ48" s="10">
        <v>13</v>
      </c>
      <c r="AR48" s="10">
        <v>15</v>
      </c>
      <c r="AS48" s="10">
        <v>13</v>
      </c>
      <c r="AT48" s="10">
        <v>12</v>
      </c>
      <c r="AU48" s="10">
        <v>16</v>
      </c>
      <c r="AW48" s="15">
        <v>0.85416666666666707</v>
      </c>
      <c r="AX48" s="10">
        <f t="shared" si="11"/>
        <v>-9.351880455476131</v>
      </c>
      <c r="AY48" s="10">
        <f t="shared" si="12"/>
        <v>-12.562628100020497</v>
      </c>
      <c r="AZ48" s="10">
        <f t="shared" si="13"/>
        <v>-9.1741434378629503</v>
      </c>
      <c r="BA48" s="10">
        <f t="shared" si="14"/>
        <v>-11.257654616724739</v>
      </c>
      <c r="BB48" s="10">
        <f t="shared" si="15"/>
        <v>-9.9435854903888163</v>
      </c>
      <c r="BC48" s="10">
        <f t="shared" si="16"/>
        <v>-7.9094325196939854</v>
      </c>
      <c r="BD48" s="10">
        <f t="shared" si="17"/>
        <v>-12.019397127744213</v>
      </c>
      <c r="BF48" s="15">
        <v>0.85416666666666707</v>
      </c>
      <c r="BG48" s="10">
        <f t="shared" si="18"/>
        <v>9.351880455476131</v>
      </c>
      <c r="BH48" s="10">
        <f t="shared" si="19"/>
        <v>12.562628100020497</v>
      </c>
      <c r="BI48" s="10">
        <f t="shared" si="20"/>
        <v>9.1741434378629503</v>
      </c>
      <c r="BJ48" s="10">
        <f t="shared" si="21"/>
        <v>11.257654616724739</v>
      </c>
      <c r="BK48" s="10">
        <f t="shared" si="22"/>
        <v>9.9435854903888163</v>
      </c>
      <c r="BL48" s="10">
        <f t="shared" si="23"/>
        <v>7.9094325196939854</v>
      </c>
      <c r="BM48" s="10">
        <f t="shared" si="24"/>
        <v>12.019397127744213</v>
      </c>
      <c r="BO48" s="55"/>
      <c r="BP48" s="14">
        <v>0.85416666666666707</v>
      </c>
      <c r="BQ48" s="65">
        <v>0</v>
      </c>
      <c r="BR48" s="65">
        <v>0</v>
      </c>
      <c r="BS48" s="65">
        <v>0</v>
      </c>
      <c r="BT48" s="65">
        <v>0.99990000000000001</v>
      </c>
      <c r="BU48" s="65">
        <v>0</v>
      </c>
      <c r="BV48" s="65">
        <v>0.99980000000000002</v>
      </c>
      <c r="BW48" s="65">
        <v>0.99980000000000002</v>
      </c>
      <c r="BZ48" s="14">
        <v>0.85416666666666707</v>
      </c>
      <c r="CA48" s="67">
        <f t="shared" si="25"/>
        <v>0.23011215588535178</v>
      </c>
      <c r="CB48" s="67">
        <f t="shared" si="26"/>
        <v>0.1761653098739496</v>
      </c>
      <c r="CC48" s="67">
        <f t="shared" si="27"/>
        <v>0.24132326007326005</v>
      </c>
      <c r="CD48" s="67">
        <f t="shared" si="28"/>
        <v>0.20458154761904762</v>
      </c>
      <c r="CE48" s="67">
        <f t="shared" si="29"/>
        <v>0.19278922291393624</v>
      </c>
      <c r="CF48" s="67">
        <f t="shared" si="30"/>
        <v>0.27952211115424436</v>
      </c>
      <c r="CG48" s="67">
        <f t="shared" si="31"/>
        <v>0.20400589720310908</v>
      </c>
      <c r="CQ48" s="15">
        <v>0.8333333333333337</v>
      </c>
      <c r="CR48" s="10">
        <f>'linear calc'!AW45*(1-'linear calc'!V45)</f>
        <v>9.1</v>
      </c>
      <c r="CS48" s="10">
        <f>'linear calc'!AX45*(1-'linear calc'!W45)</f>
        <v>11.2</v>
      </c>
      <c r="CT48" s="10">
        <f>'linear calc'!AY45*(1-'linear calc'!X45)</f>
        <v>9.1</v>
      </c>
      <c r="CU48" s="10">
        <f>'linear calc'!AZ45*(1-'linear calc'!Y45)</f>
        <v>10.5</v>
      </c>
      <c r="CV48" s="10">
        <f>'linear calc'!BA45*(1-'linear calc'!Z45)</f>
        <v>9.1</v>
      </c>
      <c r="CW48" s="10">
        <f>'linear calc'!BB45*(1-'linear calc'!AA45)</f>
        <v>8.3999999999999986</v>
      </c>
      <c r="CX48" s="10">
        <f>'linear calc'!BC45*(1-'linear calc'!AB45)</f>
        <v>11.2</v>
      </c>
    </row>
    <row r="49" spans="1:141" x14ac:dyDescent="0.3">
      <c r="D49" s="15">
        <v>0.87500000000000044</v>
      </c>
      <c r="E49" s="7">
        <v>24.25</v>
      </c>
      <c r="F49" s="7">
        <v>24.25</v>
      </c>
      <c r="G49" s="7">
        <v>23</v>
      </c>
      <c r="H49" s="7">
        <v>24.75</v>
      </c>
      <c r="I49" s="7">
        <v>19.973958333333332</v>
      </c>
      <c r="J49" s="7">
        <v>24.25</v>
      </c>
      <c r="K49" s="7">
        <v>26.5625</v>
      </c>
      <c r="M49" s="15">
        <v>0.87500000000000044</v>
      </c>
      <c r="N49" s="7">
        <v>325.42574257425741</v>
      </c>
      <c r="O49" s="7">
        <v>341.19354838709677</v>
      </c>
      <c r="P49" s="7">
        <v>319.55555555555554</v>
      </c>
      <c r="Q49" s="7">
        <v>324.85046728971963</v>
      </c>
      <c r="R49" s="7">
        <v>323.28712871287127</v>
      </c>
      <c r="S49" s="7">
        <v>327.45263157894738</v>
      </c>
      <c r="T49" s="7">
        <v>329.02857142857141</v>
      </c>
      <c r="V49" s="15">
        <v>0.87500000000000044</v>
      </c>
      <c r="W49" s="8">
        <v>0.3</v>
      </c>
      <c r="X49" s="8">
        <v>0.3</v>
      </c>
      <c r="Y49" s="8">
        <v>0.3</v>
      </c>
      <c r="Z49" s="8">
        <v>0.3</v>
      </c>
      <c r="AA49" s="8">
        <v>0.3</v>
      </c>
      <c r="AB49" s="8">
        <v>0.3</v>
      </c>
      <c r="AC49" s="8">
        <v>0.3</v>
      </c>
      <c r="AE49" s="15">
        <v>0.87500000000000044</v>
      </c>
      <c r="AF49" s="7">
        <f t="shared" si="4"/>
        <v>3.8189964466829953</v>
      </c>
      <c r="AG49" s="7">
        <f t="shared" si="5"/>
        <v>4.0040377218288308</v>
      </c>
      <c r="AH49" s="7">
        <f t="shared" si="6"/>
        <v>3.5568030283477436</v>
      </c>
      <c r="AI49" s="7">
        <f t="shared" si="7"/>
        <v>3.8908483669282616</v>
      </c>
      <c r="AJ49" s="7">
        <f t="shared" si="8"/>
        <v>3.1249146528328784</v>
      </c>
      <c r="AK49" s="7">
        <f t="shared" si="9"/>
        <v>3.8427827699329624</v>
      </c>
      <c r="AL49" s="7">
        <f t="shared" si="10"/>
        <v>4.2294915933853208</v>
      </c>
      <c r="AN49" s="15">
        <v>0.87500000000000044</v>
      </c>
      <c r="AO49" s="10">
        <v>13</v>
      </c>
      <c r="AP49" s="10">
        <v>16</v>
      </c>
      <c r="AQ49" s="10">
        <v>13</v>
      </c>
      <c r="AR49" s="10">
        <v>15</v>
      </c>
      <c r="AS49" s="10">
        <v>13</v>
      </c>
      <c r="AT49" s="10">
        <v>12</v>
      </c>
      <c r="AU49" s="10">
        <v>16</v>
      </c>
      <c r="AW49" s="15">
        <v>0.87500000000000044</v>
      </c>
      <c r="AX49" s="10">
        <f t="shared" si="11"/>
        <v>-9.1810035533170051</v>
      </c>
      <c r="AY49" s="10">
        <f t="shared" si="12"/>
        <v>-11.99596227817117</v>
      </c>
      <c r="AZ49" s="10">
        <f t="shared" si="13"/>
        <v>-9.4431969716522559</v>
      </c>
      <c r="BA49" s="10">
        <f t="shared" si="14"/>
        <v>-11.109151633071738</v>
      </c>
      <c r="BB49" s="10">
        <f t="shared" si="15"/>
        <v>-9.8750853471671221</v>
      </c>
      <c r="BC49" s="10">
        <f t="shared" si="16"/>
        <v>-8.1572172300670367</v>
      </c>
      <c r="BD49" s="10">
        <f t="shared" si="17"/>
        <v>-11.770508406614679</v>
      </c>
      <c r="BF49" s="15">
        <v>0.87500000000000044</v>
      </c>
      <c r="BG49" s="10">
        <f t="shared" si="18"/>
        <v>9.1810035533170051</v>
      </c>
      <c r="BH49" s="10">
        <f t="shared" si="19"/>
        <v>11.99596227817117</v>
      </c>
      <c r="BI49" s="10">
        <f t="shared" si="20"/>
        <v>9.4431969716522559</v>
      </c>
      <c r="BJ49" s="10">
        <f t="shared" si="21"/>
        <v>11.109151633071738</v>
      </c>
      <c r="BK49" s="10">
        <f t="shared" si="22"/>
        <v>9.8750853471671221</v>
      </c>
      <c r="BL49" s="10">
        <f t="shared" si="23"/>
        <v>8.1572172300670367</v>
      </c>
      <c r="BM49" s="10">
        <f t="shared" si="24"/>
        <v>11.770508406614679</v>
      </c>
      <c r="BO49" s="55"/>
      <c r="BP49" s="14">
        <v>0.87500000000000044</v>
      </c>
      <c r="BQ49" s="65">
        <v>0</v>
      </c>
      <c r="BR49" s="65">
        <v>0</v>
      </c>
      <c r="BS49" s="65">
        <v>0.33829999999999999</v>
      </c>
      <c r="BT49" s="65">
        <v>0.99970000000000003</v>
      </c>
      <c r="BU49" s="65">
        <v>0.29270000000000002</v>
      </c>
      <c r="BV49" s="65">
        <v>0.99990000000000001</v>
      </c>
      <c r="BW49" s="65">
        <v>0.99990000000000001</v>
      </c>
      <c r="BZ49" s="14">
        <v>0.87500000000000044</v>
      </c>
      <c r="CA49" s="67">
        <f t="shared" si="25"/>
        <v>0.24089054509846589</v>
      </c>
      <c r="CB49" s="67">
        <f t="shared" si="26"/>
        <v>0.20520693324372763</v>
      </c>
      <c r="CC49" s="67">
        <f t="shared" si="27"/>
        <v>0.22435219101885767</v>
      </c>
      <c r="CD49" s="67">
        <f t="shared" si="28"/>
        <v>0.21269971072541166</v>
      </c>
      <c r="CE49" s="67">
        <f t="shared" si="29"/>
        <v>0.19711000117868929</v>
      </c>
      <c r="CF49" s="67">
        <f t="shared" si="30"/>
        <v>0.26259015594541918</v>
      </c>
      <c r="CG49" s="67">
        <f t="shared" si="31"/>
        <v>0.21676144416099771</v>
      </c>
      <c r="CQ49" s="15">
        <v>0.85416666666666707</v>
      </c>
      <c r="CR49" s="10">
        <f>'linear calc'!AW46*(1-'linear calc'!V46)</f>
        <v>9.1</v>
      </c>
      <c r="CS49" s="10">
        <f>'linear calc'!AX46*(1-'linear calc'!W46)</f>
        <v>11.2</v>
      </c>
      <c r="CT49" s="10">
        <f>'linear calc'!AY46*(1-'linear calc'!X46)</f>
        <v>9.1</v>
      </c>
      <c r="CU49" s="10">
        <f>'linear calc'!AZ46*(1-'linear calc'!Y46)</f>
        <v>10.5</v>
      </c>
      <c r="CV49" s="10">
        <f>'linear calc'!BA46*(1-'linear calc'!Z46)</f>
        <v>9.1</v>
      </c>
      <c r="CW49" s="10">
        <f>'linear calc'!BB46*(1-'linear calc'!AA46)</f>
        <v>8.3999999999999986</v>
      </c>
      <c r="CX49" s="10">
        <f>'linear calc'!BC46*(1-'linear calc'!AB46)</f>
        <v>11.2</v>
      </c>
    </row>
    <row r="50" spans="1:141" x14ac:dyDescent="0.3">
      <c r="D50" s="15">
        <v>0.89583333333333381</v>
      </c>
      <c r="E50" s="7">
        <v>24.75</v>
      </c>
      <c r="F50" s="7">
        <v>24</v>
      </c>
      <c r="G50" s="7">
        <v>24.25</v>
      </c>
      <c r="H50" s="7">
        <v>26.25</v>
      </c>
      <c r="I50" s="7">
        <v>19.979166666666668</v>
      </c>
      <c r="J50" s="7">
        <v>23.875</v>
      </c>
      <c r="K50" s="7">
        <v>27.1875</v>
      </c>
      <c r="M50" s="15">
        <v>0.89583333333333381</v>
      </c>
      <c r="N50" s="7">
        <v>316.94059405940595</v>
      </c>
      <c r="O50" s="7">
        <v>336.15463917525773</v>
      </c>
      <c r="P50" s="7">
        <v>327.20652173913044</v>
      </c>
      <c r="Q50" s="7">
        <v>325.23232323232321</v>
      </c>
      <c r="R50" s="7">
        <v>317.35185185185185</v>
      </c>
      <c r="S50" s="7">
        <v>311.46296296296299</v>
      </c>
      <c r="T50" s="7">
        <v>327.44660194174759</v>
      </c>
      <c r="V50" s="15">
        <v>0.89583333333333381</v>
      </c>
      <c r="W50" s="8">
        <v>0.3</v>
      </c>
      <c r="X50" s="8">
        <v>0.3</v>
      </c>
      <c r="Y50" s="8">
        <v>0.3</v>
      </c>
      <c r="Z50" s="8">
        <v>0.3</v>
      </c>
      <c r="AA50" s="8">
        <v>0.3</v>
      </c>
      <c r="AB50" s="8">
        <v>0.3</v>
      </c>
      <c r="AC50" s="8">
        <v>0.3</v>
      </c>
      <c r="AE50" s="15">
        <v>0.89583333333333381</v>
      </c>
      <c r="AF50" s="7">
        <f t="shared" si="4"/>
        <v>3.7961090316348707</v>
      </c>
      <c r="AG50" s="7">
        <f t="shared" si="5"/>
        <v>3.9042350659147238</v>
      </c>
      <c r="AH50" s="7">
        <f t="shared" si="6"/>
        <v>3.8398945761584944</v>
      </c>
      <c r="AI50" s="7">
        <f t="shared" si="7"/>
        <v>4.1315081711423165</v>
      </c>
      <c r="AJ50" s="7">
        <f t="shared" si="8"/>
        <v>3.068343757318746</v>
      </c>
      <c r="AK50" s="7">
        <f t="shared" si="9"/>
        <v>3.5986150990808854</v>
      </c>
      <c r="AL50" s="7">
        <f t="shared" si="10"/>
        <v>4.3081951656461781</v>
      </c>
      <c r="AN50" s="15">
        <v>0.89583333333333381</v>
      </c>
      <c r="AO50" s="10">
        <v>13</v>
      </c>
      <c r="AP50" s="10">
        <v>16</v>
      </c>
      <c r="AQ50" s="10">
        <v>13</v>
      </c>
      <c r="AR50" s="10">
        <v>15</v>
      </c>
      <c r="AS50" s="10">
        <v>13</v>
      </c>
      <c r="AT50" s="10">
        <v>12</v>
      </c>
      <c r="AU50" s="10">
        <v>16</v>
      </c>
      <c r="AW50" s="15">
        <v>0.89583333333333381</v>
      </c>
      <c r="AX50" s="10">
        <f t="shared" si="11"/>
        <v>-9.2038909683651298</v>
      </c>
      <c r="AY50" s="10">
        <f t="shared" si="12"/>
        <v>-12.095764934085276</v>
      </c>
      <c r="AZ50" s="10">
        <f t="shared" si="13"/>
        <v>-9.1601054238415056</v>
      </c>
      <c r="BA50" s="10">
        <f t="shared" si="14"/>
        <v>-10.868491828857684</v>
      </c>
      <c r="BB50" s="10">
        <f t="shared" si="15"/>
        <v>-9.9316562426812531</v>
      </c>
      <c r="BC50" s="10">
        <f t="shared" si="16"/>
        <v>-8.4013849009191155</v>
      </c>
      <c r="BD50" s="10">
        <f t="shared" si="17"/>
        <v>-11.691804834353821</v>
      </c>
      <c r="BF50" s="15">
        <v>0.89583333333333381</v>
      </c>
      <c r="BG50" s="10">
        <f t="shared" si="18"/>
        <v>9.2038909683651298</v>
      </c>
      <c r="BH50" s="10">
        <f t="shared" si="19"/>
        <v>12.095764934085276</v>
      </c>
      <c r="BI50" s="10">
        <f t="shared" si="20"/>
        <v>9.1601054238415056</v>
      </c>
      <c r="BJ50" s="10">
        <f t="shared" si="21"/>
        <v>10.868491828857684</v>
      </c>
      <c r="BK50" s="10">
        <f t="shared" si="22"/>
        <v>9.9316562426812531</v>
      </c>
      <c r="BL50" s="10">
        <f t="shared" si="23"/>
        <v>8.4013849009191155</v>
      </c>
      <c r="BM50" s="10">
        <f t="shared" si="24"/>
        <v>11.691804834353821</v>
      </c>
      <c r="BO50" s="55"/>
      <c r="BP50" s="14">
        <v>0.89583333333333381</v>
      </c>
      <c r="BQ50" s="65">
        <v>0.99990000000000001</v>
      </c>
      <c r="BR50" s="65">
        <v>1</v>
      </c>
      <c r="BS50" s="65">
        <v>0.99990000000000001</v>
      </c>
      <c r="BT50" s="65">
        <v>0.99970000000000003</v>
      </c>
      <c r="BU50" s="65">
        <v>1</v>
      </c>
      <c r="BV50" s="65">
        <v>0.99970000000000003</v>
      </c>
      <c r="BW50" s="65">
        <v>0.99970000000000003</v>
      </c>
      <c r="BZ50" s="14">
        <v>0.89583333333333381</v>
      </c>
      <c r="CA50" s="67">
        <f t="shared" si="25"/>
        <v>0.23944687738004569</v>
      </c>
      <c r="CB50" s="67">
        <f t="shared" si="26"/>
        <v>0.20009204712812964</v>
      </c>
      <c r="CC50" s="67">
        <f t="shared" si="27"/>
        <v>0.2422087348038435</v>
      </c>
      <c r="CD50" s="67">
        <f t="shared" si="28"/>
        <v>0.22585578002244669</v>
      </c>
      <c r="CE50" s="67">
        <f t="shared" si="29"/>
        <v>0.19354168315395168</v>
      </c>
      <c r="CF50" s="67">
        <f t="shared" si="30"/>
        <v>0.24590536510386055</v>
      </c>
      <c r="CG50" s="67">
        <f t="shared" si="31"/>
        <v>0.22079500223936663</v>
      </c>
      <c r="CQ50" s="15">
        <v>0.87500000000000044</v>
      </c>
      <c r="CR50" s="10">
        <f>'linear calc'!AW47*(1-'linear calc'!V47)</f>
        <v>9.1</v>
      </c>
      <c r="CS50" s="10">
        <f>'linear calc'!AX47*(1-'linear calc'!W47)</f>
        <v>11.2</v>
      </c>
      <c r="CT50" s="10">
        <f>'linear calc'!AY47*(1-'linear calc'!X47)</f>
        <v>9.1</v>
      </c>
      <c r="CU50" s="10">
        <f>'linear calc'!AZ47*(1-'linear calc'!Y47)</f>
        <v>10.5</v>
      </c>
      <c r="CV50" s="10">
        <f>'linear calc'!BA47*(1-'linear calc'!Z47)</f>
        <v>9.1</v>
      </c>
      <c r="CW50" s="10">
        <f>'linear calc'!BB47*(1-'linear calc'!AA47)</f>
        <v>8.3999999999999986</v>
      </c>
      <c r="CX50" s="10">
        <f>'linear calc'!BC47*(1-'linear calc'!AB47)</f>
        <v>11.2</v>
      </c>
    </row>
    <row r="51" spans="1:141" x14ac:dyDescent="0.3">
      <c r="D51" s="15">
        <v>0.91666666666666718</v>
      </c>
      <c r="E51" s="7">
        <v>24.75</v>
      </c>
      <c r="F51" s="7">
        <v>23.5</v>
      </c>
      <c r="G51" s="7">
        <v>23.75</v>
      </c>
      <c r="H51" s="7">
        <v>23.75</v>
      </c>
      <c r="I51" s="7">
        <v>19.984375</v>
      </c>
      <c r="J51" s="7">
        <v>25.6875</v>
      </c>
      <c r="K51" s="7">
        <v>24.25</v>
      </c>
      <c r="M51" s="15">
        <v>0.91666666666666718</v>
      </c>
      <c r="N51" s="7">
        <v>325.13541666666669</v>
      </c>
      <c r="O51" s="7">
        <v>326.41666666666669</v>
      </c>
      <c r="P51" s="7">
        <v>336.59595959595958</v>
      </c>
      <c r="Q51" s="7">
        <v>334.69696969696969</v>
      </c>
      <c r="R51" s="7">
        <v>311.0980392156863</v>
      </c>
      <c r="S51" s="7">
        <v>316.89320388349512</v>
      </c>
      <c r="T51" s="7">
        <v>308.54716981132077</v>
      </c>
      <c r="V51" s="15">
        <v>0.91666666666666718</v>
      </c>
      <c r="W51" s="8">
        <v>0.3</v>
      </c>
      <c r="X51" s="8">
        <v>0.3</v>
      </c>
      <c r="Y51" s="8">
        <v>0.3</v>
      </c>
      <c r="Z51" s="8">
        <v>0.3</v>
      </c>
      <c r="AA51" s="8">
        <v>0.3</v>
      </c>
      <c r="AB51" s="8">
        <v>0.3</v>
      </c>
      <c r="AC51" s="8">
        <v>0.3</v>
      </c>
      <c r="AE51" s="15">
        <v>0.91666666666666718</v>
      </c>
      <c r="AF51" s="7">
        <f t="shared" si="4"/>
        <v>3.8942613058943092</v>
      </c>
      <c r="AG51" s="7">
        <f t="shared" si="5"/>
        <v>3.7121523744999356</v>
      </c>
      <c r="AH51" s="7">
        <f t="shared" si="6"/>
        <v>3.8686382309349785</v>
      </c>
      <c r="AI51" s="7">
        <f t="shared" si="7"/>
        <v>3.8468123452879546</v>
      </c>
      <c r="AJ51" s="7">
        <f t="shared" si="8"/>
        <v>3.0086623487470869</v>
      </c>
      <c r="AK51" s="7">
        <f t="shared" si="9"/>
        <v>3.9393119312607823</v>
      </c>
      <c r="AL51" s="7">
        <f t="shared" si="10"/>
        <v>3.6209198934981264</v>
      </c>
      <c r="AN51" s="15">
        <v>0.91666666666666718</v>
      </c>
      <c r="AO51" s="10">
        <v>14</v>
      </c>
      <c r="AP51" s="10">
        <v>15</v>
      </c>
      <c r="AQ51" s="10">
        <v>14</v>
      </c>
      <c r="AR51" s="10">
        <v>16</v>
      </c>
      <c r="AS51" s="10">
        <v>16</v>
      </c>
      <c r="AT51" s="10">
        <v>12</v>
      </c>
      <c r="AU51" s="10">
        <v>18</v>
      </c>
      <c r="AW51" s="15">
        <v>0.91666666666666718</v>
      </c>
      <c r="AX51" s="10">
        <f t="shared" si="11"/>
        <v>-10.105738694105691</v>
      </c>
      <c r="AY51" s="10">
        <f t="shared" si="12"/>
        <v>-11.287847625500063</v>
      </c>
      <c r="AZ51" s="10">
        <f t="shared" si="13"/>
        <v>-10.131361769065022</v>
      </c>
      <c r="BA51" s="10">
        <f t="shared" si="14"/>
        <v>-12.153187654712045</v>
      </c>
      <c r="BB51" s="10">
        <f t="shared" si="15"/>
        <v>-12.991337651252913</v>
      </c>
      <c r="BC51" s="10">
        <f t="shared" si="16"/>
        <v>-8.0606880687392177</v>
      </c>
      <c r="BD51" s="10">
        <f t="shared" si="17"/>
        <v>-14.379080106501874</v>
      </c>
      <c r="BF51" s="15">
        <v>0.91666666666666718</v>
      </c>
      <c r="BG51" s="10">
        <f t="shared" si="18"/>
        <v>10.105738694105691</v>
      </c>
      <c r="BH51" s="10">
        <f t="shared" si="19"/>
        <v>11.287847625500063</v>
      </c>
      <c r="BI51" s="10">
        <f t="shared" si="20"/>
        <v>10.131361769065022</v>
      </c>
      <c r="BJ51" s="10">
        <f t="shared" si="21"/>
        <v>12.153187654712045</v>
      </c>
      <c r="BK51" s="10">
        <f t="shared" si="22"/>
        <v>12.991337651252913</v>
      </c>
      <c r="BL51" s="10">
        <f t="shared" si="23"/>
        <v>8.0606880687392177</v>
      </c>
      <c r="BM51" s="10">
        <f t="shared" si="24"/>
        <v>14.379080106501874</v>
      </c>
      <c r="BO51" s="55"/>
      <c r="BP51" s="14">
        <v>0.91666666666666718</v>
      </c>
      <c r="BQ51" s="65">
        <v>0.99990000000000001</v>
      </c>
      <c r="BR51" s="65">
        <v>0.99990000000000001</v>
      </c>
      <c r="BS51" s="65">
        <v>0.99990000000000001</v>
      </c>
      <c r="BT51" s="65">
        <v>0.99960000000000004</v>
      </c>
      <c r="BU51" s="65">
        <v>1</v>
      </c>
      <c r="BV51" s="65">
        <v>0.99970000000000003</v>
      </c>
      <c r="BW51" s="65">
        <v>0.99970000000000003</v>
      </c>
      <c r="BZ51" s="14">
        <v>0.91666666666666718</v>
      </c>
      <c r="CA51" s="67">
        <f t="shared" si="25"/>
        <v>0.22809244791666669</v>
      </c>
      <c r="CB51" s="67">
        <f t="shared" si="26"/>
        <v>0.20293099647266313</v>
      </c>
      <c r="CC51" s="67">
        <f t="shared" si="27"/>
        <v>0.2265916678119059</v>
      </c>
      <c r="CD51" s="67">
        <f t="shared" si="28"/>
        <v>0.19714913269600773</v>
      </c>
      <c r="CE51" s="67">
        <f t="shared" si="29"/>
        <v>0.15419394537328823</v>
      </c>
      <c r="CF51" s="67">
        <f t="shared" si="30"/>
        <v>0.26918631530282017</v>
      </c>
      <c r="CG51" s="67">
        <f t="shared" si="31"/>
        <v>0.16495301737047022</v>
      </c>
      <c r="CI51" s="74"/>
      <c r="CQ51" s="15">
        <v>0.89583333333333381</v>
      </c>
      <c r="CR51" s="10">
        <f>'linear calc'!AW48*(1-'linear calc'!V48)</f>
        <v>9.1</v>
      </c>
      <c r="CS51" s="10">
        <f>'linear calc'!AX48*(1-'linear calc'!W48)</f>
        <v>11.2</v>
      </c>
      <c r="CT51" s="10">
        <f>'linear calc'!AY48*(1-'linear calc'!X48)</f>
        <v>9.1</v>
      </c>
      <c r="CU51" s="10">
        <f>'linear calc'!AZ48*(1-'linear calc'!Y48)</f>
        <v>10.5</v>
      </c>
      <c r="CV51" s="10">
        <f>'linear calc'!BA48*(1-'linear calc'!Z48)</f>
        <v>9.1</v>
      </c>
      <c r="CW51" s="10">
        <f>'linear calc'!BB48*(1-'linear calc'!AA48)</f>
        <v>8.3999999999999986</v>
      </c>
      <c r="CX51" s="10">
        <f>'linear calc'!BC48*(1-'linear calc'!AB48)</f>
        <v>11.2</v>
      </c>
    </row>
    <row r="52" spans="1:141" x14ac:dyDescent="0.3">
      <c r="D52" s="15">
        <v>0.93750000000000056</v>
      </c>
      <c r="E52" s="7">
        <v>25.75</v>
      </c>
      <c r="F52" s="7">
        <v>26.75</v>
      </c>
      <c r="G52" s="7">
        <v>26.5</v>
      </c>
      <c r="H52" s="7">
        <v>27</v>
      </c>
      <c r="I52" s="7">
        <v>19.489583333333332</v>
      </c>
      <c r="J52" s="7">
        <v>27.25</v>
      </c>
      <c r="K52" s="7">
        <v>24.5</v>
      </c>
      <c r="M52" s="15">
        <v>0.93750000000000056</v>
      </c>
      <c r="N52" s="7">
        <v>335.531914893617</v>
      </c>
      <c r="O52" s="7">
        <v>307.87272727272727</v>
      </c>
      <c r="P52" s="7">
        <v>326.84615384615387</v>
      </c>
      <c r="Q52" s="7">
        <v>320.79000000000002</v>
      </c>
      <c r="R52" s="7">
        <v>341.48076923076923</v>
      </c>
      <c r="S52" s="7">
        <v>327.0625</v>
      </c>
      <c r="T52" s="7">
        <v>329</v>
      </c>
      <c r="V52" s="15">
        <v>0.93750000000000056</v>
      </c>
      <c r="W52" s="8">
        <v>0.3</v>
      </c>
      <c r="X52" s="8">
        <v>0.3</v>
      </c>
      <c r="Y52" s="8">
        <v>0.3</v>
      </c>
      <c r="Z52" s="8">
        <v>0.3</v>
      </c>
      <c r="AA52" s="8">
        <v>0.3</v>
      </c>
      <c r="AB52" s="8">
        <v>0.3</v>
      </c>
      <c r="AC52" s="8">
        <v>0.3</v>
      </c>
      <c r="AE52" s="17">
        <v>0.93750000000000056</v>
      </c>
      <c r="AF52" s="7">
        <f t="shared" si="4"/>
        <v>4.1811589278506762</v>
      </c>
      <c r="AG52" s="7">
        <f t="shared" si="5"/>
        <v>3.985479797979798</v>
      </c>
      <c r="AH52" s="7">
        <f t="shared" si="6"/>
        <v>4.1915520116739629</v>
      </c>
      <c r="AI52" s="7">
        <f t="shared" si="7"/>
        <v>4.1915069686411144</v>
      </c>
      <c r="AJ52" s="7">
        <f t="shared" si="8"/>
        <v>3.2207306952447956</v>
      </c>
      <c r="AK52" s="7">
        <f t="shared" si="9"/>
        <v>4.3130338390437473</v>
      </c>
      <c r="AL52" s="7">
        <f t="shared" si="10"/>
        <v>3.9007452574525745</v>
      </c>
      <c r="AN52" s="15">
        <v>0.93750000000000056</v>
      </c>
      <c r="AO52" s="10">
        <v>14</v>
      </c>
      <c r="AP52" s="10">
        <v>15</v>
      </c>
      <c r="AQ52" s="10">
        <v>14</v>
      </c>
      <c r="AR52" s="10">
        <v>16</v>
      </c>
      <c r="AS52" s="10">
        <v>16</v>
      </c>
      <c r="AT52" s="10">
        <v>12</v>
      </c>
      <c r="AU52" s="10">
        <v>18</v>
      </c>
      <c r="AW52" s="15">
        <v>0.93750000000000056</v>
      </c>
      <c r="AX52" s="10">
        <f t="shared" si="11"/>
        <v>-9.8188410721493238</v>
      </c>
      <c r="AY52" s="10">
        <f t="shared" si="12"/>
        <v>-11.014520202020202</v>
      </c>
      <c r="AZ52" s="10">
        <f t="shared" si="13"/>
        <v>-9.8084479883260371</v>
      </c>
      <c r="BA52" s="10">
        <f t="shared" si="14"/>
        <v>-11.808493031358886</v>
      </c>
      <c r="BB52" s="10">
        <f t="shared" si="15"/>
        <v>-12.779269304755204</v>
      </c>
      <c r="BC52" s="10">
        <f t="shared" si="16"/>
        <v>-7.6869661609562527</v>
      </c>
      <c r="BD52" s="10">
        <f t="shared" si="17"/>
        <v>-14.099254742547426</v>
      </c>
      <c r="BF52" s="15">
        <v>0.93750000000000056</v>
      </c>
      <c r="BG52" s="10">
        <f t="shared" si="18"/>
        <v>9.8188410721493238</v>
      </c>
      <c r="BH52" s="10">
        <f t="shared" si="19"/>
        <v>11.014520202020202</v>
      </c>
      <c r="BI52" s="10">
        <f t="shared" si="20"/>
        <v>9.8084479883260371</v>
      </c>
      <c r="BJ52" s="10">
        <f t="shared" si="21"/>
        <v>11.808493031358886</v>
      </c>
      <c r="BK52" s="10">
        <f t="shared" si="22"/>
        <v>12.779269304755204</v>
      </c>
      <c r="BL52" s="10">
        <f t="shared" si="23"/>
        <v>7.6869661609562527</v>
      </c>
      <c r="BM52" s="10">
        <f t="shared" si="24"/>
        <v>14.099254742547426</v>
      </c>
      <c r="BO52" s="55"/>
      <c r="BP52" s="14">
        <v>0.93750000000000056</v>
      </c>
      <c r="BQ52" s="65">
        <v>0</v>
      </c>
      <c r="BR52" s="65">
        <v>0</v>
      </c>
      <c r="BS52" s="65">
        <v>0.1333</v>
      </c>
      <c r="BT52" s="65">
        <v>0.99980000000000002</v>
      </c>
      <c r="BU52" s="65">
        <v>0.99970000000000003</v>
      </c>
      <c r="BV52" s="65">
        <v>1</v>
      </c>
      <c r="BW52" s="65">
        <v>1</v>
      </c>
      <c r="BZ52" s="14">
        <v>0.93750000000000056</v>
      </c>
      <c r="CA52" s="67">
        <f t="shared" si="25"/>
        <v>0.24489645148839678</v>
      </c>
      <c r="CB52" s="67">
        <f t="shared" si="26"/>
        <v>0.21787289562289563</v>
      </c>
      <c r="CC52" s="67">
        <f t="shared" si="27"/>
        <v>0.2455051892551893</v>
      </c>
      <c r="CD52" s="67">
        <f t="shared" si="28"/>
        <v>0.21481473214285715</v>
      </c>
      <c r="CE52" s="67">
        <f t="shared" si="29"/>
        <v>0.16506244813129578</v>
      </c>
      <c r="CF52" s="67">
        <f t="shared" si="30"/>
        <v>0.2947239790013228</v>
      </c>
      <c r="CG52" s="67">
        <f t="shared" si="31"/>
        <v>0.17770061728395062</v>
      </c>
      <c r="CQ52" s="15">
        <v>0.91666666666666718</v>
      </c>
      <c r="CR52" s="10">
        <f>'linear calc'!AW49*(1-'linear calc'!V49)</f>
        <v>9.7999999999999989</v>
      </c>
      <c r="CS52" s="10">
        <f>'linear calc'!AX49*(1-'linear calc'!W49)</f>
        <v>10.5</v>
      </c>
      <c r="CT52" s="10">
        <f>'linear calc'!AY49*(1-'linear calc'!X49)</f>
        <v>9.7999999999999989</v>
      </c>
      <c r="CU52" s="10">
        <f>'linear calc'!AZ49*(1-'linear calc'!Y49)</f>
        <v>11.2</v>
      </c>
      <c r="CV52" s="10">
        <f>'linear calc'!BA49*(1-'linear calc'!Z49)</f>
        <v>11.2</v>
      </c>
      <c r="CW52" s="10">
        <f>'linear calc'!BB49*(1-'linear calc'!AA49)</f>
        <v>8.3999999999999986</v>
      </c>
      <c r="CX52" s="10">
        <f>'linear calc'!BC49*(1-'linear calc'!AB49)</f>
        <v>12.6</v>
      </c>
    </row>
    <row r="53" spans="1:141" x14ac:dyDescent="0.3">
      <c r="D53" s="15">
        <v>0.95833333333333393</v>
      </c>
      <c r="E53" s="7">
        <v>28.25</v>
      </c>
      <c r="F53" s="7">
        <v>28</v>
      </c>
      <c r="G53" s="7">
        <v>24</v>
      </c>
      <c r="H53" s="7">
        <v>24</v>
      </c>
      <c r="I53" s="7">
        <v>18.744791666666668</v>
      </c>
      <c r="J53" s="7">
        <v>24.9375</v>
      </c>
      <c r="K53" s="7">
        <v>23</v>
      </c>
      <c r="M53" s="15">
        <v>0.95833333333333393</v>
      </c>
      <c r="N53" s="7">
        <v>323.93577981651379</v>
      </c>
      <c r="O53" s="7">
        <v>320.031914893617</v>
      </c>
      <c r="P53" s="7">
        <v>321.63</v>
      </c>
      <c r="Q53" s="7">
        <v>327.05319148936172</v>
      </c>
      <c r="R53" s="7">
        <v>325.43589743589746</v>
      </c>
      <c r="S53" s="7">
        <v>314.08695652173913</v>
      </c>
      <c r="T53" s="7">
        <v>316.96226415094338</v>
      </c>
      <c r="V53" s="15">
        <v>0.95833333333333393</v>
      </c>
      <c r="W53" s="8">
        <v>0.3</v>
      </c>
      <c r="X53" s="8">
        <v>0.3</v>
      </c>
      <c r="Y53" s="8">
        <v>0.3</v>
      </c>
      <c r="Z53" s="8">
        <v>0.3</v>
      </c>
      <c r="AA53" s="8">
        <v>0.3</v>
      </c>
      <c r="AB53" s="8">
        <v>0.3</v>
      </c>
      <c r="AC53" s="8">
        <v>0.3</v>
      </c>
      <c r="AE53" s="14">
        <v>0.95833333333333393</v>
      </c>
      <c r="AF53" s="7">
        <f t="shared" si="4"/>
        <v>4.4285645469495325</v>
      </c>
      <c r="AG53" s="7">
        <f t="shared" si="5"/>
        <v>4.3364758115666264</v>
      </c>
      <c r="AH53" s="7">
        <f t="shared" si="6"/>
        <v>3.7355400696864107</v>
      </c>
      <c r="AI53" s="7">
        <f t="shared" si="7"/>
        <v>3.7985271949983934</v>
      </c>
      <c r="AJ53" s="7">
        <f t="shared" si="8"/>
        <v>2.9521041900361009</v>
      </c>
      <c r="AK53" s="7">
        <f t="shared" si="9"/>
        <v>3.7904294803817598</v>
      </c>
      <c r="AL53" s="7">
        <f t="shared" si="10"/>
        <v>3.527938480193427</v>
      </c>
      <c r="AN53" s="15">
        <v>0.95833333333333393</v>
      </c>
      <c r="AO53" s="10">
        <v>14</v>
      </c>
      <c r="AP53" s="10">
        <v>15</v>
      </c>
      <c r="AQ53" s="10">
        <v>14</v>
      </c>
      <c r="AR53" s="10">
        <v>16</v>
      </c>
      <c r="AS53" s="10">
        <v>16</v>
      </c>
      <c r="AT53" s="10">
        <v>12</v>
      </c>
      <c r="AU53" s="10">
        <v>18</v>
      </c>
      <c r="AW53" s="15">
        <v>0.95833333333333393</v>
      </c>
      <c r="AX53" s="10">
        <f t="shared" si="11"/>
        <v>-9.5714354530504675</v>
      </c>
      <c r="AY53" s="10">
        <f t="shared" si="12"/>
        <v>-10.663524188433374</v>
      </c>
      <c r="AZ53" s="10">
        <f t="shared" si="13"/>
        <v>-10.264459930313588</v>
      </c>
      <c r="BA53" s="10">
        <f t="shared" si="14"/>
        <v>-12.201472805001607</v>
      </c>
      <c r="BB53" s="10">
        <f t="shared" si="15"/>
        <v>-13.047895809963899</v>
      </c>
      <c r="BC53" s="10">
        <f t="shared" si="16"/>
        <v>-8.2095705196182394</v>
      </c>
      <c r="BD53" s="10">
        <f t="shared" si="17"/>
        <v>-14.472061519806573</v>
      </c>
      <c r="BF53" s="15">
        <v>0.95833333333333393</v>
      </c>
      <c r="BG53" s="10">
        <f t="shared" si="18"/>
        <v>9.5714354530504675</v>
      </c>
      <c r="BH53" s="10">
        <f t="shared" si="19"/>
        <v>10.663524188433374</v>
      </c>
      <c r="BI53" s="10">
        <f t="shared" si="20"/>
        <v>10.264459930313588</v>
      </c>
      <c r="BJ53" s="10">
        <f t="shared" si="21"/>
        <v>12.201472805001607</v>
      </c>
      <c r="BK53" s="10">
        <f t="shared" si="22"/>
        <v>13.047895809963899</v>
      </c>
      <c r="BL53" s="10">
        <f t="shared" si="23"/>
        <v>8.2095705196182394</v>
      </c>
      <c r="BM53" s="10">
        <f t="shared" si="24"/>
        <v>14.472061519806573</v>
      </c>
      <c r="BO53" s="55"/>
      <c r="BP53" s="14">
        <v>0.95833333333333393</v>
      </c>
      <c r="BQ53" s="65">
        <v>0</v>
      </c>
      <c r="BR53" s="65">
        <v>0</v>
      </c>
      <c r="BS53" s="65">
        <v>0</v>
      </c>
      <c r="BT53" s="65">
        <v>0.16500000000000001</v>
      </c>
      <c r="BU53" s="65">
        <v>0.2114</v>
      </c>
      <c r="BV53" s="65">
        <v>1</v>
      </c>
      <c r="BW53" s="65">
        <v>1</v>
      </c>
      <c r="BZ53" s="14">
        <v>0.95833333333333393</v>
      </c>
      <c r="CA53" s="67">
        <f t="shared" ref="CA53:CG53" si="32">((E53 * N53) / 3600) / AX105</f>
        <v>0.25938735203561553</v>
      </c>
      <c r="CB53" s="67">
        <f t="shared" si="32"/>
        <v>0.23706067769897557</v>
      </c>
      <c r="CC53" s="67">
        <f t="shared" si="32"/>
        <v>0.21879591836734696</v>
      </c>
      <c r="CD53" s="67">
        <f t="shared" si="32"/>
        <v>0.19467451874366767</v>
      </c>
      <c r="CE53" s="67">
        <f t="shared" si="32"/>
        <v>0.15129533973935019</v>
      </c>
      <c r="CF53" s="67">
        <f t="shared" si="32"/>
        <v>0.25901268115942033</v>
      </c>
      <c r="CG53" s="67">
        <f t="shared" si="32"/>
        <v>0.16071719743103391</v>
      </c>
      <c r="CQ53" s="15">
        <v>0.93750000000000056</v>
      </c>
      <c r="CR53" s="10">
        <f>'linear calc'!AW50*(1-'linear calc'!V50)</f>
        <v>9.7999999999999989</v>
      </c>
      <c r="CS53" s="10">
        <f>'linear calc'!AX50*(1-'linear calc'!W50)</f>
        <v>10.5</v>
      </c>
      <c r="CT53" s="10">
        <f>'linear calc'!AY50*(1-'linear calc'!X50)</f>
        <v>9.7999999999999989</v>
      </c>
      <c r="CU53" s="10">
        <f>'linear calc'!AZ50*(1-'linear calc'!Y50)</f>
        <v>11.2</v>
      </c>
      <c r="CV53" s="10">
        <f>'linear calc'!BA50*(1-'linear calc'!Z50)</f>
        <v>11.2</v>
      </c>
      <c r="CW53" s="10">
        <f>'linear calc'!BB50*(1-'linear calc'!AA50)</f>
        <v>8.3999999999999986</v>
      </c>
      <c r="CX53" s="10">
        <f>'linear calc'!BC50*(1-'linear calc'!AB50)</f>
        <v>12.6</v>
      </c>
    </row>
    <row r="54" spans="1:141" x14ac:dyDescent="0.3">
      <c r="D54" s="17">
        <v>0.9791666666666673</v>
      </c>
      <c r="E54" s="7">
        <v>24.75</v>
      </c>
      <c r="F54" s="7">
        <v>24.75</v>
      </c>
      <c r="G54" s="7">
        <v>25.5</v>
      </c>
      <c r="H54" s="7">
        <v>22</v>
      </c>
      <c r="I54" s="7">
        <v>23.666666666666668</v>
      </c>
      <c r="J54" s="7">
        <v>727.4375</v>
      </c>
      <c r="K54" s="7">
        <v>722.875</v>
      </c>
      <c r="M54" s="15">
        <v>0.9791666666666673</v>
      </c>
      <c r="N54" s="7">
        <v>318.43434343434342</v>
      </c>
      <c r="O54" s="7">
        <v>315.53932584269666</v>
      </c>
      <c r="P54" s="7">
        <v>333.85263157894735</v>
      </c>
      <c r="Q54" s="7">
        <v>319.20833333333331</v>
      </c>
      <c r="R54" s="7">
        <v>322.31111111111113</v>
      </c>
      <c r="S54" s="7">
        <v>323.33333333333331</v>
      </c>
      <c r="T54" s="7">
        <v>322.30841121495325</v>
      </c>
      <c r="V54" s="17">
        <v>0.9791666666666673</v>
      </c>
      <c r="W54" s="8">
        <v>0.3</v>
      </c>
      <c r="X54" s="8">
        <v>0.3</v>
      </c>
      <c r="Y54" s="8">
        <v>0.3</v>
      </c>
      <c r="Z54" s="8">
        <v>0.3</v>
      </c>
      <c r="AA54" s="8">
        <v>0.3</v>
      </c>
      <c r="AB54" s="8">
        <v>0.3</v>
      </c>
      <c r="AC54" s="8">
        <v>0.3</v>
      </c>
      <c r="AE54" s="14">
        <v>0.9791666666666673</v>
      </c>
      <c r="AF54" s="7">
        <f t="shared" si="4"/>
        <v>3.8140001935733641</v>
      </c>
      <c r="AG54" s="7">
        <f t="shared" si="5"/>
        <v>3.7793255490741102</v>
      </c>
      <c r="AH54" s="7">
        <f t="shared" si="6"/>
        <v>4.1198422886484503</v>
      </c>
      <c r="AI54" s="7">
        <f t="shared" si="7"/>
        <v>3.3984627048651435</v>
      </c>
      <c r="AJ54" s="7">
        <f t="shared" si="8"/>
        <v>3.6914583960654421</v>
      </c>
      <c r="AK54" s="7">
        <f t="shared" si="9"/>
        <v>113.82345705897534</v>
      </c>
      <c r="AL54" s="7">
        <f t="shared" si="10"/>
        <v>112.75101275503742</v>
      </c>
      <c r="AN54" s="17">
        <v>0.9791666666666673</v>
      </c>
      <c r="AO54" s="10">
        <v>14</v>
      </c>
      <c r="AP54" s="10">
        <v>15</v>
      </c>
      <c r="AQ54" s="10">
        <v>14</v>
      </c>
      <c r="AR54" s="10">
        <v>16</v>
      </c>
      <c r="AS54" s="10">
        <v>16</v>
      </c>
      <c r="AT54" s="10">
        <v>12</v>
      </c>
      <c r="AU54" s="10">
        <v>18</v>
      </c>
      <c r="AW54" s="17">
        <v>0.9791666666666673</v>
      </c>
      <c r="AX54" s="10">
        <f t="shared" si="11"/>
        <v>-10.185999806426636</v>
      </c>
      <c r="AY54" s="10">
        <f t="shared" si="12"/>
        <v>-11.220674450925889</v>
      </c>
      <c r="AZ54" s="10">
        <f t="shared" si="13"/>
        <v>-9.8801577113515506</v>
      </c>
      <c r="BA54" s="10">
        <f t="shared" si="14"/>
        <v>-12.601537295134857</v>
      </c>
      <c r="BB54" s="10">
        <f t="shared" si="15"/>
        <v>-12.308541603934557</v>
      </c>
      <c r="BC54" s="10">
        <f t="shared" si="16"/>
        <v>101.82345705897534</v>
      </c>
      <c r="BD54" s="10">
        <f t="shared" si="17"/>
        <v>94.751012755037422</v>
      </c>
      <c r="BF54" s="17">
        <v>0.9791666666666673</v>
      </c>
      <c r="BG54" s="10">
        <f t="shared" si="18"/>
        <v>10.185999806426636</v>
      </c>
      <c r="BH54" s="10">
        <f t="shared" si="19"/>
        <v>11.220674450925889</v>
      </c>
      <c r="BI54" s="10">
        <f t="shared" si="20"/>
        <v>9.8801577113515506</v>
      </c>
      <c r="BJ54" s="10">
        <f t="shared" si="21"/>
        <v>12.601537295134857</v>
      </c>
      <c r="BK54" s="10">
        <f t="shared" si="22"/>
        <v>12.308541603934557</v>
      </c>
      <c r="BL54" s="10">
        <f t="shared" si="23"/>
        <v>-101.82345705897534</v>
      </c>
      <c r="BM54" s="10">
        <f t="shared" si="24"/>
        <v>-94.751012755037422</v>
      </c>
      <c r="BO54" s="55"/>
      <c r="BP54" s="14">
        <v>0.9791666666666673</v>
      </c>
      <c r="BQ54" s="65">
        <v>0</v>
      </c>
      <c r="BR54" s="65">
        <v>0</v>
      </c>
      <c r="BS54" s="65">
        <v>0</v>
      </c>
      <c r="BT54" s="65">
        <v>0</v>
      </c>
      <c r="BU54" s="65">
        <v>0</v>
      </c>
      <c r="BV54" s="65">
        <v>1</v>
      </c>
      <c r="BW54" s="65">
        <v>1</v>
      </c>
      <c r="BZ54" s="14">
        <v>0.9791666666666673</v>
      </c>
      <c r="CA54" s="67">
        <f t="shared" ref="CA54:CG54" si="33">((E55 * N55) / 3600) / AX107</f>
        <v>0.56292560441130413</v>
      </c>
      <c r="CB54" s="67">
        <f t="shared" si="33"/>
        <v>0.50992709811147396</v>
      </c>
      <c r="CC54" s="67">
        <f t="shared" si="33"/>
        <v>0.50771328176016206</v>
      </c>
      <c r="CD54" s="67">
        <f t="shared" si="33"/>
        <v>0.45681375254073409</v>
      </c>
      <c r="CE54" s="67">
        <f t="shared" si="33"/>
        <v>0.41379134711439258</v>
      </c>
      <c r="CF54" s="67">
        <f t="shared" si="33"/>
        <v>0.74541631683845888</v>
      </c>
      <c r="CG54" s="67">
        <f t="shared" si="33"/>
        <v>0.56383351994255293</v>
      </c>
      <c r="CQ54" s="15">
        <v>0.95833333333333393</v>
      </c>
      <c r="CR54" s="10">
        <f>'linear calc'!AW51*(1-'linear calc'!V51)</f>
        <v>9.7999999999999989</v>
      </c>
      <c r="CS54" s="10">
        <f>'linear calc'!AX51*(1-'linear calc'!W51)</f>
        <v>10.5</v>
      </c>
      <c r="CT54" s="10">
        <f>'linear calc'!AY51*(1-'linear calc'!X51)</f>
        <v>9.7999999999999989</v>
      </c>
      <c r="CU54" s="10">
        <f>'linear calc'!AZ51*(1-'linear calc'!Y51)</f>
        <v>11.2</v>
      </c>
      <c r="CV54" s="10">
        <f>'linear calc'!BA51*(1-'linear calc'!Z51)</f>
        <v>11.2</v>
      </c>
      <c r="CW54" s="10">
        <f>'linear calc'!BB51*(1-'linear calc'!AA51)</f>
        <v>8.3999999999999986</v>
      </c>
      <c r="CX54" s="10">
        <f>'linear calc'!BC51*(1-'linear calc'!AB51)</f>
        <v>12.6</v>
      </c>
    </row>
    <row r="55" spans="1:141" x14ac:dyDescent="0.3">
      <c r="C55" s="43"/>
      <c r="D55" s="50" t="s">
        <v>11</v>
      </c>
      <c r="E55" s="18">
        <v>2867.25</v>
      </c>
      <c r="F55" s="18">
        <v>2843.75</v>
      </c>
      <c r="G55" s="18">
        <v>2831.75</v>
      </c>
      <c r="H55" s="18">
        <v>2825.5</v>
      </c>
      <c r="I55" s="18">
        <v>2154.7916666666665</v>
      </c>
      <c r="J55" s="18">
        <v>3513.8125</v>
      </c>
      <c r="K55" s="18">
        <v>3565</v>
      </c>
      <c r="M55" s="2" t="s">
        <v>11</v>
      </c>
      <c r="N55" s="18">
        <v>324.55613398357872</v>
      </c>
      <c r="O55" s="18">
        <v>325.34917865967765</v>
      </c>
      <c r="P55" s="18">
        <v>325.3094300081712</v>
      </c>
      <c r="Q55" s="18">
        <v>325.93754207118047</v>
      </c>
      <c r="R55" s="18">
        <v>325.19655134056933</v>
      </c>
      <c r="S55" s="18">
        <v>325.03073627497554</v>
      </c>
      <c r="T55" s="18">
        <v>325.22360272882747</v>
      </c>
      <c r="V55" s="2" t="s">
        <v>13</v>
      </c>
      <c r="W55" s="19">
        <v>0.3</v>
      </c>
      <c r="X55" s="19">
        <v>0.3</v>
      </c>
      <c r="Y55" s="19">
        <v>0.3</v>
      </c>
      <c r="Z55" s="19">
        <v>0.3</v>
      </c>
      <c r="AA55" s="19">
        <v>0.3</v>
      </c>
      <c r="AB55" s="19">
        <v>0.3</v>
      </c>
      <c r="AC55" s="19">
        <v>0.3</v>
      </c>
      <c r="AE55" s="50" t="s">
        <v>11</v>
      </c>
      <c r="AF55" s="18">
        <f t="shared" ref="AF55:AL55" si="34">SUM(AF7:AF54)</f>
        <v>448.8144327782087</v>
      </c>
      <c r="AG55" s="18">
        <f t="shared" si="34"/>
        <v>445.93907234795421</v>
      </c>
      <c r="AH55" s="18">
        <f t="shared" si="34"/>
        <v>444.52978112387677</v>
      </c>
      <c r="AI55" s="18">
        <f t="shared" si="34"/>
        <v>443.75040759948797</v>
      </c>
      <c r="AJ55" s="18">
        <f t="shared" si="34"/>
        <v>337.78267201312485</v>
      </c>
      <c r="AK55" s="18">
        <f t="shared" si="34"/>
        <v>552.97143092843305</v>
      </c>
      <c r="AL55" s="18">
        <f t="shared" si="34"/>
        <v>560.53713890027109</v>
      </c>
      <c r="AM55" s="56">
        <f t="shared" ref="AM55:AM56" si="35">SUM(AF55:AL55)</f>
        <v>3234.324935691357</v>
      </c>
      <c r="AN55" s="2" t="s">
        <v>17</v>
      </c>
      <c r="AO55" s="20">
        <v>656</v>
      </c>
      <c r="AP55" s="20">
        <v>720</v>
      </c>
      <c r="AQ55" s="20">
        <v>720</v>
      </c>
      <c r="AR55" s="20">
        <v>800</v>
      </c>
      <c r="AS55" s="20">
        <v>672</v>
      </c>
      <c r="AT55" s="20">
        <v>608</v>
      </c>
      <c r="AU55" s="20">
        <v>816</v>
      </c>
      <c r="AV55" s="58">
        <f>SUM(AO55:AU55)</f>
        <v>4992</v>
      </c>
      <c r="AW55" s="2" t="s">
        <v>17</v>
      </c>
      <c r="AX55" s="20">
        <f t="shared" ref="AX55:BD55" si="36">SUM(AX7:AX54)</f>
        <v>-207.18556722179142</v>
      </c>
      <c r="AY55" s="20">
        <f t="shared" si="36"/>
        <v>-274.06092765204562</v>
      </c>
      <c r="AZ55" s="20">
        <f t="shared" si="36"/>
        <v>-275.47021887612317</v>
      </c>
      <c r="BA55" s="20">
        <f t="shared" si="36"/>
        <v>-356.24959240051203</v>
      </c>
      <c r="BB55" s="20">
        <f t="shared" si="36"/>
        <v>-334.2173279868752</v>
      </c>
      <c r="BC55" s="20">
        <f t="shared" si="36"/>
        <v>-55.028569071566764</v>
      </c>
      <c r="BD55" s="20">
        <f t="shared" si="36"/>
        <v>-255.46286109972885</v>
      </c>
      <c r="BE55" s="58">
        <f>SUM(AX55:BD55)</f>
        <v>-1757.6750643086432</v>
      </c>
      <c r="BF55" s="2" t="s">
        <v>17</v>
      </c>
      <c r="BG55" s="20">
        <f t="shared" ref="BG55" si="37">SUM(BG7:BG54)</f>
        <v>207.18556722179142</v>
      </c>
      <c r="BH55" s="20">
        <f t="shared" ref="BH55" si="38">SUM(BH7:BH54)</f>
        <v>274.06092765204562</v>
      </c>
      <c r="BI55" s="20">
        <f t="shared" ref="BI55" si="39">SUM(BI7:BI54)</f>
        <v>275.47021887612317</v>
      </c>
      <c r="BJ55" s="20">
        <f t="shared" ref="BJ55" si="40">SUM(BJ7:BJ54)</f>
        <v>356.24959240051203</v>
      </c>
      <c r="BK55" s="20">
        <f t="shared" ref="BK55" si="41">SUM(BK7:BK54)</f>
        <v>334.2173279868752</v>
      </c>
      <c r="BL55" s="20">
        <f t="shared" ref="BL55" si="42">SUM(BL7:BL54)</f>
        <v>55.028569071566764</v>
      </c>
      <c r="BM55" s="20">
        <f t="shared" ref="BM55" si="43">SUM(BM7:BM54)</f>
        <v>255.46286109972885</v>
      </c>
      <c r="BN55" s="58">
        <f>SUM(BG55:BM55)</f>
        <v>1757.6750643086432</v>
      </c>
      <c r="BO55" s="61"/>
      <c r="BP55" s="2" t="s">
        <v>17</v>
      </c>
      <c r="BQ55" s="66">
        <f t="shared" ref="BQ55:BW55" si="44">SUM(BQ7:BQ54)</f>
        <v>32.994600000000005</v>
      </c>
      <c r="BR55" s="66">
        <f t="shared" si="44"/>
        <v>32.996200000000002</v>
      </c>
      <c r="BS55" s="66">
        <f t="shared" si="44"/>
        <v>34.146599999999992</v>
      </c>
      <c r="BT55" s="66">
        <f t="shared" si="44"/>
        <v>44.160099999999993</v>
      </c>
      <c r="BU55" s="66">
        <f t="shared" si="44"/>
        <v>35.088599999999992</v>
      </c>
      <c r="BV55" s="66">
        <f t="shared" si="44"/>
        <v>45.926399999999987</v>
      </c>
      <c r="BW55" s="66">
        <f t="shared" si="44"/>
        <v>45.978599999999993</v>
      </c>
      <c r="BZ55" s="2" t="s">
        <v>17</v>
      </c>
      <c r="CA55" s="58">
        <f t="shared" ref="CA55:CG55" si="45">SUM(CA7:CA54)</f>
        <v>27.595972941562479</v>
      </c>
      <c r="CB55" s="58">
        <f t="shared" si="45"/>
        <v>24.569938352024938</v>
      </c>
      <c r="CC55" s="58">
        <f t="shared" si="45"/>
        <v>25.081896957922055</v>
      </c>
      <c r="CD55" s="58">
        <f t="shared" si="45"/>
        <v>22.407181972249134</v>
      </c>
      <c r="CE55" s="58">
        <f t="shared" si="45"/>
        <v>20.950881070566655</v>
      </c>
      <c r="CF55" s="58">
        <f t="shared" si="45"/>
        <v>29.113926762653435</v>
      </c>
      <c r="CG55" s="58">
        <f t="shared" si="45"/>
        <v>22.650094048036202</v>
      </c>
      <c r="CQ55" s="17">
        <v>0.9791666666666673</v>
      </c>
      <c r="CR55" s="10">
        <f>'linear calc'!AW52*(1-'linear calc'!V52)</f>
        <v>9.7999999999999989</v>
      </c>
      <c r="CS55" s="10">
        <f>'linear calc'!AX52*(1-'linear calc'!W52)</f>
        <v>10.5</v>
      </c>
      <c r="CT55" s="10">
        <f>'linear calc'!AY52*(1-'linear calc'!X52)</f>
        <v>9.7999999999999989</v>
      </c>
      <c r="CU55" s="10">
        <f>'linear calc'!AZ52*(1-'linear calc'!Y52)</f>
        <v>11.2</v>
      </c>
      <c r="CV55" s="10">
        <f>'linear calc'!BA52*(1-'linear calc'!Z52)</f>
        <v>11.2</v>
      </c>
      <c r="CW55" s="10">
        <f>'linear calc'!BB52*(1-'linear calc'!AA52)</f>
        <v>8.3999999999999986</v>
      </c>
      <c r="CX55" s="10">
        <f>'linear calc'!BC52*(1-'linear calc'!AB52)</f>
        <v>12.6</v>
      </c>
    </row>
    <row r="56" spans="1:141" x14ac:dyDescent="0.3">
      <c r="C56" s="51">
        <f>SUM(E56:K56)</f>
        <v>1</v>
      </c>
      <c r="D56" s="43" t="s">
        <v>42</v>
      </c>
      <c r="E56" s="19">
        <f t="shared" ref="E56:K56" si="46">E55/$E$5</f>
        <v>0.13917436638490266</v>
      </c>
      <c r="F56" s="19">
        <f t="shared" si="46"/>
        <v>0.13803369235576493</v>
      </c>
      <c r="G56" s="19">
        <f t="shared" si="46"/>
        <v>0.13745122051109884</v>
      </c>
      <c r="H56" s="19">
        <f t="shared" si="46"/>
        <v>0.13714784975866859</v>
      </c>
      <c r="I56" s="19">
        <f t="shared" si="46"/>
        <v>0.10459212307953673</v>
      </c>
      <c r="J56" s="19">
        <f t="shared" si="46"/>
        <v>0.17055807072381229</v>
      </c>
      <c r="K56" s="19">
        <f t="shared" si="46"/>
        <v>0.17304267718621608</v>
      </c>
      <c r="L56" s="23"/>
      <c r="AB56" t="s">
        <v>49</v>
      </c>
      <c r="AE56" s="50" t="s">
        <v>48</v>
      </c>
      <c r="AF56" s="18">
        <f>SUM(AF8:AF54)/2</f>
        <v>222.46089670269316</v>
      </c>
      <c r="AG56" s="18">
        <f t="shared" ref="AG56:AL56" si="47">SUM(AG8:AG54)/2</f>
        <v>220.96919742058955</v>
      </c>
      <c r="AH56" s="18">
        <f t="shared" si="47"/>
        <v>220.44491516036499</v>
      </c>
      <c r="AI56" s="18">
        <f t="shared" si="47"/>
        <v>219.96985530902964</v>
      </c>
      <c r="AJ56" s="18">
        <f t="shared" si="47"/>
        <v>167.54266267724171</v>
      </c>
      <c r="AK56" s="18">
        <f t="shared" si="47"/>
        <v>274.50435249601094</v>
      </c>
      <c r="AL56" s="18">
        <f t="shared" si="47"/>
        <v>278.3916829041687</v>
      </c>
      <c r="AM56" s="56">
        <f t="shared" si="35"/>
        <v>1604.2835626700985</v>
      </c>
      <c r="BP56" s="63"/>
      <c r="BQ56" s="63"/>
      <c r="BR56" s="63"/>
      <c r="BS56" s="63"/>
      <c r="BT56" s="63"/>
      <c r="BU56" s="63"/>
      <c r="BV56" s="63"/>
      <c r="CQ56" s="2" t="s">
        <v>17</v>
      </c>
      <c r="CR56" s="20">
        <f>SUM(CR8:CR55)</f>
        <v>459.20000000000056</v>
      </c>
      <c r="CS56" s="20">
        <f t="shared" ref="CS56:CX56" si="48">SUM(CS8:CS55)</f>
        <v>504</v>
      </c>
      <c r="CT56" s="20">
        <f t="shared" si="48"/>
        <v>504.00000000000045</v>
      </c>
      <c r="CU56" s="20">
        <f t="shared" si="48"/>
        <v>560.00000000000034</v>
      </c>
      <c r="CV56" s="20">
        <f t="shared" si="48"/>
        <v>470.40000000000032</v>
      </c>
      <c r="CW56" s="20">
        <f t="shared" si="48"/>
        <v>425.59999999999968</v>
      </c>
      <c r="CX56" s="20">
        <f t="shared" si="48"/>
        <v>571.19999999999982</v>
      </c>
    </row>
    <row r="57" spans="1:141" x14ac:dyDescent="0.3">
      <c r="C57" s="51">
        <f>SUM(E57:K57)</f>
        <v>1</v>
      </c>
      <c r="D57" s="43" t="s">
        <v>43</v>
      </c>
      <c r="E57" s="19">
        <v>0.21</v>
      </c>
      <c r="F57" s="19">
        <v>0.2</v>
      </c>
      <c r="G57" s="19">
        <v>0.12</v>
      </c>
      <c r="H57" s="19">
        <v>0.12</v>
      </c>
      <c r="I57" s="19">
        <v>0.09</v>
      </c>
      <c r="J57" s="19">
        <v>0.14000000000000001</v>
      </c>
      <c r="K57" s="19">
        <v>0.12</v>
      </c>
      <c r="AE57" s="53"/>
      <c r="AG57" s="54"/>
      <c r="AH57" s="54"/>
      <c r="AI57" s="54"/>
      <c r="AJ57" s="54"/>
      <c r="AK57" s="54"/>
      <c r="AL57" s="54"/>
      <c r="AO57" s="30"/>
      <c r="BI57" t="s">
        <v>55</v>
      </c>
      <c r="BP57" s="63"/>
      <c r="BQ57" s="63"/>
      <c r="BR57" s="63"/>
      <c r="BS57" s="63"/>
      <c r="BT57" s="63"/>
      <c r="BU57" s="63"/>
      <c r="BV57" s="63"/>
    </row>
    <row r="58" spans="1:141" x14ac:dyDescent="0.3">
      <c r="AR58" s="23"/>
      <c r="AW58" s="2" t="s">
        <v>3</v>
      </c>
      <c r="AX58" s="3" t="s">
        <v>4</v>
      </c>
      <c r="AY58" s="3" t="s">
        <v>5</v>
      </c>
      <c r="AZ58" s="3" t="s">
        <v>6</v>
      </c>
      <c r="BA58" s="3" t="s">
        <v>7</v>
      </c>
      <c r="BB58" s="3" t="s">
        <v>8</v>
      </c>
      <c r="BC58" s="3" t="s">
        <v>9</v>
      </c>
      <c r="BD58" s="3" t="s">
        <v>10</v>
      </c>
      <c r="BP58" s="63"/>
      <c r="BQ58" s="63"/>
      <c r="BR58" s="63"/>
      <c r="BS58" s="63"/>
      <c r="BT58" s="63"/>
      <c r="BU58" s="63"/>
      <c r="BV58" s="63"/>
    </row>
    <row r="59" spans="1:141" x14ac:dyDescent="0.3">
      <c r="A59" t="s">
        <v>45</v>
      </c>
      <c r="D59" s="3" t="s">
        <v>19</v>
      </c>
      <c r="E59" s="48">
        <f t="shared" ref="E59:K59" si="49">325*E$56</f>
        <v>45.231669075093365</v>
      </c>
      <c r="F59" s="48">
        <f t="shared" si="49"/>
        <v>44.860950015623601</v>
      </c>
      <c r="G59" s="48">
        <f t="shared" si="49"/>
        <v>44.671646666107122</v>
      </c>
      <c r="H59" s="48">
        <f t="shared" si="49"/>
        <v>44.573051171567293</v>
      </c>
      <c r="I59" s="48">
        <f t="shared" si="49"/>
        <v>33.992440000849442</v>
      </c>
      <c r="J59" s="48">
        <f t="shared" si="49"/>
        <v>55.431372985238994</v>
      </c>
      <c r="K59" s="48">
        <f t="shared" si="49"/>
        <v>56.238870085520226</v>
      </c>
      <c r="L59" s="52">
        <f t="shared" ref="L59:L60" si="50">SUM(E59:K59)</f>
        <v>325.00000000000006</v>
      </c>
      <c r="N59" t="s">
        <v>44</v>
      </c>
      <c r="O59" s="49">
        <f>65*5</f>
        <v>325</v>
      </c>
      <c r="AR59" s="23"/>
      <c r="AW59" s="6">
        <v>0</v>
      </c>
      <c r="AX59" s="10">
        <v>9.7999999999999989</v>
      </c>
      <c r="AY59" s="10">
        <v>10.5</v>
      </c>
      <c r="AZ59" s="10">
        <v>9.7999999999999989</v>
      </c>
      <c r="BA59" s="10">
        <v>11.2</v>
      </c>
      <c r="BB59" s="10">
        <v>11.2</v>
      </c>
      <c r="BC59" s="10">
        <v>8.3999999999999986</v>
      </c>
      <c r="BD59" s="10">
        <v>12.6</v>
      </c>
    </row>
    <row r="60" spans="1:141" x14ac:dyDescent="0.3">
      <c r="D60" s="3" t="s">
        <v>27</v>
      </c>
      <c r="E60" s="48">
        <f>$E$61-E$59</f>
        <v>19.768330924906635</v>
      </c>
      <c r="F60" s="48">
        <f t="shared" ref="F60:K60" si="51">$E$61-F$59</f>
        <v>20.139049984376399</v>
      </c>
      <c r="G60" s="48">
        <f t="shared" si="51"/>
        <v>20.328353333892878</v>
      </c>
      <c r="H60" s="48">
        <f t="shared" si="51"/>
        <v>20.426948828432707</v>
      </c>
      <c r="I60" s="48">
        <f t="shared" si="51"/>
        <v>31.007559999150558</v>
      </c>
      <c r="J60" s="48">
        <f t="shared" si="51"/>
        <v>9.568627014761006</v>
      </c>
      <c r="K60" s="48">
        <f t="shared" si="51"/>
        <v>8.7611299144797741</v>
      </c>
      <c r="L60" s="52">
        <f t="shared" si="50"/>
        <v>129.99999999999997</v>
      </c>
      <c r="AW60" s="6">
        <v>2.0833333333333332E-2</v>
      </c>
      <c r="AX60" s="10">
        <v>9.7999999999999989</v>
      </c>
      <c r="AY60" s="10">
        <v>10.5</v>
      </c>
      <c r="AZ60" s="10">
        <v>9.7999999999999989</v>
      </c>
      <c r="BA60" s="10">
        <v>11.2</v>
      </c>
      <c r="BB60" s="10">
        <v>11.2</v>
      </c>
      <c r="BC60" s="10">
        <v>8.3999999999999986</v>
      </c>
      <c r="BD60" s="10">
        <v>12.6</v>
      </c>
    </row>
    <row r="61" spans="1:141" x14ac:dyDescent="0.3">
      <c r="D61" s="3" t="s">
        <v>40</v>
      </c>
      <c r="E61" s="3">
        <v>65</v>
      </c>
      <c r="F61" s="3">
        <v>65</v>
      </c>
      <c r="G61" s="3">
        <v>65</v>
      </c>
      <c r="H61" s="3">
        <v>65</v>
      </c>
      <c r="I61" s="3">
        <v>65</v>
      </c>
      <c r="J61" s="3">
        <v>65</v>
      </c>
      <c r="K61" s="3">
        <v>65</v>
      </c>
      <c r="L61" s="52"/>
      <c r="AW61" s="6">
        <v>4.1666666666666664E-2</v>
      </c>
      <c r="AX61" s="10">
        <v>9.7999999999999989</v>
      </c>
      <c r="AY61" s="10">
        <v>10.5</v>
      </c>
      <c r="AZ61" s="10">
        <v>9.7999999999999989</v>
      </c>
      <c r="BA61" s="10">
        <v>11.2</v>
      </c>
      <c r="BB61" s="10">
        <v>11.2</v>
      </c>
      <c r="BC61" s="10">
        <v>8.3999999999999986</v>
      </c>
      <c r="BD61" s="10">
        <v>12.6</v>
      </c>
      <c r="BJ61" t="s">
        <v>57</v>
      </c>
      <c r="BS61" t="s">
        <v>58</v>
      </c>
      <c r="CB61" t="s">
        <v>59</v>
      </c>
      <c r="CK61" t="s">
        <v>60</v>
      </c>
      <c r="CT61" t="s">
        <v>31</v>
      </c>
      <c r="DC61" t="s">
        <v>61</v>
      </c>
      <c r="DL61" t="s">
        <v>62</v>
      </c>
      <c r="DU61" t="s">
        <v>65</v>
      </c>
      <c r="ED61" t="s">
        <v>67</v>
      </c>
    </row>
    <row r="62" spans="1:141" x14ac:dyDescent="0.3">
      <c r="AW62" s="6">
        <v>6.25E-2</v>
      </c>
      <c r="AX62" s="10">
        <v>9.7999999999999989</v>
      </c>
      <c r="AY62" s="10">
        <v>10.5</v>
      </c>
      <c r="AZ62" s="10">
        <v>9.7999999999999989</v>
      </c>
      <c r="BA62" s="10">
        <v>11.2</v>
      </c>
      <c r="BB62" s="10">
        <v>11.2</v>
      </c>
      <c r="BC62" s="10">
        <v>8.3999999999999986</v>
      </c>
      <c r="BD62" s="10">
        <v>12.6</v>
      </c>
      <c r="BJ62" s="2" t="s">
        <v>3</v>
      </c>
      <c r="BK62" s="3" t="s">
        <v>4</v>
      </c>
      <c r="BL62" s="3" t="s">
        <v>5</v>
      </c>
      <c r="BM62" s="3" t="s">
        <v>6</v>
      </c>
      <c r="BN62" s="3" t="s">
        <v>7</v>
      </c>
      <c r="BO62" s="3" t="s">
        <v>8</v>
      </c>
      <c r="BP62" s="3" t="s">
        <v>9</v>
      </c>
      <c r="BQ62" s="3" t="s">
        <v>10</v>
      </c>
      <c r="BS62" s="2" t="s">
        <v>3</v>
      </c>
      <c r="BT62" s="3" t="s">
        <v>4</v>
      </c>
      <c r="BU62" s="3" t="s">
        <v>5</v>
      </c>
      <c r="BV62" s="3" t="s">
        <v>6</v>
      </c>
      <c r="BW62" s="3" t="s">
        <v>7</v>
      </c>
      <c r="BX62" s="3" t="s">
        <v>8</v>
      </c>
      <c r="BY62" s="3" t="s">
        <v>9</v>
      </c>
      <c r="BZ62" s="3" t="s">
        <v>10</v>
      </c>
      <c r="CB62" s="2" t="s">
        <v>3</v>
      </c>
      <c r="CC62" s="3" t="s">
        <v>4</v>
      </c>
      <c r="CD62" s="3" t="s">
        <v>5</v>
      </c>
      <c r="CE62" s="3" t="s">
        <v>6</v>
      </c>
      <c r="CF62" s="3" t="s">
        <v>7</v>
      </c>
      <c r="CG62" s="3" t="s">
        <v>8</v>
      </c>
      <c r="CH62" s="3" t="s">
        <v>9</v>
      </c>
      <c r="CI62" s="3" t="s">
        <v>10</v>
      </c>
      <c r="CK62" s="2" t="s">
        <v>3</v>
      </c>
      <c r="CL62" s="3" t="s">
        <v>4</v>
      </c>
      <c r="CM62" s="3" t="s">
        <v>5</v>
      </c>
      <c r="CN62" s="3" t="s">
        <v>6</v>
      </c>
      <c r="CO62" s="3" t="s">
        <v>7</v>
      </c>
      <c r="CP62" s="3" t="s">
        <v>8</v>
      </c>
      <c r="CQ62" s="3" t="s">
        <v>9</v>
      </c>
      <c r="CR62" s="3" t="s">
        <v>10</v>
      </c>
      <c r="CT62" s="2" t="s">
        <v>3</v>
      </c>
      <c r="CU62" s="3" t="s">
        <v>4</v>
      </c>
      <c r="CV62" s="3" t="s">
        <v>5</v>
      </c>
      <c r="CW62" s="3" t="s">
        <v>6</v>
      </c>
      <c r="CX62" s="3" t="s">
        <v>7</v>
      </c>
      <c r="CY62" s="3" t="s">
        <v>8</v>
      </c>
      <c r="CZ62" s="3" t="s">
        <v>9</v>
      </c>
      <c r="DA62" s="3" t="s">
        <v>10</v>
      </c>
      <c r="DC62" s="2" t="s">
        <v>3</v>
      </c>
      <c r="DD62" s="3" t="s">
        <v>4</v>
      </c>
      <c r="DE62" s="3" t="s">
        <v>5</v>
      </c>
      <c r="DF62" s="3" t="s">
        <v>6</v>
      </c>
      <c r="DG62" s="3" t="s">
        <v>7</v>
      </c>
      <c r="DH62" s="3" t="s">
        <v>8</v>
      </c>
      <c r="DI62" s="3" t="s">
        <v>9</v>
      </c>
      <c r="DJ62" s="3" t="s">
        <v>10</v>
      </c>
      <c r="DL62" s="2" t="s">
        <v>3</v>
      </c>
      <c r="DM62" s="3" t="s">
        <v>4</v>
      </c>
      <c r="DN62" s="3" t="s">
        <v>5</v>
      </c>
      <c r="DO62" s="3" t="s">
        <v>6</v>
      </c>
      <c r="DP62" s="3" t="s">
        <v>7</v>
      </c>
      <c r="DQ62" s="3" t="s">
        <v>8</v>
      </c>
      <c r="DR62" s="3" t="s">
        <v>9</v>
      </c>
      <c r="DS62" s="3" t="s">
        <v>10</v>
      </c>
      <c r="DU62" s="2" t="s">
        <v>3</v>
      </c>
      <c r="DV62" s="3" t="s">
        <v>4</v>
      </c>
      <c r="DW62" s="3" t="s">
        <v>5</v>
      </c>
      <c r="DX62" s="3" t="s">
        <v>6</v>
      </c>
      <c r="DY62" s="3" t="s">
        <v>7</v>
      </c>
      <c r="DZ62" s="3" t="s">
        <v>8</v>
      </c>
      <c r="EA62" s="3" t="s">
        <v>9</v>
      </c>
      <c r="EB62" s="3" t="s">
        <v>10</v>
      </c>
      <c r="ED62" s="2" t="s">
        <v>3</v>
      </c>
      <c r="EE62" s="3" t="s">
        <v>4</v>
      </c>
      <c r="EF62" s="3" t="s">
        <v>5</v>
      </c>
      <c r="EG62" s="3" t="s">
        <v>6</v>
      </c>
      <c r="EH62" s="3" t="s">
        <v>7</v>
      </c>
      <c r="EI62" s="3" t="s">
        <v>8</v>
      </c>
      <c r="EJ62" s="3" t="s">
        <v>9</v>
      </c>
      <c r="EK62" s="3" t="s">
        <v>10</v>
      </c>
    </row>
    <row r="63" spans="1:141" x14ac:dyDescent="0.3">
      <c r="AW63" s="6">
        <v>8.3333333333333329E-2</v>
      </c>
      <c r="AX63" s="10">
        <v>9.7999999999999989</v>
      </c>
      <c r="AY63" s="10">
        <v>10.5</v>
      </c>
      <c r="AZ63" s="10">
        <v>9.7999999999999989</v>
      </c>
      <c r="BA63" s="10">
        <v>11.2</v>
      </c>
      <c r="BB63" s="10">
        <v>11.2</v>
      </c>
      <c r="BC63" s="10">
        <v>8.3999999999999986</v>
      </c>
      <c r="BD63" s="10">
        <v>12.6</v>
      </c>
      <c r="BJ63" s="6">
        <v>0</v>
      </c>
      <c r="BK63" s="68" cm="1">
        <f t="array" ref="BK63">[1]!FractionalAgents(82%,20,E7,N7)</f>
        <v>4.2362666130065918</v>
      </c>
      <c r="BL63" s="68" cm="1">
        <f t="array" ref="BL63">[1]!FractionalAgents(82%,20,F7,O7)</f>
        <v>4.3334293365478516</v>
      </c>
      <c r="BM63" s="68" cm="1">
        <f t="array" ref="BM63">[1]!FractionalAgents(82%,20,G7,P7)</f>
        <v>3.9843459129333496</v>
      </c>
      <c r="BN63" s="68" cm="1">
        <f t="array" ref="BN63">[1]!FractionalAgents(82%,20,H7,Q7)</f>
        <v>4.1509256362915039</v>
      </c>
      <c r="BO63" s="68" cm="1">
        <f t="array" ref="BO63">[1]!FractionalAgents(82%,20,I7,R7)</f>
        <v>3.3278093338012695</v>
      </c>
      <c r="BP63" s="68" cm="1">
        <f t="array" ref="BP63">[1]!FractionalAgents(82%,20,J7,S7)</f>
        <v>4.2948460578918457</v>
      </c>
      <c r="BQ63" s="68" cm="1">
        <f t="array" ref="BQ63">[1]!FractionalAgents(82%,20,K7,T7)</f>
        <v>4.093472957611084</v>
      </c>
      <c r="BS63" s="6">
        <v>0</v>
      </c>
      <c r="BT63" s="8" cm="1">
        <f t="array" ref="BT63">[1]!SLA(BK63,20,E7,N7)</f>
        <v>0.80128437280654907</v>
      </c>
      <c r="BU63" s="8" cm="1">
        <f t="array" ref="BU63">[1]!SLA(BL63,20,F7,O7)</f>
        <v>0.79194796085357666</v>
      </c>
      <c r="BV63" s="8" cm="1">
        <f t="array" ref="BV63">[1]!SLA(BM63,20,G7,P7)</f>
        <v>0.663260817527771</v>
      </c>
      <c r="BW63" s="8" cm="1">
        <f t="array" ref="BW63">[1]!SLA(BN63,20,H7,Q7)</f>
        <v>0.80865269899368286</v>
      </c>
      <c r="BX63" s="8" cm="1">
        <f t="array" ref="BX63">[1]!SLA(BO63,20,I7,R7)</f>
        <v>0.78802251815795898</v>
      </c>
      <c r="BY63" s="8" cm="1">
        <f t="array" ref="BY63">[1]!SLA(BP63,20,J7,S7)</f>
        <v>0.79582720994949341</v>
      </c>
      <c r="BZ63" s="8" cm="1">
        <f t="array" ref="BZ63">[1]!SLA(BQ63,20,K7,T7)</f>
        <v>0.81324595212936401</v>
      </c>
      <c r="CB63" s="6">
        <v>0</v>
      </c>
      <c r="CC63" s="8" cm="1">
        <f t="array" ref="CC63">[1]!Utilisation(BK63,E7,N7)</f>
        <v>0.52784949541091919</v>
      </c>
      <c r="CD63" s="8" cm="1">
        <f t="array" ref="CD63">[1]!Utilisation(BL63,F7,O7)</f>
        <v>0.5300363302230835</v>
      </c>
      <c r="CE63" s="8" cm="1">
        <f t="array" ref="CE63">[1]!Utilisation(BM63,G7,P7)</f>
        <v>0.52518028020858765</v>
      </c>
      <c r="CF63" s="8" cm="1">
        <f t="array" ref="CF63">[1]!Utilisation(BN63,H7,Q7)</f>
        <v>0.52679014205932617</v>
      </c>
      <c r="CG63" s="8" cm="1">
        <f t="array" ref="CG63">[1]!Utilisation(BO63,I7,R7)</f>
        <v>0.46558061242103577</v>
      </c>
      <c r="CH63" s="8" cm="1">
        <f t="array" ref="CH63">[1]!Utilisation(BP63,J7,S7)</f>
        <v>0.52929240465164185</v>
      </c>
      <c r="CI63" s="8" cm="1">
        <f t="array" ref="CI63">[1]!Utilisation(BQ63,K7,T7)</f>
        <v>0.52714335918426514</v>
      </c>
      <c r="CK63" s="6">
        <v>0</v>
      </c>
      <c r="CL63" s="69" cm="1">
        <f t="array" ref="CL63">[1]!FractionalCallCapacity(BK63,BT63,20,N7)</f>
        <v>25</v>
      </c>
      <c r="CM63" s="69" cm="1">
        <f t="array" ref="CM63">[1]!FractionalCallCapacity(BL63,BU63,20,O7)</f>
        <v>27</v>
      </c>
      <c r="CN63" s="69" cm="1">
        <f t="array" ref="CN63">[1]!FractionalCallCapacity(BM63,BV63,20,P7)</f>
        <v>29</v>
      </c>
      <c r="CO63" s="69" cm="1">
        <f t="array" ref="CO63">[1]!FractionalCallCapacity(BN63,BW63,20,Q7)</f>
        <v>24</v>
      </c>
      <c r="CP63" s="69" cm="1">
        <f t="array" ref="CP63">[1]!FractionalCallCapacity(BO63,BX63,20,R7)</f>
        <v>18</v>
      </c>
      <c r="CQ63" s="69" cm="1">
        <f t="array" ref="CQ63">[1]!FractionalCallCapacity(BP63,BY63,20,S7)</f>
        <v>27</v>
      </c>
      <c r="CR63" s="69" cm="1">
        <f t="array" ref="CR63">[1]!FractionalCallCapacity(BQ63,BZ63,20,T7)</f>
        <v>24</v>
      </c>
      <c r="CT63" s="6">
        <v>0</v>
      </c>
      <c r="CU63" s="72">
        <f>CL63-E7</f>
        <v>0</v>
      </c>
      <c r="CV63" s="72">
        <f t="shared" ref="CV63:DA63" si="52">CM63-F7</f>
        <v>0.75</v>
      </c>
      <c r="CW63" s="72">
        <f t="shared" si="52"/>
        <v>5.75</v>
      </c>
      <c r="CX63" s="72">
        <f t="shared" si="52"/>
        <v>0</v>
      </c>
      <c r="CY63" s="72">
        <f t="shared" si="52"/>
        <v>0.99479166666666785</v>
      </c>
      <c r="CZ63" s="72">
        <f t="shared" si="52"/>
        <v>0.9375</v>
      </c>
      <c r="DA63" s="72">
        <f t="shared" si="52"/>
        <v>-0.125</v>
      </c>
      <c r="DC63" s="6">
        <v>0</v>
      </c>
      <c r="DD63" s="72">
        <f>'linear calc'!BF5 -'linear calc'!AN5</f>
        <v>1.0804878048780484</v>
      </c>
      <c r="DE63" s="72">
        <f>'linear calc'!BG5 -'linear calc'!AO5</f>
        <v>3.6721770551038846</v>
      </c>
      <c r="DF63" s="72">
        <f>'linear calc'!BH5 -'linear calc'!AP5</f>
        <v>1.690346167612617</v>
      </c>
      <c r="DG63" s="72">
        <f>'linear calc'!BI5 -'linear calc'!AQ5</f>
        <v>3.1975363389997522</v>
      </c>
      <c r="DH63" s="72">
        <f>'linear calc'!BJ5 -'linear calc'!AR5</f>
        <v>3.8718089430894302</v>
      </c>
      <c r="DI63" s="72">
        <f>'linear calc'!BK5 -'linear calc'!AS5</f>
        <v>1.588292682926828</v>
      </c>
      <c r="DJ63" s="72">
        <f>'linear calc'!BL5 -'linear calc'!AT5</f>
        <v>4.9757562070570192</v>
      </c>
      <c r="DL63" s="6">
        <v>0</v>
      </c>
      <c r="DM63" s="75" cm="1">
        <f t="array" ref="DM63">[1]!asa(CR8,E7,N7)</f>
        <v>0</v>
      </c>
      <c r="DN63" s="75" cm="1">
        <f t="array" ref="DN63">[1]!asa(CS8,F7,O7)</f>
        <v>0</v>
      </c>
      <c r="DO63" s="75" cm="1">
        <f t="array" ref="DO63">[1]!asa(CT8,G7,P7)</f>
        <v>0</v>
      </c>
      <c r="DP63" s="75" cm="1">
        <f t="array" ref="DP63">[1]!asa(CU8,H7,Q7)</f>
        <v>0</v>
      </c>
      <c r="DQ63" s="75" cm="1">
        <f t="array" ref="DQ63">[1]!asa(CV8,I7,R7)</f>
        <v>0</v>
      </c>
      <c r="DR63" s="75" cm="1">
        <f t="array" ref="DR63">[1]!asa(CW8,J7,S7)</f>
        <v>0</v>
      </c>
      <c r="DS63" s="75" cm="1">
        <f t="array" ref="DS63">[1]!asa(CX8,K7,T7)</f>
        <v>0</v>
      </c>
      <c r="DU63" s="6">
        <v>0</v>
      </c>
      <c r="DV63" s="8" cm="1">
        <f t="array" ref="DV63">[1]!Abandon(CR8,300,E7,N7)</f>
        <v>4.6398872655117884E-7</v>
      </c>
      <c r="DW63" s="8" cm="1">
        <f t="array" ref="DW63">[1]!Abandon(CS8,300,F7,O7)</f>
        <v>5.8664269886321563E-8</v>
      </c>
      <c r="DX63" s="8" cm="1">
        <f t="array" ref="DX63">[1]!Abandon(CT8,300,G7,P7)</f>
        <v>2.6448498147146893E-7</v>
      </c>
      <c r="DY63" s="8" cm="1">
        <f t="array" ref="DY63">[1]!Abandon(CU8,300,H7,Q7)</f>
        <v>5.0216528713065145E-9</v>
      </c>
      <c r="DZ63" s="8" cm="1">
        <f t="array" ref="DZ63">[1]!Abandon(CV8,300,I7,R7)</f>
        <v>1.1191328419535296E-10</v>
      </c>
      <c r="EA63" s="8" cm="1">
        <f t="array" ref="EA63">[1]!Abandon(CW8,300,J7,S7)</f>
        <v>7.1647064032731578E-6</v>
      </c>
      <c r="EB63" s="8" cm="1">
        <f t="array" ref="EB63">[1]!Abandon(CX8,300,K7,T7)</f>
        <v>1.7669476992665523E-10</v>
      </c>
      <c r="ED63" s="6">
        <v>0</v>
      </c>
      <c r="EE63" s="8">
        <f>1-ABS((('linear calc'!AN5 -'linear calc'!AW5) /'linear calc'!AN5))</f>
        <v>0.39440559440559431</v>
      </c>
      <c r="EF63" s="8">
        <f>1-ABS((('linear calc'!AO5 -'linear calc'!AX5) /'linear calc'!AO5))</f>
        <v>-0.19689352243861125</v>
      </c>
      <c r="EG63" s="8">
        <f>1-ABS((('linear calc'!AP5 -'linear calc'!AY5) /'linear calc'!AP5))</f>
        <v>0.27366244116506599</v>
      </c>
      <c r="EH63" s="8">
        <f>1-ABS((('linear calc'!AQ5 -'linear calc'!AZ5) /'linear calc'!AQ5))</f>
        <v>6.1572563265821501E-4</v>
      </c>
      <c r="EI63" s="8">
        <f>1-ABS((('linear calc'!AR5 -'linear calc'!BA5) /'linear calc'!AR5))</f>
        <v>-0.18334918887135387</v>
      </c>
      <c r="EJ63" s="8">
        <f>1-ABS((('linear calc'!AS5 -'linear calc'!BB5) /'linear calc'!AS5))</f>
        <v>0.23832712689773694</v>
      </c>
      <c r="EK63" s="8">
        <f>1-ABS((('linear calc'!AT5 -'linear calc'!BC5) /'linear calc'!AT5))</f>
        <v>-0.36088987824088803</v>
      </c>
    </row>
    <row r="64" spans="1:141" x14ac:dyDescent="0.3">
      <c r="A64" t="s">
        <v>46</v>
      </c>
      <c r="D64" s="3" t="s">
        <v>19</v>
      </c>
      <c r="E64" s="48">
        <f t="shared" ref="E64:K64" si="53">325*E$57</f>
        <v>68.25</v>
      </c>
      <c r="F64" s="48">
        <f t="shared" si="53"/>
        <v>65</v>
      </c>
      <c r="G64" s="48">
        <f t="shared" si="53"/>
        <v>39</v>
      </c>
      <c r="H64" s="48">
        <f t="shared" si="53"/>
        <v>39</v>
      </c>
      <c r="I64" s="48">
        <f t="shared" si="53"/>
        <v>29.25</v>
      </c>
      <c r="J64" s="48">
        <f t="shared" si="53"/>
        <v>45.500000000000007</v>
      </c>
      <c r="K64" s="48">
        <f t="shared" si="53"/>
        <v>39</v>
      </c>
      <c r="L64" s="52">
        <f t="shared" ref="L64:L65" si="54">SUM(E64:K64)</f>
        <v>325</v>
      </c>
      <c r="AW64" s="6">
        <v>0.10416666666666666</v>
      </c>
      <c r="AX64" s="10">
        <v>9.7999999999999989</v>
      </c>
      <c r="AY64" s="10">
        <v>10.5</v>
      </c>
      <c r="AZ64" s="10">
        <v>9.7999999999999989</v>
      </c>
      <c r="BA64" s="10">
        <v>11.2</v>
      </c>
      <c r="BB64" s="10">
        <v>11.2</v>
      </c>
      <c r="BC64" s="10">
        <v>8.3999999999999986</v>
      </c>
      <c r="BD64" s="10">
        <v>12.6</v>
      </c>
      <c r="BJ64" s="6">
        <v>2.0833333333333332E-2</v>
      </c>
      <c r="BK64" s="68" cm="1">
        <f t="array" ref="BK64">[1]!FractionalAgents(82%,20,E8,N8)</f>
        <v>4.2362666130065918</v>
      </c>
      <c r="BL64" s="68" cm="1">
        <f t="array" ref="BL64">[1]!FractionalAgents(82%,20,F8,O8)</f>
        <v>4.4693126678466797</v>
      </c>
      <c r="BM64" s="68" cm="1">
        <f t="array" ref="BM64">[1]!FractionalAgents(82%,20,G8,P8)</f>
        <v>3.938631534576416</v>
      </c>
      <c r="BN64" s="68" cm="1">
        <f t="array" ref="BN64">[1]!FractionalAgents(82%,20,H8,Q8)</f>
        <v>4.1951055526733398</v>
      </c>
      <c r="BO64" s="68" cm="1">
        <f t="array" ref="BO64">[1]!FractionalAgents(82%,20,I8,R8)</f>
        <v>3.6466743946075439</v>
      </c>
      <c r="BP64" s="68" cm="1">
        <f t="array" ref="BP64">[1]!FractionalAgents(82%,20,J8,S8)</f>
        <v>4.2224454879760742</v>
      </c>
      <c r="BQ64" s="68" cm="1">
        <f t="array" ref="BQ64">[1]!FractionalAgents(82%,20,K8,T8)</f>
        <v>3.9261674880981445</v>
      </c>
      <c r="BS64" s="6">
        <v>2.0833333333333332E-2</v>
      </c>
      <c r="BT64" s="8" cm="1">
        <f t="array" ref="BT64">[1]!SLA(BK64,20,E8,N8)</f>
        <v>0.80128437280654907</v>
      </c>
      <c r="BU64" s="8" cm="1">
        <f t="array" ref="BU64">[1]!SLA(BL64,20,F8,O8)</f>
        <v>0.77655488252639771</v>
      </c>
      <c r="BV64" s="8" cm="1">
        <f t="array" ref="BV64">[1]!SLA(BM64,20,G8,P8)</f>
        <v>0.67537945508956909</v>
      </c>
      <c r="BW64" s="8" cm="1">
        <f t="array" ref="BW64">[1]!SLA(BN64,20,H8,Q8)</f>
        <v>0.80492973327636719</v>
      </c>
      <c r="BX64" s="8" cm="1">
        <f t="array" ref="BX64">[1]!SLA(BO64,20,I8,R8)</f>
        <v>0.74049431085586548</v>
      </c>
      <c r="BY64" s="8" cm="1">
        <f t="array" ref="BY64">[1]!SLA(BP64,20,J8,S8)</f>
        <v>0.80248731374740601</v>
      </c>
      <c r="BZ64" s="8" cm="1">
        <f t="array" ref="BZ64">[1]!SLA(BQ64,20,K8,T8)</f>
        <v>0.67875683307647705</v>
      </c>
      <c r="CB64" s="6">
        <v>2.0833333333333332E-2</v>
      </c>
      <c r="CC64" s="8" cm="1">
        <f t="array" ref="CC64">[1]!Utilisation(BK64,E8,N8)</f>
        <v>0.52784949541091919</v>
      </c>
      <c r="CD64" s="8" cm="1">
        <f t="array" ref="CD64">[1]!Utilisation(BL64,F8,O8)</f>
        <v>0.53349930047988892</v>
      </c>
      <c r="CE64" s="8" cm="1">
        <f t="array" ref="CE64">[1]!Utilisation(BM64,G8,P8)</f>
        <v>0.51784056425094604</v>
      </c>
      <c r="CF64" s="8" cm="1">
        <f t="array" ref="CF64">[1]!Utilisation(BN64,H8,Q8)</f>
        <v>0.52723479270935059</v>
      </c>
      <c r="CG64" s="8" cm="1">
        <f t="array" ref="CG64">[1]!Utilisation(BO64,I8,R8)</f>
        <v>0.48471197485923767</v>
      </c>
      <c r="CH64" s="8" cm="1">
        <f t="array" ref="CH64">[1]!Utilisation(BP64,J8,S8)</f>
        <v>0.52730762958526611</v>
      </c>
      <c r="CI64" s="8" cm="1">
        <f t="array" ref="CI64">[1]!Utilisation(BQ64,K8,T8)</f>
        <v>0.51620793342590332</v>
      </c>
      <c r="CK64" s="6">
        <v>2.0833333333333332E-2</v>
      </c>
      <c r="CL64" s="69" cm="1">
        <f t="array" ref="CL64">[1]!FractionalCallCapacity(BK64,BT64,20,N8)</f>
        <v>25</v>
      </c>
      <c r="CM64" s="69" cm="1">
        <f t="array" ref="CM64">[1]!FractionalCallCapacity(BL64,BU64,20,O8)</f>
        <v>28</v>
      </c>
      <c r="CN64" s="69" cm="1">
        <f t="array" ref="CN64">[1]!FractionalCallCapacity(BM64,BV64,20,P8)</f>
        <v>27</v>
      </c>
      <c r="CO64" s="69" cm="1">
        <f t="array" ref="CO64">[1]!FractionalCallCapacity(BN64,BW64,20,Q8)</f>
        <v>25</v>
      </c>
      <c r="CP64" s="69" cm="1">
        <f t="array" ref="CP64">[1]!FractionalCallCapacity(BO64,BX64,20,R8)</f>
        <v>23</v>
      </c>
      <c r="CQ64" s="69" cm="1">
        <f t="array" ref="CQ64">[1]!FractionalCallCapacity(BP64,BY64,20,S8)</f>
        <v>25</v>
      </c>
      <c r="CR64" s="69" cm="1">
        <f t="array" ref="CR64">[1]!FractionalCallCapacity(BQ64,BZ64,20,T8)</f>
        <v>27</v>
      </c>
      <c r="CT64" s="6">
        <v>2.0833333333333332E-2</v>
      </c>
      <c r="CU64" s="72">
        <f t="shared" ref="CU64:CU110" si="55">CL64-E8</f>
        <v>0</v>
      </c>
      <c r="CV64" s="72">
        <f t="shared" ref="CV64:CV110" si="56">CM64-F8</f>
        <v>1.75</v>
      </c>
      <c r="CW64" s="72">
        <f t="shared" ref="CW64:CW110" si="57">CN64-G8</f>
        <v>4.75</v>
      </c>
      <c r="CX64" s="72">
        <f t="shared" ref="CX64:CX110" si="58">CO64-H8</f>
        <v>0.5</v>
      </c>
      <c r="CY64" s="72">
        <f t="shared" ref="CY64:CY110" si="59">CP64-I8</f>
        <v>2.9895833333333321</v>
      </c>
      <c r="CZ64" s="72">
        <f t="shared" ref="CZ64:CZ110" si="60">CQ64-J8</f>
        <v>0.5625</v>
      </c>
      <c r="DA64" s="72">
        <f t="shared" ref="DA64:DA110" si="61">CR64-K8</f>
        <v>4.6875</v>
      </c>
      <c r="DC64" s="6">
        <v>2.0833333333333332E-2</v>
      </c>
      <c r="DD64" s="72">
        <f>'linear calc'!BF6 -'linear calc'!AN6</f>
        <v>1.0742493761571268</v>
      </c>
      <c r="DE64" s="72">
        <f>'linear calc'!BG6 -'linear calc'!AO6</f>
        <v>3.6306864524955929</v>
      </c>
      <c r="DF64" s="72">
        <f>'linear calc'!BH6 -'linear calc'!AP6</f>
        <v>1.2931428102159792</v>
      </c>
      <c r="DG64" s="72">
        <f>'linear calc'!BI6 -'linear calc'!AQ6</f>
        <v>3.2636157907970826</v>
      </c>
      <c r="DH64" s="72">
        <f>'linear calc'!BJ6 -'linear calc'!AR6</f>
        <v>2.7900878705756735</v>
      </c>
      <c r="DI64" s="72">
        <f>'linear calc'!BK6 -'linear calc'!AS6</f>
        <v>1.5042994213725915</v>
      </c>
      <c r="DJ64" s="72">
        <f>'linear calc'!BL6 -'linear calc'!AT6</f>
        <v>4.6201773835920177</v>
      </c>
      <c r="DL64" s="6">
        <v>2.0833333333333332E-2</v>
      </c>
      <c r="DM64" s="75" cm="1">
        <f t="array" ref="DM64">[1]!asa(CR9,E8,N8)</f>
        <v>0</v>
      </c>
      <c r="DN64" s="75" cm="1">
        <f t="array" ref="DN64">[1]!asa(CS9,F8,O8)</f>
        <v>0</v>
      </c>
      <c r="DO64" s="75" cm="1">
        <f t="array" ref="DO64">[1]!asa(CT9,G8,P8)</f>
        <v>0</v>
      </c>
      <c r="DP64" s="75" cm="1">
        <f t="array" ref="DP64">[1]!asa(CU9,H8,Q8)</f>
        <v>0</v>
      </c>
      <c r="DQ64" s="75" cm="1">
        <f t="array" ref="DQ64">[1]!asa(CV9,I8,R8)</f>
        <v>0</v>
      </c>
      <c r="DR64" s="75" cm="1">
        <f t="array" ref="DR64">[1]!asa(CW9,J8,S8)</f>
        <v>0</v>
      </c>
      <c r="DS64" s="75" cm="1">
        <f t="array" ref="DS64">[1]!asa(CX9,K8,T8)</f>
        <v>0</v>
      </c>
      <c r="DU64" s="6">
        <v>2.0833333333333332E-2</v>
      </c>
      <c r="DV64" s="8" cm="1">
        <f t="array" ref="DV64">[1]!Abandon(CR9,300,E8,N8)</f>
        <v>4.6398872655117884E-7</v>
      </c>
      <c r="DW64" s="8" cm="1">
        <f t="array" ref="DW64">[1]!Abandon(CS9,300,F8,O8)</f>
        <v>1.1396618759818011E-7</v>
      </c>
      <c r="DX64" s="8" cm="1">
        <f t="array" ref="DX64">[1]!Abandon(CT9,300,G8,P8)</f>
        <v>2.3864649278948491E-7</v>
      </c>
      <c r="DY64" s="8" cm="1">
        <f t="array" ref="DY64">[1]!Abandon(CU9,300,H8,Q8)</f>
        <v>5.2817643592106833E-9</v>
      </c>
      <c r="DZ64" s="8" cm="1">
        <f t="array" ref="DZ64">[1]!Abandon(CV9,300,I8,R8)</f>
        <v>3.6509309464527462E-10</v>
      </c>
      <c r="EA64" s="8" cm="1">
        <f t="array" ref="EA64">[1]!Abandon(CW9,300,J8,S8)</f>
        <v>7.7629019870073535E-6</v>
      </c>
      <c r="EB64" s="8" cm="1">
        <f t="array" ref="EB64">[1]!Abandon(CX9,300,K8,T8)</f>
        <v>9.6468250054826399E-11</v>
      </c>
      <c r="ED64" s="6">
        <v>2.0833333333333332E-2</v>
      </c>
      <c r="EE64" s="8">
        <f>1-ABS((('linear calc'!AN6 -'linear calc'!AW6) /'linear calc'!AN6))</f>
        <v>0.39555350553505531</v>
      </c>
      <c r="EF64" s="8">
        <f>1-ABS((('linear calc'!AO6 -'linear calc'!AX6) /'linear calc'!AO6))</f>
        <v>-0.18362430194345047</v>
      </c>
      <c r="EG64" s="8">
        <f>1-ABS((('linear calc'!AP6 -'linear calc'!AY6) /'linear calc'!AP6))</f>
        <v>0.35426883422790301</v>
      </c>
      <c r="EH64" s="8">
        <f>1-ABS((('linear calc'!AQ6 -'linear calc'!AZ6) /'linear calc'!AQ6))</f>
        <v>-1.6031429205081826E-2</v>
      </c>
      <c r="EI64" s="8">
        <f>1-ABS((('linear calc'!AR6 -'linear calc'!BA6) /'linear calc'!AR6))</f>
        <v>9.748309449991488E-2</v>
      </c>
      <c r="EJ64" s="8">
        <f>1-ABS((('linear calc'!AS6 -'linear calc'!BB6) /'linear calc'!AS6))</f>
        <v>0.25978522948155525</v>
      </c>
      <c r="EK64" s="8">
        <f>1-ABS((('linear calc'!AT6 -'linear calc'!BC6) /'linear calc'!AT6))</f>
        <v>-0.2556892383783933</v>
      </c>
    </row>
    <row r="65" spans="3:141" x14ac:dyDescent="0.3">
      <c r="D65" s="3" t="s">
        <v>27</v>
      </c>
      <c r="E65" s="48">
        <f>$E$66-E$64</f>
        <v>-3.25</v>
      </c>
      <c r="F65" s="48">
        <f t="shared" ref="F65:K65" si="62">$E$66-F$64</f>
        <v>0</v>
      </c>
      <c r="G65" s="48">
        <f t="shared" si="62"/>
        <v>26</v>
      </c>
      <c r="H65" s="48">
        <f t="shared" si="62"/>
        <v>26</v>
      </c>
      <c r="I65" s="48">
        <f t="shared" si="62"/>
        <v>35.75</v>
      </c>
      <c r="J65" s="48">
        <f t="shared" si="62"/>
        <v>19.499999999999993</v>
      </c>
      <c r="K65" s="48">
        <f t="shared" si="62"/>
        <v>26</v>
      </c>
      <c r="L65" s="52">
        <f t="shared" si="54"/>
        <v>130</v>
      </c>
      <c r="AW65" s="6">
        <v>0.12499999999999999</v>
      </c>
      <c r="AX65" s="10">
        <v>9.7999999999999989</v>
      </c>
      <c r="AY65" s="10">
        <v>10.5</v>
      </c>
      <c r="AZ65" s="10">
        <v>9.7999999999999989</v>
      </c>
      <c r="BA65" s="10">
        <v>11.2</v>
      </c>
      <c r="BB65" s="10">
        <v>11.2</v>
      </c>
      <c r="BC65" s="10">
        <v>8.3999999999999986</v>
      </c>
      <c r="BD65" s="10">
        <v>12.6</v>
      </c>
      <c r="BJ65" s="6">
        <v>4.1666666666666664E-2</v>
      </c>
      <c r="BK65" s="68" cm="1">
        <f t="array" ref="BK65">[1]!FractionalAgents(82%,20,E9,N9)</f>
        <v>3.941760778427124</v>
      </c>
      <c r="BL65" s="68" cm="1">
        <f t="array" ref="BL65">[1]!FractionalAgents(82%,20,F9,O9)</f>
        <v>4.4469280242919922</v>
      </c>
      <c r="BM65" s="68" cm="1">
        <f t="array" ref="BM65">[1]!FractionalAgents(82%,20,G9,P9)</f>
        <v>3.9827659130096436</v>
      </c>
      <c r="BN65" s="68" cm="1">
        <f t="array" ref="BN65">[1]!FractionalAgents(82%,20,H9,Q9)</f>
        <v>4.490452766418457</v>
      </c>
      <c r="BO65" s="68" cm="1">
        <f t="array" ref="BO65">[1]!FractionalAgents(82%,20,I9,R9)</f>
        <v>3.480912446975708</v>
      </c>
      <c r="BP65" s="68" cm="1">
        <f t="array" ref="BP65">[1]!FractionalAgents(82%,20,J9,S9)</f>
        <v>4.1887240409851074</v>
      </c>
      <c r="BQ65" s="68" cm="1">
        <f t="array" ref="BQ65">[1]!FractionalAgents(82%,20,K9,T9)</f>
        <v>4.2369446754455566</v>
      </c>
      <c r="BS65" s="6">
        <v>4.1666666666666664E-2</v>
      </c>
      <c r="BT65" s="8" cm="1">
        <f t="array" ref="BT65">[1]!SLA(BK65,20,E9,N9)</f>
        <v>0.6746717095375061</v>
      </c>
      <c r="BU65" s="8" cm="1">
        <f t="array" ref="BU65">[1]!SLA(BL65,20,F9,O9)</f>
        <v>0.77917510271072388</v>
      </c>
      <c r="BV65" s="8" cm="1">
        <f t="array" ref="BV65">[1]!SLA(BM65,20,G9,P9)</f>
        <v>0.66412830352783203</v>
      </c>
      <c r="BW65" s="8" cm="1">
        <f t="array" ref="BW65">[1]!SLA(BN65,20,H9,Q9)</f>
        <v>0.77391213178634644</v>
      </c>
      <c r="BX65" s="8" cm="1">
        <f t="array" ref="BX65">[1]!SLA(BO65,20,I9,R9)</f>
        <v>0.76797568798065186</v>
      </c>
      <c r="BY65" s="8" cm="1">
        <f t="array" ref="BY65">[1]!SLA(BP65,20,J9,S9)</f>
        <v>0.80544179677963257</v>
      </c>
      <c r="BZ65" s="8" cm="1">
        <f t="array" ref="BZ65">[1]!SLA(BQ65,20,K9,T9)</f>
        <v>0.80115282535552979</v>
      </c>
      <c r="CB65" s="6">
        <v>4.1666666666666664E-2</v>
      </c>
      <c r="CC65" s="8" cm="1">
        <f t="array" ref="CC65">[1]!Utilisation(BK65,E9,N9)</f>
        <v>0.51848655939102173</v>
      </c>
      <c r="CD65" s="8" cm="1">
        <f t="array" ref="CD65">[1]!Utilisation(BL65,F9,O9)</f>
        <v>0.53240561485290527</v>
      </c>
      <c r="CE65" s="8" cm="1">
        <f t="array" ref="CE65">[1]!Utilisation(BM65,G9,P9)</f>
        <v>0.52559792995452881</v>
      </c>
      <c r="CF65" s="8" cm="1">
        <f t="array" ref="CF65">[1]!Utilisation(BN65,H9,Q9)</f>
        <v>0.53423523902893066</v>
      </c>
      <c r="CG65" s="8" cm="1">
        <f t="array" ref="CG65">[1]!Utilisation(BO65,I9,R9)</f>
        <v>0.47351986169815063</v>
      </c>
      <c r="CH65" s="8" cm="1">
        <f t="array" ref="CH65">[1]!Utilisation(BP65,J9,S9)</f>
        <v>0.52681118249893188</v>
      </c>
      <c r="CI65" s="8" cm="1">
        <f t="array" ref="CI65">[1]!Utilisation(BQ65,K9,T9)</f>
        <v>0.52735525369644165</v>
      </c>
      <c r="CK65" s="6">
        <v>4.1666666666666664E-2</v>
      </c>
      <c r="CL65" s="69" cm="1">
        <f t="array" ref="CL65">[1]!FractionalCallCapacity(BK65,BT65,20,N9)</f>
        <v>27</v>
      </c>
      <c r="CM65" s="69" cm="1">
        <f t="array" ref="CM65">[1]!FractionalCallCapacity(BL65,BU65,20,O9)</f>
        <v>27</v>
      </c>
      <c r="CN65" s="69" cm="1">
        <f t="array" ref="CN65">[1]!FractionalCallCapacity(BM65,BV65,20,P9)</f>
        <v>29</v>
      </c>
      <c r="CO65" s="69" cm="1">
        <f t="array" ref="CO65">[1]!FractionalCallCapacity(BN65,BW65,20,Q9)</f>
        <v>28</v>
      </c>
      <c r="CP65" s="69" cm="1">
        <f t="array" ref="CP65">[1]!FractionalCallCapacity(BO65,BX65,20,R9)</f>
        <v>21</v>
      </c>
      <c r="CQ65" s="69" cm="1">
        <f t="array" ref="CQ65">[1]!FractionalCallCapacity(BP65,BY65,20,S9)</f>
        <v>24</v>
      </c>
      <c r="CR65" s="69" cm="1">
        <f t="array" ref="CR65">[1]!FractionalCallCapacity(BQ65,BZ65,20,T9)</f>
        <v>25</v>
      </c>
      <c r="CT65" s="6">
        <v>4.1666666666666664E-2</v>
      </c>
      <c r="CU65" s="72">
        <f t="shared" si="55"/>
        <v>4.5</v>
      </c>
      <c r="CV65" s="72">
        <f t="shared" si="56"/>
        <v>1.25</v>
      </c>
      <c r="CW65" s="72">
        <f t="shared" si="57"/>
        <v>5</v>
      </c>
      <c r="CX65" s="72">
        <f t="shared" si="58"/>
        <v>1.75</v>
      </c>
      <c r="CY65" s="72">
        <f t="shared" si="59"/>
        <v>1.734375</v>
      </c>
      <c r="CZ65" s="72">
        <f t="shared" si="60"/>
        <v>0</v>
      </c>
      <c r="DA65" s="72">
        <f t="shared" si="61"/>
        <v>0.625</v>
      </c>
      <c r="DC65" s="6">
        <v>4.1666666666666664E-2</v>
      </c>
      <c r="DD65" s="72">
        <f>'linear calc'!BF7 -'linear calc'!AN7</f>
        <v>2.92363195747342</v>
      </c>
      <c r="DE65" s="72">
        <f>'linear calc'!BG7 -'linear calc'!AO7</f>
        <v>3.0991551091981515</v>
      </c>
      <c r="DF65" s="72">
        <f>'linear calc'!BH7 -'linear calc'!AP7</f>
        <v>1.9212059620596191</v>
      </c>
      <c r="DG65" s="72">
        <f>'linear calc'!BI7 -'linear calc'!AQ7</f>
        <v>4.5211382113821132</v>
      </c>
      <c r="DH65" s="72">
        <f>'linear calc'!BJ7 -'linear calc'!AR7</f>
        <v>3.6795121951219505</v>
      </c>
      <c r="DI65" s="72">
        <f>'linear calc'!BK7 -'linear calc'!AS7</f>
        <v>-0.12937725253541288</v>
      </c>
      <c r="DJ65" s="72">
        <f>'linear calc'!BL7 -'linear calc'!AT7</f>
        <v>5.6695525572276999</v>
      </c>
      <c r="DL65" s="6">
        <v>4.1666666666666664E-2</v>
      </c>
      <c r="DM65" s="75" cm="1">
        <f t="array" ref="DM65">[1]!asa(CR10,E9,N9)</f>
        <v>0</v>
      </c>
      <c r="DN65" s="75" cm="1">
        <f t="array" ref="DN65">[1]!asa(CS10,F9,O9)</f>
        <v>0</v>
      </c>
      <c r="DO65" s="75" cm="1">
        <f t="array" ref="DO65">[1]!asa(CT10,G9,P9)</f>
        <v>0</v>
      </c>
      <c r="DP65" s="75" cm="1">
        <f t="array" ref="DP65">[1]!asa(CU10,H9,Q9)</f>
        <v>0</v>
      </c>
      <c r="DQ65" s="75" cm="1">
        <f t="array" ref="DQ65">[1]!asa(CV10,I9,R9)</f>
        <v>0</v>
      </c>
      <c r="DR65" s="75" cm="1">
        <f t="array" ref="DR65">[1]!asa(CW10,J9,S9)</f>
        <v>0</v>
      </c>
      <c r="DS65" s="75" cm="1">
        <f t="array" ref="DS65">[1]!asa(CX10,K9,T9)</f>
        <v>0</v>
      </c>
      <c r="DU65" s="6">
        <v>4.1666666666666664E-2</v>
      </c>
      <c r="DV65" s="8" cm="1">
        <f t="array" ref="DV65">[1]!Abandon(CR10,300,E9,N9)</f>
        <v>2.2788022135955543E-7</v>
      </c>
      <c r="DW65" s="8" cm="1">
        <f t="array" ref="DW65">[1]!Abandon(CS10,300,F9,O9)</f>
        <v>1.1612318218112705E-7</v>
      </c>
      <c r="DX65" s="8" cm="1">
        <f t="array" ref="DX65">[1]!Abandon(CT10,300,G9,P9)</f>
        <v>2.1148632356471353E-7</v>
      </c>
      <c r="DY65" s="8" cm="1">
        <f t="array" ref="DY65">[1]!Abandon(CU10,300,H9,Q9)</f>
        <v>1.4341492438063597E-8</v>
      </c>
      <c r="DZ65" s="8" cm="1">
        <f t="array" ref="DZ65">[1]!Abandon(CV10,300,I9,R9)</f>
        <v>1.2559547846180408E-10</v>
      </c>
      <c r="EA65" s="8" cm="1">
        <f t="array" ref="EA65">[1]!Abandon(CW10,300,J9,S9)</f>
        <v>7.5951065809931606E-6</v>
      </c>
      <c r="EB65" s="8" cm="1">
        <f t="array" ref="EB65">[1]!Abandon(CX10,300,K9,T9)</f>
        <v>3.3997635262572601E-10</v>
      </c>
      <c r="ED65" s="6">
        <v>4.1666666666666664E-2</v>
      </c>
      <c r="EE65" s="8">
        <f>1-ABS((('linear calc'!AN7 -'linear calc'!AW7) /'linear calc'!AN7))</f>
        <v>-3.59585050447635E-2</v>
      </c>
      <c r="EF65" s="8">
        <f>1-ABS((('linear calc'!AO7 -'linear calc'!AX7) /'linear calc'!AO7))</f>
        <v>-2.6795618787089248E-2</v>
      </c>
      <c r="EG65" s="8">
        <f>1-ABS((('linear calc'!AP7 -'linear calc'!AY7) /'linear calc'!AP7))</f>
        <v>0.22307831216517193</v>
      </c>
      <c r="EH65" s="8">
        <f>1-ABS((('linear calc'!AQ7 -'linear calc'!AZ7) /'linear calc'!AQ7))</f>
        <v>-0.39561777236762019</v>
      </c>
      <c r="EI65" s="8">
        <f>1-ABS((('linear calc'!AR7 -'linear calc'!BA7) /'linear calc'!AR7))</f>
        <v>-0.12752156710125195</v>
      </c>
      <c r="EJ65" s="8">
        <f>1-ABS((('linear calc'!AS7 -'linear calc'!BB7) /'linear calc'!AS7))</f>
        <v>0.59309775559136813</v>
      </c>
      <c r="EK65" s="8">
        <f>1-ABS((('linear calc'!AT7 -'linear calc'!BC7) /'linear calc'!AT7))</f>
        <v>-0.59723490418674707</v>
      </c>
    </row>
    <row r="66" spans="3:141" x14ac:dyDescent="0.3">
      <c r="D66" s="3" t="s">
        <v>40</v>
      </c>
      <c r="E66" s="3">
        <v>65</v>
      </c>
      <c r="F66" s="3">
        <v>65</v>
      </c>
      <c r="G66" s="3">
        <v>65</v>
      </c>
      <c r="H66" s="3">
        <v>65</v>
      </c>
      <c r="I66" s="3">
        <v>65</v>
      </c>
      <c r="J66" s="3">
        <v>65</v>
      </c>
      <c r="K66" s="3">
        <v>65</v>
      </c>
      <c r="L66" s="52"/>
      <c r="AW66" s="6">
        <v>0.14583333333333331</v>
      </c>
      <c r="AX66" s="10">
        <v>9.7999999999999989</v>
      </c>
      <c r="AY66" s="10">
        <v>10.5</v>
      </c>
      <c r="AZ66" s="10">
        <v>9.7999999999999989</v>
      </c>
      <c r="BA66" s="10">
        <v>11.2</v>
      </c>
      <c r="BB66" s="10">
        <v>11.2</v>
      </c>
      <c r="BC66" s="10">
        <v>8.3999999999999986</v>
      </c>
      <c r="BD66" s="10">
        <v>12.6</v>
      </c>
      <c r="BJ66" s="6">
        <v>6.25E-2</v>
      </c>
      <c r="BK66" s="68" cm="1">
        <f t="array" ref="BK66">[1]!FractionalAgents(82%,20,E10,N10)</f>
        <v>4.3689498901367188</v>
      </c>
      <c r="BL66" s="68" cm="1">
        <f t="array" ref="BL66">[1]!FractionalAgents(82%,20,F10,O10)</f>
        <v>4.1983885765075684</v>
      </c>
      <c r="BM66" s="68" cm="1">
        <f t="array" ref="BM66">[1]!FractionalAgents(82%,20,G10,P10)</f>
        <v>3.9978737831115723</v>
      </c>
      <c r="BN66" s="68" cm="1">
        <f t="array" ref="BN66">[1]!FractionalAgents(82%,20,H10,Q10)</f>
        <v>4.4581866264343262</v>
      </c>
      <c r="BO66" s="68" cm="1">
        <f t="array" ref="BO66">[1]!FractionalAgents(82%,20,I10,R10)</f>
        <v>3.6204221248626709</v>
      </c>
      <c r="BP66" s="68" cm="1">
        <f t="array" ref="BP66">[1]!FractionalAgents(82%,20,J10,S10)</f>
        <v>4.674046516418457</v>
      </c>
      <c r="BQ66" s="68" cm="1">
        <f t="array" ref="BQ66">[1]!FractionalAgents(82%,20,K10,T10)</f>
        <v>4.329343318939209</v>
      </c>
      <c r="BS66" s="6">
        <v>6.25E-2</v>
      </c>
      <c r="BT66" s="8" cm="1">
        <f t="array" ref="BT66">[1]!SLA(BK66,20,E10,N10)</f>
        <v>0.78805071115493774</v>
      </c>
      <c r="BU66" s="8" cm="1">
        <f t="array" ref="BU66">[1]!SLA(BL66,20,F10,O10)</f>
        <v>0.80468809604644775</v>
      </c>
      <c r="BV66" s="8" cm="1">
        <f t="array" ref="BV66">[1]!SLA(BM66,20,G10,P10)</f>
        <v>0.65952259302139282</v>
      </c>
      <c r="BW66" s="8" cm="1">
        <f t="array" ref="BW66">[1]!SLA(BN66,20,H10,Q10)</f>
        <v>0.7779698371887207</v>
      </c>
      <c r="BX66" s="8" cm="1">
        <f t="array" ref="BX66">[1]!SLA(BO66,20,I10,R10)</f>
        <v>0.74510812759399414</v>
      </c>
      <c r="BY66" s="8" cm="1">
        <f t="array" ref="BY66">[1]!SLA(BP66,20,J10,S10)</f>
        <v>0.74807572364807129</v>
      </c>
      <c r="BZ66" s="8" cm="1">
        <f t="array" ref="BZ66">[1]!SLA(BQ66,20,K10,T10)</f>
        <v>0.79214227199554443</v>
      </c>
      <c r="CB66" s="6">
        <v>6.25E-2</v>
      </c>
      <c r="CC66" s="8" cm="1">
        <f t="array" ref="CC66">[1]!Utilisation(BK66,E10,N10)</f>
        <v>0.53016173839569092</v>
      </c>
      <c r="CD66" s="8" cm="1">
        <f t="array" ref="CD66">[1]!Utilisation(BL66,F10,O10)</f>
        <v>0.52764952182769775</v>
      </c>
      <c r="CE66" s="8" cm="1">
        <f t="array" ref="CE66">[1]!Utilisation(BM66,G10,P10)</f>
        <v>0.52739840745925903</v>
      </c>
      <c r="CF66" s="8" cm="1">
        <f t="array" ref="CF66">[1]!Utilisation(BN66,H10,Q10)</f>
        <v>0.53331971168518066</v>
      </c>
      <c r="CG66" s="8" cm="1">
        <f t="array" ref="CG66">[1]!Utilisation(BO66,I10,R10)</f>
        <v>0.48227250576019287</v>
      </c>
      <c r="CH66" s="8" cm="1">
        <f t="array" ref="CH66">[1]!Utilisation(BP66,J10,S10)</f>
        <v>0.54376435279846191</v>
      </c>
      <c r="CI66" s="8" cm="1">
        <f t="array" ref="CI66">[1]!Utilisation(BQ66,K10,T10)</f>
        <v>0.5288042426109314</v>
      </c>
      <c r="CK66" s="6">
        <v>6.25E-2</v>
      </c>
      <c r="CL66" s="69" cm="1">
        <f t="array" ref="CL66">[1]!FractionalCallCapacity(BK66,BT66,20,N10)</f>
        <v>26</v>
      </c>
      <c r="CM66" s="69" cm="1">
        <f t="array" ref="CM66">[1]!FractionalCallCapacity(BL66,BU66,20,O10)</f>
        <v>25</v>
      </c>
      <c r="CN66" s="69" cm="1">
        <f t="array" ref="CN66">[1]!FractionalCallCapacity(BM66,BV66,20,P10)</f>
        <v>29</v>
      </c>
      <c r="CO66" s="69" cm="1">
        <f t="array" ref="CO66">[1]!FractionalCallCapacity(BN66,BW66,20,Q10)</f>
        <v>28</v>
      </c>
      <c r="CP66" s="69" cm="1">
        <f t="array" ref="CP66">[1]!FractionalCallCapacity(BO66,BX66,20,R10)</f>
        <v>22</v>
      </c>
      <c r="CQ66" s="69" cm="1">
        <f t="array" ref="CQ66">[1]!FractionalCallCapacity(BP66,BY66,20,S10)</f>
        <v>30</v>
      </c>
      <c r="CR66" s="69" cm="1">
        <f t="array" ref="CR66">[1]!FractionalCallCapacity(BQ66,BZ66,20,T10)</f>
        <v>25</v>
      </c>
      <c r="CT66" s="6">
        <v>6.25E-2</v>
      </c>
      <c r="CU66" s="72">
        <f t="shared" si="55"/>
        <v>0.5</v>
      </c>
      <c r="CV66" s="72">
        <f t="shared" si="56"/>
        <v>0</v>
      </c>
      <c r="CW66" s="72">
        <f t="shared" si="57"/>
        <v>5.5</v>
      </c>
      <c r="CX66" s="72">
        <f t="shared" si="58"/>
        <v>1.5</v>
      </c>
      <c r="CY66" s="72">
        <f t="shared" si="59"/>
        <v>2.4791666666666679</v>
      </c>
      <c r="CZ66" s="72">
        <f t="shared" si="60"/>
        <v>2.6875</v>
      </c>
      <c r="DA66" s="72">
        <f t="shared" si="61"/>
        <v>0.25</v>
      </c>
      <c r="DC66" s="6">
        <v>6.25E-2</v>
      </c>
      <c r="DD66" s="72">
        <f>'linear calc'!BF8 -'linear calc'!AN8</f>
        <v>2.9416244822825579</v>
      </c>
      <c r="DE66" s="72">
        <f>'linear calc'!BG8 -'linear calc'!AO8</f>
        <v>3.3665032268879385</v>
      </c>
      <c r="DF66" s="72">
        <f>'linear calc'!BH8 -'linear calc'!AP8</f>
        <v>2.3558851534461267</v>
      </c>
      <c r="DG66" s="72">
        <f>'linear calc'!BI8 -'linear calc'!AQ8</f>
        <v>3.1028754951011059</v>
      </c>
      <c r="DH66" s="72">
        <f>'linear calc'!BJ8 -'linear calc'!AR8</f>
        <v>3.1305591213806867</v>
      </c>
      <c r="DI66" s="72">
        <f>'linear calc'!BK8 -'linear calc'!AS8</f>
        <v>1.3696928635953007</v>
      </c>
      <c r="DJ66" s="72">
        <f>'linear calc'!BL8 -'linear calc'!AT8</f>
        <v>3.5799154066307004</v>
      </c>
      <c r="DL66" s="6">
        <v>6.25E-2</v>
      </c>
      <c r="DM66" s="75" cm="1">
        <f t="array" ref="DM66">[1]!asa(CR11,E10,N10)</f>
        <v>0</v>
      </c>
      <c r="DN66" s="75" cm="1">
        <f t="array" ref="DN66">[1]!asa(CS11,F10,O10)</f>
        <v>0</v>
      </c>
      <c r="DO66" s="75" cm="1">
        <f t="array" ref="DO66">[1]!asa(CT11,G10,P10)</f>
        <v>0</v>
      </c>
      <c r="DP66" s="75" cm="1">
        <f t="array" ref="DP66">[1]!asa(CU11,H10,Q10)</f>
        <v>0</v>
      </c>
      <c r="DQ66" s="75" cm="1">
        <f t="array" ref="DQ66">[1]!asa(CV11,I10,R10)</f>
        <v>0</v>
      </c>
      <c r="DR66" s="75" cm="1">
        <f t="array" ref="DR66">[1]!asa(CW11,J10,S10)</f>
        <v>0</v>
      </c>
      <c r="DS66" s="75" cm="1">
        <f t="array" ref="DS66">[1]!asa(CX11,K10,T10)</f>
        <v>0</v>
      </c>
      <c r="DU66" s="6">
        <v>6.25E-2</v>
      </c>
      <c r="DV66" s="8" cm="1">
        <f t="array" ref="DV66">[1]!Abandon(CR11,300,E10,N10)</f>
        <v>7.1233438347917399E-7</v>
      </c>
      <c r="DW66" s="8" cm="1">
        <f t="array" ref="DW66">[1]!Abandon(CS11,300,F10,O10)</f>
        <v>4.483720772441302E-8</v>
      </c>
      <c r="DX66" s="8" cm="1">
        <f t="array" ref="DX66">[1]!Abandon(CT11,300,G10,P10)</f>
        <v>2.7729009843824315E-7</v>
      </c>
      <c r="DY66" s="8" cm="1">
        <f t="array" ref="DY66">[1]!Abandon(CU11,300,H10,Q10)</f>
        <v>1.1189613680073762E-8</v>
      </c>
      <c r="DZ66" s="8" cm="1">
        <f t="array" ref="DZ66">[1]!Abandon(CV11,300,I10,R10)</f>
        <v>3.5599168057842689E-10</v>
      </c>
      <c r="EA66" s="8" cm="1">
        <f t="array" ref="EA66">[1]!Abandon(CW11,300,J10,S10)</f>
        <v>2.5672521587694064E-5</v>
      </c>
      <c r="EB66" s="8" cm="1">
        <f t="array" ref="EB66">[1]!Abandon(CX11,300,K10,T10)</f>
        <v>4.9544107705301599E-10</v>
      </c>
      <c r="ED66" s="6">
        <v>6.25E-2</v>
      </c>
      <c r="EE66" s="8">
        <f>1-ABS((('linear calc'!AN8 -'linear calc'!AW8) /'linear calc'!AN8))</f>
        <v>-4.1299716504789252E-2</v>
      </c>
      <c r="EF66" s="8">
        <f>1-ABS((('linear calc'!AO8 -'linear calc'!AX8) /'linear calc'!AO8))</f>
        <v>-0.10275555973316797</v>
      </c>
      <c r="EG66" s="8">
        <f>1-ABS((('linear calc'!AP8 -'linear calc'!AY8) /'linear calc'!AP8))</f>
        <v>0.11931971918984241</v>
      </c>
      <c r="EH66" s="8">
        <f>1-ABS((('linear calc'!AQ8 -'linear calc'!AZ8) /'linear calc'!AQ8))</f>
        <v>2.3989875625632595E-2</v>
      </c>
      <c r="EI66" s="8">
        <f>1-ABS((('linear calc'!AR8 -'linear calc'!BA8) /'linear calc'!AR8))</f>
        <v>1.7210827779481574E-2</v>
      </c>
      <c r="EJ66" s="8">
        <f>1-ABS((('linear calc'!AS8 -'linear calc'!BB8) /'linear calc'!AS8))</f>
        <v>0.29310444520112311</v>
      </c>
      <c r="EK66" s="8">
        <f>1-ABS((('linear calc'!AT8 -'linear calc'!BC8) /'linear calc'!AT8))</f>
        <v>4.4533048801035369E-3</v>
      </c>
    </row>
    <row r="67" spans="3:141" x14ac:dyDescent="0.3">
      <c r="AW67" s="6">
        <v>0.16666666666666666</v>
      </c>
      <c r="AX67" s="10">
        <v>9.7999999999999989</v>
      </c>
      <c r="AY67" s="10">
        <v>10.5</v>
      </c>
      <c r="AZ67" s="10">
        <v>9.7999999999999989</v>
      </c>
      <c r="BA67" s="10">
        <v>11.2</v>
      </c>
      <c r="BB67" s="10">
        <v>11.2</v>
      </c>
      <c r="BC67" s="10">
        <v>8.3999999999999986</v>
      </c>
      <c r="BD67" s="10">
        <v>12.6</v>
      </c>
      <c r="BJ67" s="6">
        <v>8.3333333333333329E-2</v>
      </c>
      <c r="BK67" s="68" cm="1">
        <f t="array" ref="BK67">[1]!FractionalAgents(82%,20,E11,N11)</f>
        <v>4.3334503173828125</v>
      </c>
      <c r="BL67" s="68" cm="1">
        <f t="array" ref="BL67">[1]!FractionalAgents(82%,20,F11,O11)</f>
        <v>4.4033956527709961</v>
      </c>
      <c r="BM67" s="68" cm="1">
        <f t="array" ref="BM67">[1]!FractionalAgents(82%,20,G11,P11)</f>
        <v>4.1971321105957031</v>
      </c>
      <c r="BN67" s="68" cm="1">
        <f t="array" ref="BN67">[1]!FractionalAgents(82%,20,H11,Q11)</f>
        <v>4.1509256362915039</v>
      </c>
      <c r="BO67" s="68" cm="1">
        <f t="array" ref="BO67">[1]!FractionalAgents(82%,20,I11,R11)</f>
        <v>3.7884256839752197</v>
      </c>
      <c r="BP67" s="68" cm="1">
        <f t="array" ref="BP67">[1]!FractionalAgents(82%,20,J11,S11)</f>
        <v>4.2864189147949219</v>
      </c>
      <c r="BQ67" s="68" cm="1">
        <f t="array" ref="BQ67">[1]!FractionalAgents(82%,20,K11,T11)</f>
        <v>4.3549046516418457</v>
      </c>
      <c r="BS67" s="6">
        <v>8.3333333333333329E-2</v>
      </c>
      <c r="BT67" s="8" cm="1">
        <f t="array" ref="BT67">[1]!SLA(BK67,20,E11,N11)</f>
        <v>0.79179179668426514</v>
      </c>
      <c r="BU67" s="8" cm="1">
        <f t="array" ref="BU67">[1]!SLA(BL67,20,F11,O11)</f>
        <v>0.78435498476028442</v>
      </c>
      <c r="BV67" s="8" cm="1">
        <f t="array" ref="BV67">[1]!SLA(BM67,20,G11,P11)</f>
        <v>0.8047751784324646</v>
      </c>
      <c r="BW67" s="8" cm="1">
        <f t="array" ref="BW67">[1]!SLA(BN67,20,H11,Q11)</f>
        <v>0.80865269899368286</v>
      </c>
      <c r="BX67" s="8" cm="1">
        <f t="array" ref="BX67">[1]!SLA(BO67,20,I11,R11)</f>
        <v>0.7115933895111084</v>
      </c>
      <c r="BY67" s="8" cm="1">
        <f t="array" ref="BY67">[1]!SLA(BP67,20,J11,S11)</f>
        <v>0.79642254114151001</v>
      </c>
      <c r="BZ67" s="8" cm="1">
        <f t="array" ref="BZ67">[1]!SLA(BQ67,20,K11,T11)</f>
        <v>0.78957688808441162</v>
      </c>
      <c r="CB67" s="6">
        <v>8.3333333333333329E-2</v>
      </c>
      <c r="CC67" s="8" cm="1">
        <f t="array" ref="CC67">[1]!Utilisation(BK67,E11,N11)</f>
        <v>0.52926456928253174</v>
      </c>
      <c r="CD67" s="8" cm="1">
        <f t="array" ref="CD67">[1]!Utilisation(BL67,F11,O11)</f>
        <v>0.53155004978179932</v>
      </c>
      <c r="CE67" s="8" cm="1">
        <f t="array" ref="CE67">[1]!Utilisation(BM67,G11,P11)</f>
        <v>0.52744346857070923</v>
      </c>
      <c r="CF67" s="8" cm="1">
        <f t="array" ref="CF67">[1]!Utilisation(BN67,H11,Q11)</f>
        <v>0.52679014205932617</v>
      </c>
      <c r="CG67" s="8" cm="1">
        <f t="array" ref="CG67">[1]!Utilisation(BO67,I11,R11)</f>
        <v>0.49816352128982544</v>
      </c>
      <c r="CH67" s="8" cm="1">
        <f t="array" ref="CH67">[1]!Utilisation(BP67,J11,S11)</f>
        <v>0.52780961990356445</v>
      </c>
      <c r="CI67" s="8" cm="1">
        <f t="array" ref="CI67">[1]!Utilisation(BQ67,K11,T11)</f>
        <v>0.52991414070129395</v>
      </c>
      <c r="CK67" s="6">
        <v>8.3333333333333329E-2</v>
      </c>
      <c r="CL67" s="69" cm="1">
        <f t="array" ref="CL67">[1]!FractionalCallCapacity(BK67,BT67,20,N11)</f>
        <v>26</v>
      </c>
      <c r="CM67" s="69" cm="1">
        <f t="array" ref="CM67">[1]!FractionalCallCapacity(BL67,BU67,20,O11)</f>
        <v>27</v>
      </c>
      <c r="CN67" s="69" cm="1">
        <f t="array" ref="CN67">[1]!FractionalCallCapacity(BM67,BV67,20,P11)</f>
        <v>25</v>
      </c>
      <c r="CO67" s="69" cm="1">
        <f t="array" ref="CO67">[1]!FractionalCallCapacity(BN67,BW67,20,Q11)</f>
        <v>24</v>
      </c>
      <c r="CP67" s="69" cm="1">
        <f t="array" ref="CP67">[1]!FractionalCallCapacity(BO67,BX67,20,R11)</f>
        <v>24</v>
      </c>
      <c r="CQ67" s="69" cm="1">
        <f t="array" ref="CQ67">[1]!FractionalCallCapacity(BP67,BY67,20,S11)</f>
        <v>25</v>
      </c>
      <c r="CR67" s="69" cm="1">
        <f t="array" ref="CR67">[1]!FractionalCallCapacity(BQ67,BZ67,20,T11)</f>
        <v>26</v>
      </c>
      <c r="CT67" s="6">
        <v>8.3333333333333329E-2</v>
      </c>
      <c r="CU67" s="72">
        <f t="shared" si="55"/>
        <v>0.75</v>
      </c>
      <c r="CV67" s="72">
        <f t="shared" si="56"/>
        <v>0.75</v>
      </c>
      <c r="CW67" s="72">
        <f t="shared" si="57"/>
        <v>0.25</v>
      </c>
      <c r="CX67" s="72">
        <f t="shared" si="58"/>
        <v>0</v>
      </c>
      <c r="CY67" s="72">
        <f t="shared" si="59"/>
        <v>3.4739583333333321</v>
      </c>
      <c r="CZ67" s="72">
        <f t="shared" si="60"/>
        <v>0.6875</v>
      </c>
      <c r="DA67" s="72">
        <f t="shared" si="61"/>
        <v>0.4375</v>
      </c>
      <c r="DC67" s="6">
        <v>8.3333333333333329E-2</v>
      </c>
      <c r="DD67" s="72">
        <f>'linear calc'!BF9 -'linear calc'!AN9</f>
        <v>1.8307957625030786</v>
      </c>
      <c r="DE67" s="72">
        <f>'linear calc'!BG9 -'linear calc'!AO9</f>
        <v>3.0980126467931353</v>
      </c>
      <c r="DF67" s="72">
        <f>'linear calc'!BH9 -'linear calc'!AP9</f>
        <v>1.3019487050540608</v>
      </c>
      <c r="DG67" s="72">
        <f>'linear calc'!BI9 -'linear calc'!AQ9</f>
        <v>2.7529014053027119</v>
      </c>
      <c r="DH67" s="72">
        <f>'linear calc'!BJ9 -'linear calc'!AR9</f>
        <v>2.4454220803890259</v>
      </c>
      <c r="DI67" s="72">
        <f>'linear calc'!BK9 -'linear calc'!AS9</f>
        <v>0.45133586661953373</v>
      </c>
      <c r="DJ67" s="72">
        <f>'linear calc'!BL9 -'linear calc'!AT9</f>
        <v>3.7897018970189702</v>
      </c>
      <c r="DL67" s="6">
        <v>8.3333333333333329E-2</v>
      </c>
      <c r="DM67" s="75" cm="1">
        <f t="array" ref="DM67">[1]!asa(CR12,E11,N11)</f>
        <v>0</v>
      </c>
      <c r="DN67" s="75" cm="1">
        <f t="array" ref="DN67">[1]!asa(CS12,F11,O11)</f>
        <v>0</v>
      </c>
      <c r="DO67" s="75" cm="1">
        <f t="array" ref="DO67">[1]!asa(CT12,G11,P11)</f>
        <v>0</v>
      </c>
      <c r="DP67" s="75" cm="1">
        <f t="array" ref="DP67">[1]!asa(CU12,H11,Q11)</f>
        <v>0</v>
      </c>
      <c r="DQ67" s="75" cm="1">
        <f t="array" ref="DQ67">[1]!asa(CV12,I11,R11)</f>
        <v>0</v>
      </c>
      <c r="DR67" s="75" cm="1">
        <f t="array" ref="DR67">[1]!asa(CW12,J11,S11)</f>
        <v>0</v>
      </c>
      <c r="DS67" s="75" cm="1">
        <f t="array" ref="DS67">[1]!asa(CX12,K11,T11)</f>
        <v>0</v>
      </c>
      <c r="DU67" s="6">
        <v>8.3333333333333329E-2</v>
      </c>
      <c r="DV67" s="8" cm="1">
        <f t="array" ref="DV67">[1]!Abandon(CR12,300,E11,N11)</f>
        <v>6.5113857772303163E-7</v>
      </c>
      <c r="DW67" s="8" cm="1">
        <f t="array" ref="DW67">[1]!Abandon(CS12,300,F11,O11)</f>
        <v>8.2189600902893289E-8</v>
      </c>
      <c r="DX67" s="8" cm="1">
        <f t="array" ref="DX67">[1]!Abandon(CT12,300,G11,P11)</f>
        <v>4.2325842741774977E-7</v>
      </c>
      <c r="DY67" s="8" cm="1">
        <f t="array" ref="DY67">[1]!Abandon(CU12,300,H11,Q11)</f>
        <v>5.0216528713065145E-9</v>
      </c>
      <c r="DZ67" s="8" cm="1">
        <f t="array" ref="DZ67">[1]!Abandon(CV12,300,I11,R11)</f>
        <v>1.06613329275973E-9</v>
      </c>
      <c r="EA67" s="8" cm="1">
        <f t="array" ref="EA67">[1]!Abandon(CW12,300,J11,S11)</f>
        <v>9.9475219030864537E-6</v>
      </c>
      <c r="EB67" s="8" cm="1">
        <f t="array" ref="EB67">[1]!Abandon(CX12,300,K11,T11)</f>
        <v>4.3396880533563831E-10</v>
      </c>
      <c r="ED67" s="6">
        <v>8.3333333333333329E-2</v>
      </c>
      <c r="EE67" s="8">
        <f>1-ABS((('linear calc'!AN9 -'linear calc'!AW9) /'linear calc'!AN9))</f>
        <v>0.24323739450335424</v>
      </c>
      <c r="EF67" s="8">
        <f>1-ABS((('linear calc'!AO9 -'linear calc'!AX9) /'linear calc'!AO9))</f>
        <v>-2.6482792287039425E-2</v>
      </c>
      <c r="EG67" s="8">
        <f>1-ABS((('linear calc'!AP9 -'linear calc'!AY9) /'linear calc'!AP9))</f>
        <v>0.35256348613402155</v>
      </c>
      <c r="EH67" s="8">
        <f>1-ABS((('linear calc'!AQ9 -'linear calc'!AZ9) /'linear calc'!AQ9))</f>
        <v>0.10585850033239963</v>
      </c>
      <c r="EI67" s="8">
        <f>1-ABS((('linear calc'!AR9 -'linear calc'!BA9) /'linear calc'!AR9))</f>
        <v>0.17238476292972549</v>
      </c>
      <c r="EJ67" s="8">
        <f>1-ABS((('linear calc'!AS9 -'linear calc'!BB9) /'linear calc'!AS9))</f>
        <v>0.49031235958179131</v>
      </c>
      <c r="EK67" s="8">
        <f>1-ABS((('linear calc'!AT9 -'linear calc'!BC9) /'linear calc'!AT9))</f>
        <v>-4.3063672716087353E-2</v>
      </c>
    </row>
    <row r="68" spans="3:141" x14ac:dyDescent="0.3">
      <c r="D68" s="30">
        <f>SUM(D118:J118)</f>
        <v>13701</v>
      </c>
      <c r="E68" t="s">
        <v>47</v>
      </c>
      <c r="AW68" s="6">
        <v>0.1875</v>
      </c>
      <c r="AX68" s="10">
        <v>9.7999999999999989</v>
      </c>
      <c r="AY68" s="10">
        <v>10.5</v>
      </c>
      <c r="AZ68" s="10">
        <v>9.7999999999999989</v>
      </c>
      <c r="BA68" s="10">
        <v>11.2</v>
      </c>
      <c r="BB68" s="10">
        <v>11.2</v>
      </c>
      <c r="BC68" s="10">
        <v>8.3999999999999986</v>
      </c>
      <c r="BD68" s="10">
        <v>12.6</v>
      </c>
      <c r="BJ68" s="6">
        <v>0.10416666666666666</v>
      </c>
      <c r="BK68" s="68" cm="1">
        <f t="array" ref="BK68">[1]!FractionalAgents(82%,20,E12,N12)</f>
        <v>4.3460798263549805</v>
      </c>
      <c r="BL68" s="68" cm="1">
        <f t="array" ref="BL68">[1]!FractionalAgents(82%,20,F12,O12)</f>
        <v>4.3100972175598145</v>
      </c>
      <c r="BM68" s="68" cm="1">
        <f t="array" ref="BM68">[1]!FractionalAgents(82%,20,G12,P12)</f>
        <v>4.3689498901367188</v>
      </c>
      <c r="BN68" s="68" cm="1">
        <f t="array" ref="BN68">[1]!FractionalAgents(82%,20,H12,Q12)</f>
        <v>3.8906140327453613</v>
      </c>
      <c r="BO68" s="68" cm="1">
        <f t="array" ref="BO68">[1]!FractionalAgents(82%,20,I12,R12)</f>
        <v>3.6135249137878418</v>
      </c>
      <c r="BP68" s="68" cm="1">
        <f t="array" ref="BP68">[1]!FractionalAgents(82%,20,J12,S12)</f>
        <v>4.3725481033325195</v>
      </c>
      <c r="BQ68" s="68" cm="1">
        <f t="array" ref="BQ68">[1]!FractionalAgents(82%,20,K12,T12)</f>
        <v>4.1742992401123047</v>
      </c>
      <c r="BS68" s="6">
        <v>0.10416666666666666</v>
      </c>
      <c r="BT68" s="8" cm="1">
        <f t="array" ref="BT68">[1]!SLA(BK68,20,E12,N12)</f>
        <v>0.79050529003143311</v>
      </c>
      <c r="BU68" s="8" cm="1">
        <f t="array" ref="BU68">[1]!SLA(BL68,20,F12,O12)</f>
        <v>0.7941889762878418</v>
      </c>
      <c r="BV68" s="8" cm="1">
        <f t="array" ref="BV68">[1]!SLA(BM68,20,G12,P12)</f>
        <v>0.78805071115493774</v>
      </c>
      <c r="BW68" s="8" cm="1">
        <f t="array" ref="BW68">[1]!SLA(BN68,20,H12,Q12)</f>
        <v>0.68798965215682983</v>
      </c>
      <c r="BX68" s="8" cm="1">
        <f t="array" ref="BX68">[1]!SLA(BO68,20,I12,R12)</f>
        <v>0.74614143371582031</v>
      </c>
      <c r="BY68" s="8" cm="1">
        <f t="array" ref="BY68">[1]!SLA(BP68,20,J12,S12)</f>
        <v>0.78773301839828491</v>
      </c>
      <c r="BZ68" s="8" cm="1">
        <f t="array" ref="BZ68">[1]!SLA(BQ68,20,K12,T12)</f>
        <v>0.80674195289611816</v>
      </c>
      <c r="CB68" s="6">
        <v>0.10416666666666666</v>
      </c>
      <c r="CC68" s="8" cm="1">
        <f t="array" ref="CC68">[1]!Utilisation(BK68,E12,N12)</f>
        <v>0.52969187498092651</v>
      </c>
      <c r="CD68" s="8" cm="1">
        <f t="array" ref="CD68">[1]!Utilisation(BL68,F12,O12)</f>
        <v>0.5288776159286499</v>
      </c>
      <c r="CE68" s="8" cm="1">
        <f t="array" ref="CE68">[1]!Utilisation(BM68,G12,P12)</f>
        <v>0.53016173839569092</v>
      </c>
      <c r="CF68" s="8" cm="1">
        <f t="array" ref="CF68">[1]!Utilisation(BN68,H12,Q12)</f>
        <v>0.51152306795120239</v>
      </c>
      <c r="CG68" s="8" cm="1">
        <f t="array" ref="CG68">[1]!Utilisation(BO68,I12,R12)</f>
        <v>0.48131528496742249</v>
      </c>
      <c r="CH68" s="8" cm="1">
        <f t="array" ref="CH68">[1]!Utilisation(BP68,J12,S12)</f>
        <v>0.53057515621185303</v>
      </c>
      <c r="CI68" s="8" cm="1">
        <f t="array" ref="CI68">[1]!Utilisation(BQ68,K12,T12)</f>
        <v>0.52734649181365967</v>
      </c>
      <c r="CK68" s="6">
        <v>0.10416666666666666</v>
      </c>
      <c r="CL68" s="69" cm="1">
        <f t="array" ref="CL68">[1]!FractionalCallCapacity(BK68,BT68,20,N12)</f>
        <v>26</v>
      </c>
      <c r="CM68" s="69" cm="1">
        <f t="array" ref="CM68">[1]!FractionalCallCapacity(BL68,BU68,20,O12)</f>
        <v>26</v>
      </c>
      <c r="CN68" s="69" cm="1">
        <f t="array" ref="CN68">[1]!FractionalCallCapacity(BM68,BV68,20,P12)</f>
        <v>26</v>
      </c>
      <c r="CO68" s="69" cm="1">
        <f t="array" ref="CO68">[1]!FractionalCallCapacity(BN68,BW68,20,Q12)</f>
        <v>27</v>
      </c>
      <c r="CP68" s="69" cm="1">
        <f t="array" ref="CP68">[1]!FractionalCallCapacity(BO68,BX68,20,R12)</f>
        <v>21</v>
      </c>
      <c r="CQ68" s="69" cm="1">
        <f t="array" ref="CQ68">[1]!FractionalCallCapacity(BP68,BY68,20,S12)</f>
        <v>27</v>
      </c>
      <c r="CR68" s="69" cm="1">
        <f t="array" ref="CR68">[1]!FractionalCallCapacity(BQ68,BZ68,20,T12)</f>
        <v>25</v>
      </c>
      <c r="CT68" s="6">
        <v>0.10416666666666666</v>
      </c>
      <c r="CU68" s="72">
        <f t="shared" si="55"/>
        <v>0.5</v>
      </c>
      <c r="CV68" s="72">
        <f t="shared" si="56"/>
        <v>0.75</v>
      </c>
      <c r="CW68" s="72">
        <f t="shared" si="57"/>
        <v>0.5</v>
      </c>
      <c r="CX68" s="72">
        <f t="shared" si="58"/>
        <v>4.75</v>
      </c>
      <c r="CY68" s="72">
        <f t="shared" si="59"/>
        <v>1.96875</v>
      </c>
      <c r="CZ68" s="72">
        <f t="shared" si="60"/>
        <v>1.0625</v>
      </c>
      <c r="DA68" s="72">
        <f t="shared" si="61"/>
        <v>0.3125</v>
      </c>
      <c r="DC68" s="6">
        <v>0.10416666666666666</v>
      </c>
      <c r="DD68" s="72">
        <f>'linear calc'!BF10 -'linear calc'!AN10</f>
        <v>2.980630081300812</v>
      </c>
      <c r="DE68" s="72">
        <f>'linear calc'!BG10 -'linear calc'!AO10</f>
        <v>2.8046298532292262</v>
      </c>
      <c r="DF68" s="72">
        <f>'linear calc'!BH10 -'linear calc'!AP10</f>
        <v>1.6041115764692986</v>
      </c>
      <c r="DG68" s="72">
        <f>'linear calc'!BI10 -'linear calc'!AQ10</f>
        <v>3.553266295820853</v>
      </c>
      <c r="DH68" s="72">
        <f>'linear calc'!BJ10 -'linear calc'!AR10</f>
        <v>3.1756097560975611</v>
      </c>
      <c r="DI68" s="72">
        <f>'linear calc'!BK10 -'linear calc'!AS10</f>
        <v>1.8570779531324701</v>
      </c>
      <c r="DJ68" s="72">
        <f>'linear calc'!BL10 -'linear calc'!AT10</f>
        <v>5.2097560975609749</v>
      </c>
      <c r="DL68" s="6">
        <v>0.10416666666666666</v>
      </c>
      <c r="DM68" s="75" cm="1">
        <f t="array" ref="DM68">[1]!asa(CR13,E12,N12)</f>
        <v>0</v>
      </c>
      <c r="DN68" s="75" cm="1">
        <f t="array" ref="DN68">[1]!asa(CS13,F12,O12)</f>
        <v>0</v>
      </c>
      <c r="DO68" s="75" cm="1">
        <f t="array" ref="DO68">[1]!asa(CT13,G12,P12)</f>
        <v>0</v>
      </c>
      <c r="DP68" s="75" cm="1">
        <f t="array" ref="DP68">[1]!asa(CU13,H12,Q12)</f>
        <v>0</v>
      </c>
      <c r="DQ68" s="75" cm="1">
        <f t="array" ref="DQ68">[1]!asa(CV13,I12,R12)</f>
        <v>0</v>
      </c>
      <c r="DR68" s="75" cm="1">
        <f t="array" ref="DR68">[1]!asa(CW13,J12,S12)</f>
        <v>0</v>
      </c>
      <c r="DS68" s="75" cm="1">
        <f t="array" ref="DS68">[1]!asa(CX13,K12,T12)</f>
        <v>0</v>
      </c>
      <c r="DU68" s="6">
        <v>0.10416666666666666</v>
      </c>
      <c r="DV68" s="8" cm="1">
        <f t="array" ref="DV68">[1]!Abandon(CR13,300,E12,N12)</f>
        <v>6.4566432911306038E-7</v>
      </c>
      <c r="DW68" s="8" cm="1">
        <f t="array" ref="DW68">[1]!Abandon(CS13,300,F12,O12)</f>
        <v>6.9100622113182908E-8</v>
      </c>
      <c r="DX68" s="8" cm="1">
        <f t="array" ref="DX68">[1]!Abandon(CT13,300,G12,P12)</f>
        <v>7.1233438347917399E-7</v>
      </c>
      <c r="DY68" s="8" cm="1">
        <f t="array" ref="DY68">[1]!Abandon(CU13,300,H12,Q12)</f>
        <v>1.5160239730249714E-9</v>
      </c>
      <c r="DZ68" s="8" cm="1">
        <f t="array" ref="DZ68">[1]!Abandon(CV13,300,I12,R12)</f>
        <v>4.1131639760827454E-10</v>
      </c>
      <c r="EA68" s="8" cm="1">
        <f t="array" ref="EA68">[1]!Abandon(CW13,300,J12,S12)</f>
        <v>9.7948277471004985E-6</v>
      </c>
      <c r="EB68" s="8" cm="1">
        <f t="array" ref="EB68">[1]!Abandon(CX13,300,K12,T12)</f>
        <v>2.1804455463403372E-10</v>
      </c>
      <c r="ED68" s="6">
        <v>0.10416666666666666</v>
      </c>
      <c r="EE68" s="8">
        <f>1-ABS((('linear calc'!AN10 -'linear calc'!AW10) /'linear calc'!AN10))</f>
        <v>-5.297559259998863E-2</v>
      </c>
      <c r="EF68" s="8">
        <f>1-ABS((('linear calc'!AO10 -'linear calc'!AX10) /'linear calc'!AO10))</f>
        <v>5.0776023256725922E-2</v>
      </c>
      <c r="EG68" s="8">
        <f>1-ABS((('linear calc'!AP10 -'linear calc'!AY10) /'linear calc'!AP10))</f>
        <v>0.29182642850462925</v>
      </c>
      <c r="EH68" s="8">
        <f>1-ABS((('linear calc'!AQ10 -'linear calc'!AZ10) /'linear calc'!AQ10))</f>
        <v>-9.2396651822145737E-2</v>
      </c>
      <c r="EI68" s="8">
        <f>1-ABS((('linear calc'!AR10 -'linear calc'!BA10) /'linear calc'!AR10))</f>
        <v>6.0790273556229346E-3</v>
      </c>
      <c r="EJ68" s="8">
        <f>1-ABS((('linear calc'!AS10 -'linear calc'!BB10) /'linear calc'!AS10))</f>
        <v>0.16595705801735983</v>
      </c>
      <c r="EK68" s="8">
        <f>1-ABS((('linear calc'!AT10 -'linear calc'!BC10) /'linear calc'!AT10))</f>
        <v>-0.43564356435643559</v>
      </c>
    </row>
    <row r="69" spans="3:141" x14ac:dyDescent="0.3">
      <c r="C69" s="2" t="s">
        <v>3</v>
      </c>
      <c r="D69" s="3" t="s">
        <v>4</v>
      </c>
      <c r="E69" s="3" t="s">
        <v>5</v>
      </c>
      <c r="F69" s="3" t="s">
        <v>6</v>
      </c>
      <c r="G69" s="3" t="s">
        <v>7</v>
      </c>
      <c r="H69" s="3" t="s">
        <v>8</v>
      </c>
      <c r="I69" s="3" t="s">
        <v>9</v>
      </c>
      <c r="J69" s="3" t="s">
        <v>10</v>
      </c>
      <c r="AW69" s="6">
        <v>0.20833333333333334</v>
      </c>
      <c r="AX69" s="10">
        <v>9.7999999999999989</v>
      </c>
      <c r="AY69" s="10">
        <v>10.5</v>
      </c>
      <c r="AZ69" s="10">
        <v>9.7999999999999989</v>
      </c>
      <c r="BA69" s="10">
        <v>11.2</v>
      </c>
      <c r="BB69" s="10">
        <v>11.2</v>
      </c>
      <c r="BC69" s="10">
        <v>8.3999999999999986</v>
      </c>
      <c r="BD69" s="10">
        <v>12.6</v>
      </c>
      <c r="BJ69" s="6">
        <v>0.12499999999999999</v>
      </c>
      <c r="BK69" s="68" cm="1">
        <f t="array" ref="BK69">[1]!FractionalAgents(82%,20,E13,N13)</f>
        <v>4.1419153213500977</v>
      </c>
      <c r="BL69" s="68" cm="1">
        <f t="array" ref="BL69">[1]!FractionalAgents(82%,20,F13,O13)</f>
        <v>4.7136416435241699</v>
      </c>
      <c r="BM69" s="68" cm="1">
        <f t="array" ref="BM69">[1]!FractionalAgents(82%,20,G13,P13)</f>
        <v>3.889411449432373</v>
      </c>
      <c r="BN69" s="68" cm="1">
        <f t="array" ref="BN69">[1]!FractionalAgents(82%,20,H13,Q13)</f>
        <v>4.3739509582519531</v>
      </c>
      <c r="BO69" s="68" cm="1">
        <f t="array" ref="BO69">[1]!FractionalAgents(82%,20,I13,R13)</f>
        <v>3.6433627605438232</v>
      </c>
      <c r="BP69" s="68" cm="1">
        <f t="array" ref="BP69">[1]!FractionalAgents(82%,20,J13,S13)</f>
        <v>4.1770834922790527</v>
      </c>
      <c r="BQ69" s="68" cm="1">
        <f t="array" ref="BQ69">[1]!FractionalAgents(82%,20,K13,T13)</f>
        <v>4.7509284019470215</v>
      </c>
      <c r="BS69" s="6">
        <v>0.12499999999999999</v>
      </c>
      <c r="BT69" s="8" cm="1">
        <f t="array" ref="BT69">[1]!SLA(BK69,20,E13,N13)</f>
        <v>0.80936175584793091</v>
      </c>
      <c r="BU69" s="8" cm="1">
        <f t="array" ref="BU69">[1]!SLA(BL69,20,F13,O13)</f>
        <v>0.74207097291946411</v>
      </c>
      <c r="BV69" s="8" cm="1">
        <f t="array" ref="BV69">[1]!SLA(BM69,20,G13,P13)</f>
        <v>0.68856769800186157</v>
      </c>
      <c r="BW69" s="8" cm="1">
        <f t="array" ref="BW69">[1]!SLA(BN69,20,H13,Q13)</f>
        <v>0.78737479448318481</v>
      </c>
      <c r="BX69" s="8" cm="1">
        <f t="array" ref="BX69">[1]!SLA(BO69,20,I13,R13)</f>
        <v>0.74101364612579346</v>
      </c>
      <c r="BY69" s="8" cm="1">
        <f t="array" ref="BY69">[1]!SLA(BP69,20,J13,S13)</f>
        <v>0.80649930238723755</v>
      </c>
      <c r="BZ69" s="8" cm="1">
        <f t="array" ref="BZ69">[1]!SLA(BQ69,20,K13,T13)</f>
        <v>0.73584502935409546</v>
      </c>
      <c r="CB69" s="6">
        <v>0.12499999999999999</v>
      </c>
      <c r="CC69" s="8" cm="1">
        <f t="array" ref="CC69">[1]!Utilisation(BK69,E13,N13)</f>
        <v>0.52639365196228027</v>
      </c>
      <c r="CD69" s="8" cm="1">
        <f t="array" ref="CD69">[1]!Utilisation(BL69,F13,O13)</f>
        <v>0.54724442958831787</v>
      </c>
      <c r="CE69" s="8" cm="1">
        <f t="array" ref="CE69">[1]!Utilisation(BM69,G13,P13)</f>
        <v>0.5118061900138855</v>
      </c>
      <c r="CF69" s="8" cm="1">
        <f t="array" ref="CF69">[1]!Utilisation(BN69,H13,Q13)</f>
        <v>0.52969843149185181</v>
      </c>
      <c r="CG69" s="8" cm="1">
        <f t="array" ref="CG69">[1]!Utilisation(BO69,I13,R13)</f>
        <v>0.48424839973449707</v>
      </c>
      <c r="CH69" s="8" cm="1">
        <f t="array" ref="CH69">[1]!Utilisation(BP69,J13,S13)</f>
        <v>0.52729839086532593</v>
      </c>
      <c r="CI69" s="8" cm="1">
        <f t="array" ref="CI69">[1]!Utilisation(BQ69,K13,T13)</f>
        <v>0.55003136396408081</v>
      </c>
      <c r="CK69" s="6">
        <v>0.12499999999999999</v>
      </c>
      <c r="CL69" s="69" cm="1">
        <f t="array" ref="CL69">[1]!FractionalCallCapacity(BK69,BT69,20,N13)</f>
        <v>23</v>
      </c>
      <c r="CM69" s="69" cm="1">
        <f t="array" ref="CM69">[1]!FractionalCallCapacity(BL69,BU69,20,O13)</f>
        <v>32</v>
      </c>
      <c r="CN69" s="69" cm="1">
        <f t="array" ref="CN69">[1]!FractionalCallCapacity(BM69,BV69,20,P13)</f>
        <v>27</v>
      </c>
      <c r="CO69" s="69" cm="1">
        <f t="array" ref="CO69">[1]!FractionalCallCapacity(BN69,BW69,20,Q13)</f>
        <v>26</v>
      </c>
      <c r="CP69" s="69" cm="1">
        <f t="array" ref="CP69">[1]!FractionalCallCapacity(BO69,BX69,20,R13)</f>
        <v>22</v>
      </c>
      <c r="CQ69" s="69" cm="1">
        <f t="array" ref="CQ69">[1]!FractionalCallCapacity(BP69,BY69,20,S13)</f>
        <v>25</v>
      </c>
      <c r="CR69" s="69" cm="1">
        <f t="array" ref="CR69">[1]!FractionalCallCapacity(BQ69,BZ69,20,T13)</f>
        <v>32</v>
      </c>
      <c r="CT69" s="6">
        <v>0.12499999999999999</v>
      </c>
      <c r="CU69" s="72">
        <f t="shared" si="55"/>
        <v>-0.5</v>
      </c>
      <c r="CV69" s="72">
        <f t="shared" si="56"/>
        <v>3.25</v>
      </c>
      <c r="CW69" s="72">
        <f t="shared" si="57"/>
        <v>4.25</v>
      </c>
      <c r="CX69" s="72">
        <f t="shared" si="58"/>
        <v>1.25</v>
      </c>
      <c r="CY69" s="72">
        <f t="shared" si="59"/>
        <v>2.2135416666666679</v>
      </c>
      <c r="CZ69" s="72">
        <f t="shared" si="60"/>
        <v>0.375</v>
      </c>
      <c r="DA69" s="72">
        <f t="shared" si="61"/>
        <v>2.875</v>
      </c>
      <c r="DC69" s="6">
        <v>0.12499999999999999</v>
      </c>
      <c r="DD69" s="72">
        <f>'linear calc'!BF11 -'linear calc'!AN11</f>
        <v>2.3416763453348803</v>
      </c>
      <c r="DE69" s="72">
        <f>'linear calc'!BG11 -'linear calc'!AO11</f>
        <v>3.2715759849906192</v>
      </c>
      <c r="DF69" s="72">
        <f>'linear calc'!BH11 -'linear calc'!AP11</f>
        <v>2.7673314701897009</v>
      </c>
      <c r="DG69" s="72">
        <f>'linear calc'!BI11 -'linear calc'!AQ11</f>
        <v>3.4273251455918814</v>
      </c>
      <c r="DH69" s="72">
        <f>'linear calc'!BJ11 -'linear calc'!AR11</f>
        <v>3.1433152664859971</v>
      </c>
      <c r="DI69" s="72">
        <f>'linear calc'!BK11 -'linear calc'!AS11</f>
        <v>0.54484818317570927</v>
      </c>
      <c r="DJ69" s="72">
        <f>'linear calc'!BL11 -'linear calc'!AT11</f>
        <v>4.94206078619926</v>
      </c>
      <c r="DL69" s="6">
        <v>0.12499999999999999</v>
      </c>
      <c r="DM69" s="75" cm="1">
        <f t="array" ref="DM69">[1]!asa(CR14,E13,N13)</f>
        <v>0</v>
      </c>
      <c r="DN69" s="75" cm="1">
        <f t="array" ref="DN69">[1]!asa(CS14,F13,O13)</f>
        <v>0</v>
      </c>
      <c r="DO69" s="75" cm="1">
        <f t="array" ref="DO69">[1]!asa(CT14,G13,P13)</f>
        <v>0</v>
      </c>
      <c r="DP69" s="75" cm="1">
        <f t="array" ref="DP69">[1]!asa(CU14,H13,Q13)</f>
        <v>0</v>
      </c>
      <c r="DQ69" s="75" cm="1">
        <f t="array" ref="DQ69">[1]!asa(CV14,I13,R13)</f>
        <v>0</v>
      </c>
      <c r="DR69" s="75" cm="1">
        <f t="array" ref="DR69">[1]!asa(CW14,J13,S13)</f>
        <v>0</v>
      </c>
      <c r="DS69" s="75" cm="1">
        <f t="array" ref="DS69">[1]!asa(CX14,K13,T13)</f>
        <v>0</v>
      </c>
      <c r="DU69" s="6">
        <v>0.12499999999999999</v>
      </c>
      <c r="DV69" s="8" cm="1">
        <f t="array" ref="DV69">[1]!Abandon(CR14,300,E13,N13)</f>
        <v>4.7523360535706161E-7</v>
      </c>
      <c r="DW69" s="8" cm="1">
        <f t="array" ref="DW69">[1]!Abandon(CS14,300,F13,O13)</f>
        <v>2.306210262759123E-7</v>
      </c>
      <c r="DX69" s="8" cm="1">
        <f t="array" ref="DX69">[1]!Abandon(CT14,300,G13,P13)</f>
        <v>1.3651106200995855E-7</v>
      </c>
      <c r="DY69" s="8" cm="1">
        <f t="array" ref="DY69">[1]!Abandon(CU14,300,H13,Q13)</f>
        <v>1.1827514079243429E-8</v>
      </c>
      <c r="DZ69" s="8" cm="1">
        <f t="array" ref="DZ69">[1]!Abandon(CV14,300,I13,R13)</f>
        <v>3.886437838218626E-10</v>
      </c>
      <c r="EA69" s="8" cm="1">
        <f t="array" ref="EA69">[1]!Abandon(CW14,300,J13,S13)</f>
        <v>6.3940169638954103E-6</v>
      </c>
      <c r="EB69" s="8" cm="1">
        <f t="array" ref="EB69">[1]!Abandon(CX14,300,K13,T13)</f>
        <v>1.8337033003135161E-9</v>
      </c>
      <c r="ED69" s="6">
        <v>0.12499999999999999</v>
      </c>
      <c r="EE69" s="8">
        <f>1-ABS((('linear calc'!AN11 -'linear calc'!AW11) /'linear calc'!AN11))</f>
        <v>0.12290259202641096</v>
      </c>
      <c r="EF69" s="8">
        <f>1-ABS((('linear calc'!AO11 -'linear calc'!AX11) /'linear calc'!AO11))</f>
        <v>-7.5141132956978884E-2</v>
      </c>
      <c r="EG69" s="8">
        <f>1-ABS((('linear calc'!AP11 -'linear calc'!AY11) /'linear calc'!AP11))</f>
        <v>9.2905074856923786E-3</v>
      </c>
      <c r="EH69" s="8">
        <f>1-ABS((('linear calc'!AQ11 -'linear calc'!AZ11) /'linear calc'!AQ11))</f>
        <v>-5.8493414390789589E-2</v>
      </c>
      <c r="EI69" s="8">
        <f>1-ABS((('linear calc'!AR11 -'linear calc'!BA11) /'linear calc'!AR11))</f>
        <v>1.4071478626489275E-2</v>
      </c>
      <c r="EJ69" s="8">
        <f>1-ABS((('linear calc'!AS11 -'linear calc'!BB11) /'linear calc'!AS11))</f>
        <v>0.4723401558836573</v>
      </c>
      <c r="EK69" s="8">
        <f>1-ABS((('linear calc'!AT11 -'linear calc'!BC11) /'linear calc'!AT11))</f>
        <v>-0.35050181223185173</v>
      </c>
    </row>
    <row r="70" spans="3:141" x14ac:dyDescent="0.3">
      <c r="C70" s="6">
        <v>0</v>
      </c>
      <c r="D70" s="7">
        <v>40</v>
      </c>
      <c r="E70" s="7">
        <v>32</v>
      </c>
      <c r="F70" s="7">
        <v>37</v>
      </c>
      <c r="G70" s="7">
        <v>36</v>
      </c>
      <c r="H70" s="7">
        <v>33</v>
      </c>
      <c r="I70" s="7">
        <v>32</v>
      </c>
      <c r="J70" s="7">
        <v>35</v>
      </c>
      <c r="AE70" s="2" t="s">
        <v>3</v>
      </c>
      <c r="AF70" s="3" t="s">
        <v>4</v>
      </c>
      <c r="AG70" s="3" t="s">
        <v>5</v>
      </c>
      <c r="AH70" s="3" t="s">
        <v>6</v>
      </c>
      <c r="AI70" s="3" t="s">
        <v>7</v>
      </c>
      <c r="AJ70" s="3" t="s">
        <v>8</v>
      </c>
      <c r="AK70" s="3" t="s">
        <v>9</v>
      </c>
      <c r="AL70" s="3" t="s">
        <v>10</v>
      </c>
      <c r="AW70" s="6">
        <v>0.22916666666666669</v>
      </c>
      <c r="AX70" s="10">
        <v>9.7999999999999989</v>
      </c>
      <c r="AY70" s="10">
        <v>10.5</v>
      </c>
      <c r="AZ70" s="10">
        <v>9.7999999999999989</v>
      </c>
      <c r="BA70" s="10">
        <v>11.2</v>
      </c>
      <c r="BB70" s="10">
        <v>11.2</v>
      </c>
      <c r="BC70" s="10">
        <v>8.3999999999999986</v>
      </c>
      <c r="BD70" s="10">
        <v>12.6</v>
      </c>
      <c r="BJ70" s="6">
        <v>0.14583333333333331</v>
      </c>
      <c r="BK70" s="68" cm="1">
        <f t="array" ref="BK70">[1]!FractionalAgents(82%,20,E14,N14)</f>
        <v>4.0465068817138672</v>
      </c>
      <c r="BL70" s="68" cm="1">
        <f t="array" ref="BL70">[1]!FractionalAgents(82%,20,F14,O14)</f>
        <v>4.5216331481933594</v>
      </c>
      <c r="BM70" s="68" cm="1">
        <f t="array" ref="BM70">[1]!FractionalAgents(82%,20,G14,P14)</f>
        <v>4.2245049476623535</v>
      </c>
      <c r="BN70" s="68" cm="1">
        <f t="array" ref="BN70">[1]!FractionalAgents(82%,20,H14,Q14)</f>
        <v>4.6688933372497559</v>
      </c>
      <c r="BO70" s="68" cm="1">
        <f t="array" ref="BO70">[1]!FractionalAgents(82%,20,I14,R14)</f>
        <v>3.4520983695983887</v>
      </c>
      <c r="BP70" s="68" cm="1">
        <f t="array" ref="BP70">[1]!FractionalAgents(82%,20,J14,S14)</f>
        <v>3.929966926574707</v>
      </c>
      <c r="BQ70" s="68" cm="1">
        <f t="array" ref="BQ70">[1]!FractionalAgents(82%,20,K14,T14)</f>
        <v>4.5495700836181641</v>
      </c>
      <c r="BS70" s="6">
        <v>0.14583333333333331</v>
      </c>
      <c r="BT70" s="8" cm="1">
        <f t="array" ref="BT70">[1]!SLA(BK70,20,E14,N14)</f>
        <v>0.81674724817276001</v>
      </c>
      <c r="BU70" s="8" cm="1">
        <f t="array" ref="BU70">[1]!SLA(BL70,20,F14,O14)</f>
        <v>0.76994216442108154</v>
      </c>
      <c r="BV70" s="8" cm="1">
        <f t="array" ref="BV70">[1]!SLA(BM70,20,G14,P14)</f>
        <v>0.80238538980484009</v>
      </c>
      <c r="BW70" s="8" cm="1">
        <f t="array" ref="BW70">[1]!SLA(BN70,20,H14,Q14)</f>
        <v>0.74923843145370483</v>
      </c>
      <c r="BX70" s="8" cm="1">
        <f t="array" ref="BX70">[1]!SLA(BO70,20,I14,R14)</f>
        <v>0.77196162939071655</v>
      </c>
      <c r="BY70" s="8" cm="1">
        <f t="array" ref="BY70">[1]!SLA(BP70,20,J14,S14)</f>
        <v>0.67860400676727295</v>
      </c>
      <c r="BZ70" s="8" cm="1">
        <f t="array" ref="BZ70">[1]!SLA(BQ70,20,K14,T14)</f>
        <v>0.76621401309967041</v>
      </c>
      <c r="CB70" s="6">
        <v>0.14583333333333331</v>
      </c>
      <c r="CC70" s="8" cm="1">
        <f t="array" ref="CC70">[1]!Utilisation(BK70,E14,N14)</f>
        <v>0.52770131826400757</v>
      </c>
      <c r="CD70" s="8" cm="1">
        <f t="array" ref="CD70">[1]!Utilisation(BL70,F14,O14)</f>
        <v>0.53560417890548706</v>
      </c>
      <c r="CE70" s="8" cm="1">
        <f t="array" ref="CE70">[1]!Utilisation(BM70,G14,P14)</f>
        <v>0.52797108888626099</v>
      </c>
      <c r="CF70" s="8" cm="1">
        <f t="array" ref="CF70">[1]!Utilisation(BN70,H14,Q14)</f>
        <v>0.54429388046264648</v>
      </c>
      <c r="CG70" s="8" cm="1">
        <f t="array" ref="CG70">[1]!Utilisation(BO70,I14,R14)</f>
        <v>0.47146576642990112</v>
      </c>
      <c r="CH70" s="8" cm="1">
        <f t="array" ref="CH70">[1]!Utilisation(BP70,J14,S14)</f>
        <v>0.51807230710983276</v>
      </c>
      <c r="CI70" s="8" cm="1">
        <f t="array" ref="CI70">[1]!Utilisation(BQ70,K14,T14)</f>
        <v>0.53681433200836182</v>
      </c>
      <c r="CK70" s="6">
        <v>0.14583333333333331</v>
      </c>
      <c r="CL70" s="69" cm="1">
        <f t="array" ref="CL70">[1]!FractionalCallCapacity(BK70,BT70,20,N14)</f>
        <v>24</v>
      </c>
      <c r="CM70" s="69" cm="1">
        <f t="array" ref="CM70">[1]!FractionalCallCapacity(BL70,BU70,20,O14)</f>
        <v>28</v>
      </c>
      <c r="CN70" s="69" cm="1">
        <f t="array" ref="CN70">[1]!FractionalCallCapacity(BM70,BV70,20,P14)</f>
        <v>26</v>
      </c>
      <c r="CO70" s="69" cm="1">
        <f t="array" ref="CO70">[1]!FractionalCallCapacity(BN70,BW70,20,Q14)</f>
        <v>31</v>
      </c>
      <c r="CP70" s="69" cm="1">
        <f t="array" ref="CP70">[1]!FractionalCallCapacity(BO70,BX70,20,R14)</f>
        <v>20</v>
      </c>
      <c r="CQ70" s="69" cm="1">
        <f t="array" ref="CQ70">[1]!FractionalCallCapacity(BP70,BY70,20,S14)</f>
        <v>29</v>
      </c>
      <c r="CR70" s="69" cm="1">
        <f t="array" ref="CR70">[1]!FractionalCallCapacity(BQ70,BZ70,20,T14)</f>
        <v>28</v>
      </c>
      <c r="CT70" s="6">
        <v>0.14583333333333331</v>
      </c>
      <c r="CU70" s="72">
        <f t="shared" si="55"/>
        <v>-0.25</v>
      </c>
      <c r="CV70" s="72">
        <f t="shared" si="56"/>
        <v>1.5</v>
      </c>
      <c r="CW70" s="72">
        <f t="shared" si="57"/>
        <v>0.75</v>
      </c>
      <c r="CX70" s="72">
        <f t="shared" si="58"/>
        <v>2.5</v>
      </c>
      <c r="CY70" s="72">
        <f t="shared" si="59"/>
        <v>1.4583333333333321</v>
      </c>
      <c r="CZ70" s="72">
        <f t="shared" si="60"/>
        <v>5.125</v>
      </c>
      <c r="DA70" s="72">
        <f t="shared" si="61"/>
        <v>1.4375</v>
      </c>
      <c r="DC70" s="6">
        <v>0.14583333333333331</v>
      </c>
      <c r="DD70" s="72">
        <f>'linear calc'!BF12 -'linear calc'!AN12</f>
        <v>-1.1455363485673704</v>
      </c>
      <c r="DE70" s="72">
        <f>'linear calc'!BG12 -'linear calc'!AO12</f>
        <v>3.815020526442888</v>
      </c>
      <c r="DF70" s="72">
        <f>'linear calc'!BH12 -'linear calc'!AP12</f>
        <v>-0.33253828321415746</v>
      </c>
      <c r="DG70" s="72">
        <f>'linear calc'!BI12 -'linear calc'!AQ12</f>
        <v>-0.10597978876985081</v>
      </c>
      <c r="DH70" s="72">
        <f>'linear calc'!BJ12 -'linear calc'!AR12</f>
        <v>2.8627022458343401</v>
      </c>
      <c r="DI70" s="72">
        <f>'linear calc'!BK12 -'linear calc'!AS12</f>
        <v>-0.73811007268951556</v>
      </c>
      <c r="DJ70" s="72">
        <f>'linear calc'!BL12 -'linear calc'!AT12</f>
        <v>1.616497289972898</v>
      </c>
      <c r="DL70" s="6">
        <v>0.14583333333333331</v>
      </c>
      <c r="DM70" s="75" cm="1">
        <f t="array" ref="DM70">[1]!asa(CR15,E14,N14)</f>
        <v>0</v>
      </c>
      <c r="DN70" s="75" cm="1">
        <f t="array" ref="DN70">[1]!asa(CS15,F14,O14)</f>
        <v>0</v>
      </c>
      <c r="DO70" s="75" cm="1">
        <f t="array" ref="DO70">[1]!asa(CT15,G14,P14)</f>
        <v>0</v>
      </c>
      <c r="DP70" s="75" cm="1">
        <f t="array" ref="DP70">[1]!asa(CU15,H14,Q14)</f>
        <v>0</v>
      </c>
      <c r="DQ70" s="75" cm="1">
        <f t="array" ref="DQ70">[1]!asa(CV15,I14,R14)</f>
        <v>0</v>
      </c>
      <c r="DR70" s="75" cm="1">
        <f t="array" ref="DR70">[1]!asa(CW15,J14,S14)</f>
        <v>0</v>
      </c>
      <c r="DS70" s="75" cm="1">
        <f t="array" ref="DS70">[1]!asa(CX15,K14,T14)</f>
        <v>0</v>
      </c>
      <c r="DU70" s="6">
        <v>0.14583333333333331</v>
      </c>
      <c r="DV70" s="8" cm="1">
        <f t="array" ref="DV70">[1]!Abandon(CR15,300,E14,N14)</f>
        <v>2.7202611363463802E-7</v>
      </c>
      <c r="DW70" s="8" cm="1">
        <f t="array" ref="DW70">[1]!Abandon(CS15,300,F14,O14)</f>
        <v>1.3952576694009622E-7</v>
      </c>
      <c r="DX70" s="8" cm="1">
        <f t="array" ref="DX70">[1]!Abandon(CT15,300,G14,P14)</f>
        <v>4.148172934037575E-7</v>
      </c>
      <c r="DY70" s="8" cm="1">
        <f t="array" ref="DY70">[1]!Abandon(CU15,300,H14,Q14)</f>
        <v>2.2286407386218343E-8</v>
      </c>
      <c r="DZ70" s="8" cm="1">
        <f t="array" ref="DZ70">[1]!Abandon(CV15,300,I14,R14)</f>
        <v>1.3813439281307183E-10</v>
      </c>
      <c r="EA70" s="8" cm="1">
        <f t="array" ref="EA70">[1]!Abandon(CW15,300,J14,S14)</f>
        <v>2.5130050289590145E-6</v>
      </c>
      <c r="EB70" s="8" cm="1">
        <f t="array" ref="EB70">[1]!Abandon(CX15,300,K14,T14)</f>
        <v>1.0181603338210721E-9</v>
      </c>
      <c r="ED70" s="6">
        <v>0.14583333333333331</v>
      </c>
      <c r="EE70" s="8">
        <f>1-ABS((('linear calc'!AN12 -'linear calc'!AW12) /'linear calc'!AN12))</f>
        <v>0.7209397918785021</v>
      </c>
      <c r="EF70" s="8">
        <f>1-ABS((('linear calc'!AO12 -'linear calc'!AX12) /'linear calc'!AO12))</f>
        <v>-0.24383635871037646</v>
      </c>
      <c r="EG70" s="8">
        <f>1-ABS((('linear calc'!AP12 -'linear calc'!AY12) /'linear calc'!AP12))</f>
        <v>0.61831264697091859</v>
      </c>
      <c r="EH70" s="8">
        <f>1-ABS((('linear calc'!AQ12 -'linear calc'!AZ12) /'linear calc'!AQ12))</f>
        <v>0.58481968843667254</v>
      </c>
      <c r="EI70" s="8">
        <f>1-ABS((('linear calc'!AR12 -'linear calc'!BA12) /'linear calc'!AR12))</f>
        <v>8.0912968232934035E-2</v>
      </c>
      <c r="EJ70" s="8">
        <f>1-ABS((('linear calc'!AS12 -'linear calc'!BB12) /'linear calc'!AS12))</f>
        <v>0.68681818181818222</v>
      </c>
      <c r="EK70" s="8">
        <f>1-ABS((('linear calc'!AT12 -'linear calc'!BC12) /'linear calc'!AT12))</f>
        <v>0.36117853518920051</v>
      </c>
    </row>
    <row r="71" spans="3:141" x14ac:dyDescent="0.3">
      <c r="C71" s="6">
        <v>2.0833333333333332E-2</v>
      </c>
      <c r="D71" s="7">
        <v>40</v>
      </c>
      <c r="E71" s="7">
        <v>31</v>
      </c>
      <c r="F71" s="7">
        <v>38</v>
      </c>
      <c r="G71" s="7">
        <v>36</v>
      </c>
      <c r="H71" s="7">
        <v>39</v>
      </c>
      <c r="I71" s="7">
        <v>31</v>
      </c>
      <c r="J71" s="7">
        <v>36</v>
      </c>
      <c r="AE71" s="6">
        <v>0</v>
      </c>
      <c r="AF71" s="7">
        <f>(D70*N7)/(3600*82%*(1-W7))</f>
        <v>6.2282229965156795</v>
      </c>
      <c r="AG71" s="7">
        <f t="shared" ref="AG71:AL71" si="63">(E70*O7)/(3600*82%*(1-X7))</f>
        <v>4.8770163892115113</v>
      </c>
      <c r="AH71" s="7">
        <f t="shared" si="63"/>
        <v>5.7926098802767001</v>
      </c>
      <c r="AI71" s="7">
        <f t="shared" si="63"/>
        <v>5.7160454721430334</v>
      </c>
      <c r="AJ71" s="7">
        <f t="shared" si="63"/>
        <v>5.2344221835075491</v>
      </c>
      <c r="AK71" s="7">
        <f t="shared" si="63"/>
        <v>4.8655052264808356</v>
      </c>
      <c r="AL71" s="7">
        <f t="shared" si="63"/>
        <v>5.4458884235307004</v>
      </c>
      <c r="AW71" s="6">
        <v>0.25</v>
      </c>
      <c r="AX71" s="10">
        <v>9.7999999999999989</v>
      </c>
      <c r="AY71" s="10">
        <v>9.7999999999999989</v>
      </c>
      <c r="AZ71" s="10">
        <v>12.6</v>
      </c>
      <c r="BA71" s="10">
        <v>13.299999999999999</v>
      </c>
      <c r="BB71" s="10">
        <v>9.1</v>
      </c>
      <c r="BC71" s="10">
        <v>9.7999999999999989</v>
      </c>
      <c r="BD71" s="10">
        <v>11.899999999999999</v>
      </c>
      <c r="BJ71" s="6">
        <v>0.16666666666666666</v>
      </c>
      <c r="BK71" s="68" cm="1">
        <f t="array" ref="BK71">[1]!FractionalAgents(82%,20,E15,N15)</f>
        <v>4.5410709381103516</v>
      </c>
      <c r="BL71" s="68" cm="1">
        <f t="array" ref="BL71">[1]!FractionalAgents(82%,20,F15,O15)</f>
        <v>4.5620007514953613</v>
      </c>
      <c r="BM71" s="68" cm="1">
        <f t="array" ref="BM71">[1]!FractionalAgents(82%,20,G15,P15)</f>
        <v>4.2117595672607422</v>
      </c>
      <c r="BN71" s="68" cm="1">
        <f t="array" ref="BN71">[1]!FractionalAgents(82%,20,H15,Q15)</f>
        <v>4.1361770629882813</v>
      </c>
      <c r="BO71" s="68" cm="1">
        <f t="array" ref="BO71">[1]!FractionalAgents(82%,20,I15,R15)</f>
        <v>3.4219837188720703</v>
      </c>
      <c r="BP71" s="68" cm="1">
        <f t="array" ref="BP71">[1]!FractionalAgents(82%,20,J15,S15)</f>
        <v>4.2581524848937988</v>
      </c>
      <c r="BQ71" s="68" cm="1">
        <f t="array" ref="BQ71">[1]!FractionalAgents(82%,20,K15,T15)</f>
        <v>4.0159168243408203</v>
      </c>
      <c r="BS71" s="6">
        <v>0.16666666666666666</v>
      </c>
      <c r="BT71" s="8" cm="1">
        <f t="array" ref="BT71">[1]!SLA(BK71,20,E15,N15)</f>
        <v>0.76747310161590576</v>
      </c>
      <c r="BU71" s="8" cm="1">
        <f t="array" ref="BU71">[1]!SLA(BL71,20,F15,O15)</f>
        <v>0.76449018716812134</v>
      </c>
      <c r="BV71" s="8" cm="1">
        <f t="array" ref="BV71">[1]!SLA(BM71,20,G15,P15)</f>
        <v>0.80353033542633057</v>
      </c>
      <c r="BW71" s="8" cm="1">
        <f t="array" ref="BW71">[1]!SLA(BN71,20,H15,Q15)</f>
        <v>0.80981540679931641</v>
      </c>
      <c r="BX71" s="8" cm="1">
        <f t="array" ref="BX71">[1]!SLA(BO71,20,I15,R15)</f>
        <v>0.77583098411560059</v>
      </c>
      <c r="BY71" s="8" cm="1">
        <f t="array" ref="BY71">[1]!SLA(BP71,20,J15,S15)</f>
        <v>0.79924803972244263</v>
      </c>
      <c r="BZ71" s="8" cm="1">
        <f t="array" ref="BZ71">[1]!SLA(BQ71,20,K15,T15)</f>
        <v>0.81890761852264404</v>
      </c>
      <c r="CB71" s="6">
        <v>0.16666666666666666</v>
      </c>
      <c r="CC71" s="8" cm="1">
        <f t="array" ref="CC71">[1]!Utilisation(BK71,E15,N15)</f>
        <v>0.53676766157150269</v>
      </c>
      <c r="CD71" s="8" cm="1">
        <f t="array" ref="CD71">[1]!Utilisation(BL71,F15,O15)</f>
        <v>0.53731900453567505</v>
      </c>
      <c r="CE71" s="8" cm="1">
        <f t="array" ref="CE71">[1]!Utilisation(BM71,G15,P15)</f>
        <v>0.52790355682373047</v>
      </c>
      <c r="CF71" s="8" cm="1">
        <f t="array" ref="CF71">[1]!Utilisation(BN71,H15,Q15)</f>
        <v>0.52620047330856323</v>
      </c>
      <c r="CG71" s="8" cm="1">
        <f t="array" ref="CG71">[1]!Utilisation(BO71,I15,R15)</f>
        <v>0.46895766258239746</v>
      </c>
      <c r="CH71" s="8" cm="1">
        <f t="array" ref="CH71">[1]!Utilisation(BP71,J15,S15)</f>
        <v>0.52808421850204468</v>
      </c>
      <c r="CI71" s="8" cm="1">
        <f t="array" ref="CI71">[1]!Utilisation(BQ71,K15,T15)</f>
        <v>0.52789932489395142</v>
      </c>
      <c r="CK71" s="6">
        <v>0.16666666666666666</v>
      </c>
      <c r="CL71" s="69" cm="1">
        <f t="array" ref="CL71">[1]!FractionalCallCapacity(BK71,BT71,20,N15)</f>
        <v>29</v>
      </c>
      <c r="CM71" s="69" cm="1">
        <f t="array" ref="CM71">[1]!FractionalCallCapacity(BL71,BU71,20,O15)</f>
        <v>28</v>
      </c>
      <c r="CN71" s="69" cm="1">
        <f t="array" ref="CN71">[1]!FractionalCallCapacity(BM71,BV71,20,P15)</f>
        <v>26</v>
      </c>
      <c r="CO71" s="69" cm="1">
        <f t="array" ref="CO71">[1]!FractionalCallCapacity(BN71,BW71,20,Q15)</f>
        <v>23</v>
      </c>
      <c r="CP71" s="69" cm="1">
        <f t="array" ref="CP71">[1]!FractionalCallCapacity(BO71,BX71,20,R15)</f>
        <v>18</v>
      </c>
      <c r="CQ71" s="69" cm="1">
        <f t="array" ref="CQ71">[1]!FractionalCallCapacity(BP71,BY71,20,S15)</f>
        <v>26</v>
      </c>
      <c r="CR71" s="69" cm="1">
        <f t="array" ref="CR71">[1]!FractionalCallCapacity(BQ71,BZ71,20,T15)</f>
        <v>24</v>
      </c>
      <c r="CT71" s="6">
        <v>0.16666666666666666</v>
      </c>
      <c r="CU71" s="72">
        <f t="shared" si="55"/>
        <v>2</v>
      </c>
      <c r="CV71" s="72">
        <f t="shared" si="56"/>
        <v>1.5</v>
      </c>
      <c r="CW71" s="72">
        <f t="shared" si="57"/>
        <v>0.75</v>
      </c>
      <c r="CX71" s="72">
        <f t="shared" si="58"/>
        <v>-0.25</v>
      </c>
      <c r="CY71" s="72">
        <f t="shared" si="59"/>
        <v>0.703125</v>
      </c>
      <c r="CZ71" s="72">
        <f t="shared" si="60"/>
        <v>0.9375</v>
      </c>
      <c r="DA71" s="72">
        <f t="shared" si="61"/>
        <v>0</v>
      </c>
      <c r="DC71" s="6">
        <v>0.16666666666666666</v>
      </c>
      <c r="DD71" s="72">
        <f>'linear calc'!BF13 -'linear calc'!AN13</f>
        <v>-2.9663339504682185</v>
      </c>
      <c r="DE71" s="72">
        <f>'linear calc'!BG13 -'linear calc'!AO13</f>
        <v>1.0344501929867782</v>
      </c>
      <c r="DF71" s="72">
        <f>'linear calc'!BH13 -'linear calc'!AP13</f>
        <v>-2.0289722945773168</v>
      </c>
      <c r="DG71" s="72">
        <f>'linear calc'!BI13 -'linear calc'!AQ13</f>
        <v>0.69504092979074095</v>
      </c>
      <c r="DH71" s="72">
        <f>'linear calc'!BJ13 -'linear calc'!AR13</f>
        <v>1.6831591173054576</v>
      </c>
      <c r="DI71" s="72">
        <f>'linear calc'!BK13 -'linear calc'!AS13</f>
        <v>-0.9983484174464401</v>
      </c>
      <c r="DJ71" s="72">
        <f>'linear calc'!BL13 -'linear calc'!AT13</f>
        <v>1.8168781500899129</v>
      </c>
      <c r="DL71" s="6">
        <v>0.16666666666666666</v>
      </c>
      <c r="DM71" s="75" cm="1">
        <f t="array" ref="DM71">[1]!asa(CR16,E15,N15)</f>
        <v>0</v>
      </c>
      <c r="DN71" s="75" cm="1">
        <f t="array" ref="DN71">[1]!asa(CS16,F15,O15)</f>
        <v>0</v>
      </c>
      <c r="DO71" s="75" cm="1">
        <f t="array" ref="DO71">[1]!asa(CT16,G15,P15)</f>
        <v>0</v>
      </c>
      <c r="DP71" s="75" cm="1">
        <f t="array" ref="DP71">[1]!asa(CU16,H15,Q15)</f>
        <v>0</v>
      </c>
      <c r="DQ71" s="75" cm="1">
        <f t="array" ref="DQ71">[1]!asa(CV16,I15,R15)</f>
        <v>0</v>
      </c>
      <c r="DR71" s="75" cm="1">
        <f t="array" ref="DR71">[1]!asa(CW16,J15,S15)</f>
        <v>0</v>
      </c>
      <c r="DS71" s="75" cm="1">
        <f t="array" ref="DS71">[1]!asa(CX16,K15,T15)</f>
        <v>0</v>
      </c>
      <c r="DU71" s="6">
        <v>0.16666666666666666</v>
      </c>
      <c r="DV71" s="8" cm="1">
        <f t="array" ref="DV71">[1]!Abandon(CR16,300,E15,N15)</f>
        <v>1.0884490393436863E-6</v>
      </c>
      <c r="DW71" s="8" cm="1">
        <f t="array" ref="DW71">[1]!Abandon(CS16,300,F15,O15)</f>
        <v>1.7214053116276773E-7</v>
      </c>
      <c r="DX71" s="8" cm="1">
        <f t="array" ref="DX71">[1]!Abandon(CT16,300,G15,P15)</f>
        <v>3.940252497613983E-7</v>
      </c>
      <c r="DY71" s="8" cm="1">
        <f t="array" ref="DY71">[1]!Abandon(CU16,300,H15,Q15)</f>
        <v>5.9443330258091009E-9</v>
      </c>
      <c r="DZ71" s="8" cm="1">
        <f t="array" ref="DZ71">[1]!Abandon(CV16,300,I15,R15)</f>
        <v>1.9303574017026648E-10</v>
      </c>
      <c r="EA71" s="8" cm="1">
        <f t="array" ref="EA71">[1]!Abandon(CW16,300,J15,S15)</f>
        <v>7.7144923125160858E-6</v>
      </c>
      <c r="EB71" s="8" cm="1">
        <f t="array" ref="EB71">[1]!Abandon(CX16,300,K15,T15)</f>
        <v>1.2624624956547592E-10</v>
      </c>
      <c r="ED71" s="6">
        <v>0.16666666666666666</v>
      </c>
      <c r="EE71" s="8">
        <f>1-ABS((('linear calc'!AN13 -'linear calc'!AW13) /'linear calc'!AN13))</f>
        <v>0.90336567613550978</v>
      </c>
      <c r="EF71" s="8">
        <f>1-ABS((('linear calc'!AO13 -'linear calc'!AX13) /'linear calc'!AO13))</f>
        <v>0.41530599850774763</v>
      </c>
      <c r="EG71" s="8">
        <f>1-ABS((('linear calc'!AP13 -'linear calc'!AY13) /'linear calc'!AP13))</f>
        <v>0.81646523033806284</v>
      </c>
      <c r="EH71" s="8">
        <f>1-ABS((('linear calc'!AQ13 -'linear calc'!AZ13) /'linear calc'!AQ13))</f>
        <v>0.47690982010829663</v>
      </c>
      <c r="EI71" s="8">
        <f>1-ABS((('linear calc'!AR13 -'linear calc'!BA13) /'linear calc'!AR13))</f>
        <v>0.31876983158408601</v>
      </c>
      <c r="EJ71" s="8">
        <f>1-ABS((('linear calc'!AS13 -'linear calc'!BB13) /'linear calc'!AS13))</f>
        <v>0.72317991768383083</v>
      </c>
      <c r="EK71" s="8">
        <f>1-ABS((('linear calc'!AT13 -'linear calc'!BC13) /'linear calc'!AT13))</f>
        <v>0.33072460364063394</v>
      </c>
    </row>
    <row r="72" spans="3:141" x14ac:dyDescent="0.3">
      <c r="C72" s="6">
        <v>4.1666666666666664E-2</v>
      </c>
      <c r="D72" s="7">
        <v>31</v>
      </c>
      <c r="E72" s="7">
        <v>33</v>
      </c>
      <c r="F72" s="7">
        <v>37</v>
      </c>
      <c r="G72" s="7">
        <v>30</v>
      </c>
      <c r="H72" s="7">
        <v>36</v>
      </c>
      <c r="I72" s="7">
        <v>38</v>
      </c>
      <c r="J72" s="7">
        <v>31</v>
      </c>
      <c r="AE72" s="6">
        <v>2.0833333333333332E-2</v>
      </c>
      <c r="AF72" s="7">
        <f t="shared" ref="AF72:AF118" si="64">(D71*N8)/(3600*82%*(1-W8))</f>
        <v>6.2326790170306232</v>
      </c>
      <c r="AG72" s="7">
        <f t="shared" ref="AG72:AG118" si="65">(E71*O8)/(3600*82%*(1-X8))</f>
        <v>4.9066525339317186</v>
      </c>
      <c r="AH72" s="7">
        <f t="shared" ref="AH72:AH118" si="66">(F71*P8)/(3600*82%*(1-Y8))</f>
        <v>6.0763265641314419</v>
      </c>
      <c r="AI72" s="7">
        <f t="shared" ref="AI72:AI118" si="67">(G71*Q8)/(3600*82%*(1-Z8))</f>
        <v>5.6688458637163688</v>
      </c>
      <c r="AJ72" s="7">
        <f t="shared" ref="AJ72:AJ118" si="68">(H71*R8)/(3600*82%*(1-AA8))</f>
        <v>6.0070800924459462</v>
      </c>
      <c r="AK72" s="7">
        <f t="shared" ref="AK72:AK118" si="69">(I71*S8)/(3600*82%*(1-AB8))</f>
        <v>4.9255004133052909</v>
      </c>
      <c r="AL72" s="7">
        <f t="shared" ref="AL72:AL118" si="70">(J71*T8)/(3600*82%*(1-AC8))</f>
        <v>5.699873297434273</v>
      </c>
      <c r="AW72" s="6">
        <v>0.27083333333333331</v>
      </c>
      <c r="AX72" s="10">
        <v>9.7999999999999989</v>
      </c>
      <c r="AY72" s="10">
        <v>9.7999999999999989</v>
      </c>
      <c r="AZ72" s="10">
        <v>12.6</v>
      </c>
      <c r="BA72" s="10">
        <v>13.299999999999999</v>
      </c>
      <c r="BB72" s="10">
        <v>9.1</v>
      </c>
      <c r="BC72" s="10">
        <v>9.7999999999999989</v>
      </c>
      <c r="BD72" s="10">
        <v>11.899999999999999</v>
      </c>
      <c r="BJ72" s="6">
        <v>0.1875</v>
      </c>
      <c r="BK72" s="68" cm="1">
        <f t="array" ref="BK72">[1]!FractionalAgents(82%,20,E16,N16)</f>
        <v>4.4540548324584961</v>
      </c>
      <c r="BL72" s="68" cm="1">
        <f t="array" ref="BL72">[1]!FractionalAgents(82%,20,F16,O16)</f>
        <v>4.5397486686706543</v>
      </c>
      <c r="BM72" s="68" cm="1">
        <f t="array" ref="BM72">[1]!FractionalAgents(82%,20,G16,P16)</f>
        <v>3.9325234889984131</v>
      </c>
      <c r="BN72" s="68" cm="1">
        <f t="array" ref="BN72">[1]!FractionalAgents(82%,20,H16,Q16)</f>
        <v>4.3580136299133301</v>
      </c>
      <c r="BO72" s="68" cm="1">
        <f t="array" ref="BO72">[1]!FractionalAgents(82%,20,I16,R16)</f>
        <v>3.7594356536865234</v>
      </c>
      <c r="BP72" s="68" cm="1">
        <f t="array" ref="BP72">[1]!FractionalAgents(82%,20,J16,S16)</f>
        <v>4.192267894744873</v>
      </c>
      <c r="BQ72" s="68" cm="1">
        <f t="array" ref="BQ72">[1]!FractionalAgents(82%,20,K16,T16)</f>
        <v>4.5418210029602051</v>
      </c>
      <c r="BS72" s="6">
        <v>0.1875</v>
      </c>
      <c r="BT72" s="8" cm="1">
        <f t="array" ref="BT72">[1]!SLA(BK72,20,E16,N16)</f>
        <v>0.77821135520935059</v>
      </c>
      <c r="BU72" s="8" cm="1">
        <f t="array" ref="BU72">[1]!SLA(BL72,20,F16,O16)</f>
        <v>0.76771163940429688</v>
      </c>
      <c r="BV72" s="8" cm="1">
        <f t="array" ref="BV72">[1]!SLA(BM72,20,G16,P16)</f>
        <v>0.67730075120925903</v>
      </c>
      <c r="BW72" s="8" cm="1">
        <f t="array" ref="BW72">[1]!SLA(BN72,20,H16,Q16)</f>
        <v>0.78931593894958496</v>
      </c>
      <c r="BX72" s="8" cm="1">
        <f t="array" ref="BX72">[1]!SLA(BO72,20,I16,R16)</f>
        <v>0.71763694286346436</v>
      </c>
      <c r="BY72" s="8" cm="1">
        <f t="array" ref="BY72">[1]!SLA(BP72,20,J16,S16)</f>
        <v>0.80523383617401123</v>
      </c>
      <c r="BZ72" s="8" cm="1">
        <f t="array" ref="BZ72">[1]!SLA(BQ72,20,K16,T16)</f>
        <v>0.76731103658676147</v>
      </c>
      <c r="CB72" s="6">
        <v>0.1875</v>
      </c>
      <c r="CC72" s="8" cm="1">
        <f t="array" ref="CC72">[1]!Utilisation(BK72,E16,N16)</f>
        <v>0.53225535154342651</v>
      </c>
      <c r="CD72" s="8" cm="1">
        <f t="array" ref="CD72">[1]!Utilisation(BL72,F16,O16)</f>
        <v>0.53689336776733398</v>
      </c>
      <c r="CE72" s="8" cm="1">
        <f t="array" ref="CE72">[1]!Utilisation(BM72,G16,P16)</f>
        <v>0.51744407415390015</v>
      </c>
      <c r="CF72" s="8" cm="1">
        <f t="array" ref="CF72">[1]!Utilisation(BN72,H16,Q16)</f>
        <v>0.53031295537948608</v>
      </c>
      <c r="CG72" s="8" cm="1">
        <f t="array" ref="CG72">[1]!Utilisation(BO72,I16,R16)</f>
        <v>0.49454116821289063</v>
      </c>
      <c r="CH72" s="8" cm="1">
        <f t="array" ref="CH72">[1]!Utilisation(BP72,J16,S16)</f>
        <v>0.52773243188858032</v>
      </c>
      <c r="CI72" s="8" cm="1">
        <f t="array" ref="CI72">[1]!Utilisation(BQ72,K16,T16)</f>
        <v>0.53661787509918213</v>
      </c>
      <c r="CK72" s="6">
        <v>0.1875</v>
      </c>
      <c r="CL72" s="69" cm="1">
        <f t="array" ref="CL72">[1]!FractionalCallCapacity(BK72,BT72,20,N16)</f>
        <v>27</v>
      </c>
      <c r="CM72" s="69" cm="1">
        <f t="array" ref="CM72">[1]!FractionalCallCapacity(BL72,BU72,20,O16)</f>
        <v>29</v>
      </c>
      <c r="CN72" s="69" cm="1">
        <f t="array" ref="CN72">[1]!FractionalCallCapacity(BM72,BV72,20,P16)</f>
        <v>28</v>
      </c>
      <c r="CO72" s="69" cm="1">
        <f t="array" ref="CO72">[1]!FractionalCallCapacity(BN72,BW72,20,Q16)</f>
        <v>27</v>
      </c>
      <c r="CP72" s="69" cm="1">
        <f t="array" ref="CP72">[1]!FractionalCallCapacity(BO72,BX72,20,R16)</f>
        <v>23</v>
      </c>
      <c r="CQ72" s="69" cm="1">
        <f t="array" ref="CQ72">[1]!FractionalCallCapacity(BP72,BY72,20,S16)</f>
        <v>25</v>
      </c>
      <c r="CR72" s="69" cm="1">
        <f t="array" ref="CR72">[1]!FractionalCallCapacity(BQ72,BZ72,20,T16)</f>
        <v>29</v>
      </c>
      <c r="CT72" s="6">
        <v>0.1875</v>
      </c>
      <c r="CU72" s="72">
        <f t="shared" si="55"/>
        <v>1.75</v>
      </c>
      <c r="CV72" s="72">
        <f t="shared" si="56"/>
        <v>1.75</v>
      </c>
      <c r="CW72" s="72">
        <f t="shared" si="57"/>
        <v>5.25</v>
      </c>
      <c r="CX72" s="72">
        <f t="shared" si="58"/>
        <v>1</v>
      </c>
      <c r="CY72" s="72">
        <f t="shared" si="59"/>
        <v>3.1979166666666679</v>
      </c>
      <c r="CZ72" s="72">
        <f t="shared" si="60"/>
        <v>-0.125</v>
      </c>
      <c r="DA72" s="72">
        <f t="shared" si="61"/>
        <v>2.25</v>
      </c>
      <c r="DC72" s="6">
        <v>0.1875</v>
      </c>
      <c r="DD72" s="72">
        <f>'linear calc'!BF14 -'linear calc'!AN14</f>
        <v>-3.4841011743450778</v>
      </c>
      <c r="DE72" s="72">
        <f>'linear calc'!BG14 -'linear calc'!AO14</f>
        <v>-1.2752613240418107</v>
      </c>
      <c r="DF72" s="72">
        <f>'linear calc'!BH14 -'linear calc'!AP14</f>
        <v>2.8274357981675049</v>
      </c>
      <c r="DG72" s="72">
        <f>'linear calc'!BI14 -'linear calc'!AQ14</f>
        <v>-0.72329117735621828</v>
      </c>
      <c r="DH72" s="72">
        <f>'linear calc'!BJ14 -'linear calc'!AR14</f>
        <v>1.5773269508396019</v>
      </c>
      <c r="DI72" s="72">
        <f>'linear calc'!BK14 -'linear calc'!AS14</f>
        <v>1.3120816789563223</v>
      </c>
      <c r="DJ72" s="72">
        <f>'linear calc'!BL14 -'linear calc'!AT14</f>
        <v>1.4768913730803952</v>
      </c>
      <c r="DL72" s="6">
        <v>0.1875</v>
      </c>
      <c r="DM72" s="75" cm="1">
        <f t="array" ref="DM72">[1]!asa(CR17,E16,N16)</f>
        <v>0</v>
      </c>
      <c r="DN72" s="75" cm="1">
        <f t="array" ref="DN72">[1]!asa(CS17,F16,O16)</f>
        <v>0</v>
      </c>
      <c r="DO72" s="75" cm="1">
        <f t="array" ref="DO72">[1]!asa(CT17,G16,P16)</f>
        <v>0</v>
      </c>
      <c r="DP72" s="75" cm="1">
        <f t="array" ref="DP72">[1]!asa(CU17,H16,Q16)</f>
        <v>0</v>
      </c>
      <c r="DQ72" s="75" cm="1">
        <f t="array" ref="DQ72">[1]!asa(CV17,I16,R16)</f>
        <v>0</v>
      </c>
      <c r="DR72" s="75" cm="1">
        <f t="array" ref="DR72">[1]!asa(CW17,J16,S16)</f>
        <v>0</v>
      </c>
      <c r="DS72" s="75" cm="1">
        <f t="array" ref="DS72">[1]!asa(CX17,K16,T16)</f>
        <v>0</v>
      </c>
      <c r="DU72" s="6">
        <v>0.1875</v>
      </c>
      <c r="DV72" s="8" cm="1">
        <f t="array" ref="DV72">[1]!Abandon(CR17,300,E16,N16)</f>
        <v>1.0991257113346364E-6</v>
      </c>
      <c r="DW72" s="8" cm="1">
        <f t="array" ref="DW72">[1]!Abandon(CS17,300,F16,O16)</f>
        <v>1.268500255946492E-7</v>
      </c>
      <c r="DX72" s="8" cm="1">
        <f t="array" ref="DX72">[1]!Abandon(CT17,300,G16,P16)</f>
        <v>1.9608707191309804E-7</v>
      </c>
      <c r="DY72" s="8" cm="1">
        <f t="array" ref="DY72">[1]!Abandon(CU17,300,H16,Q16)</f>
        <v>7.5582358149972606E-9</v>
      </c>
      <c r="DZ72" s="8" cm="1">
        <f t="array" ref="DZ72">[1]!Abandon(CV17,300,I16,R16)</f>
        <v>1.0770360159284564E-9</v>
      </c>
      <c r="EA72" s="8" cm="1">
        <f t="array" ref="EA72">[1]!Abandon(CW17,300,J16,S16)</f>
        <v>6.0554461924766656E-6</v>
      </c>
      <c r="EB72" s="8" cm="1">
        <f t="array" ref="EB72">[1]!Abandon(CX17,300,K16,T16)</f>
        <v>9.1290597303839149E-10</v>
      </c>
      <c r="ED72" s="6">
        <v>0.1875</v>
      </c>
      <c r="EE72" s="8">
        <f>1-ABS((('linear calc'!AN14 -'linear calc'!AW14) /'linear calc'!AN14))</f>
        <v>0.94610859882356946</v>
      </c>
      <c r="EF72" s="8">
        <f>1-ABS((('linear calc'!AO14 -'linear calc'!AX14) /'linear calc'!AO14))</f>
        <v>0.7261429205503771</v>
      </c>
      <c r="EG72" s="8">
        <f>1-ABS((('linear calc'!AP14 -'linear calc'!AY14) /'linear calc'!AP14))</f>
        <v>-7.8696437561078803E-3</v>
      </c>
      <c r="EH72" s="8">
        <f>1-ABS((('linear calc'!AQ14 -'linear calc'!AZ14) /'linear calc'!AQ14))</f>
        <v>0.65808862989222727</v>
      </c>
      <c r="EI72" s="8">
        <f>1-ABS((('linear calc'!AR14 -'linear calc'!BA14) /'linear calc'!AR14))</f>
        <v>0.33726035185243664</v>
      </c>
      <c r="EJ72" s="8">
        <f>1-ABS((('linear calc'!AS14 -'linear calc'!BB14) /'linear calc'!AS14))</f>
        <v>0.30697823303457128</v>
      </c>
      <c r="EK72" s="8">
        <f>1-ABS((('linear calc'!AT14 -'linear calc'!BC14) /'linear calc'!AT14))</f>
        <v>0.38174735105640534</v>
      </c>
    </row>
    <row r="73" spans="3:141" x14ac:dyDescent="0.3">
      <c r="C73" s="6">
        <v>6.25E-2</v>
      </c>
      <c r="D73" s="7">
        <v>31</v>
      </c>
      <c r="E73" s="7">
        <v>33</v>
      </c>
      <c r="F73" s="7">
        <v>34</v>
      </c>
      <c r="G73" s="7">
        <v>37</v>
      </c>
      <c r="H73" s="7">
        <v>37</v>
      </c>
      <c r="I73" s="7">
        <v>31</v>
      </c>
      <c r="J73" s="7">
        <v>40</v>
      </c>
      <c r="AE73" s="6">
        <v>4.1666666666666664E-2</v>
      </c>
      <c r="AF73" s="7">
        <f t="shared" si="64"/>
        <v>4.9116914589475558</v>
      </c>
      <c r="AG73" s="7">
        <f t="shared" si="65"/>
        <v>5.2863177791441771</v>
      </c>
      <c r="AH73" s="7">
        <f t="shared" si="66"/>
        <v>5.6277100271002709</v>
      </c>
      <c r="AI73" s="7">
        <f t="shared" si="67"/>
        <v>4.7706155632984899</v>
      </c>
      <c r="AJ73" s="7">
        <f t="shared" si="68"/>
        <v>5.3717770034843202</v>
      </c>
      <c r="AK73" s="7">
        <f t="shared" si="69"/>
        <v>6.0924123232395795</v>
      </c>
      <c r="AL73" s="7">
        <f t="shared" si="70"/>
        <v>4.9503196019802136</v>
      </c>
      <c r="AW73" s="6">
        <v>0.29166666666666663</v>
      </c>
      <c r="AX73" s="10">
        <v>9.7999999999999989</v>
      </c>
      <c r="AY73" s="10">
        <v>9.7999999999999989</v>
      </c>
      <c r="AZ73" s="10">
        <v>12.6</v>
      </c>
      <c r="BA73" s="10">
        <v>13.299999999999999</v>
      </c>
      <c r="BB73" s="10">
        <v>9.1</v>
      </c>
      <c r="BC73" s="10">
        <v>9.7999999999999989</v>
      </c>
      <c r="BD73" s="10">
        <v>11.899999999999999</v>
      </c>
      <c r="BJ73" s="6">
        <v>0.20833333333333334</v>
      </c>
      <c r="BK73" s="68" cm="1">
        <f t="array" ref="BK73">[1]!FractionalAgents(82%,20,E17,N17)</f>
        <v>4.4990825653076172</v>
      </c>
      <c r="BL73" s="68" cm="1">
        <f t="array" ref="BL73">[1]!FractionalAgents(82%,20,F17,O17)</f>
        <v>3.9476397037506104</v>
      </c>
      <c r="BM73" s="68" cm="1">
        <f t="array" ref="BM73">[1]!FractionalAgents(82%,20,G17,P17)</f>
        <v>3.9077904224395752</v>
      </c>
      <c r="BN73" s="68" cm="1">
        <f t="array" ref="BN73">[1]!FractionalAgents(82%,20,H17,Q17)</f>
        <v>4.1296024322509766</v>
      </c>
      <c r="BO73" s="68" cm="1">
        <f t="array" ref="BO73">[1]!FractionalAgents(82%,20,I17,R17)</f>
        <v>3.680717945098877</v>
      </c>
      <c r="BP73" s="68" cm="1">
        <f t="array" ref="BP73">[1]!FractionalAgents(82%,20,J17,S17)</f>
        <v>3.9357452392578125</v>
      </c>
      <c r="BQ73" s="68" cm="1">
        <f t="array" ref="BQ73">[1]!FractionalAgents(82%,20,K17,T17)</f>
        <v>4.2309427261352539</v>
      </c>
      <c r="BS73" s="6">
        <v>0.20833333333333334</v>
      </c>
      <c r="BT73" s="8" cm="1">
        <f t="array" ref="BT73">[1]!SLA(BK73,20,E17,N17)</f>
        <v>0.77269947528839111</v>
      </c>
      <c r="BU73" s="8" cm="1">
        <f t="array" ref="BU73">[1]!SLA(BL73,20,F17,O17)</f>
        <v>0.67307257652282715</v>
      </c>
      <c r="BV73" s="8" cm="1">
        <f t="array" ref="BV73">[1]!SLA(BM73,20,G17,P17)</f>
        <v>0.68328666687011719</v>
      </c>
      <c r="BW73" s="8" cm="1">
        <f t="array" ref="BW73">[1]!SLA(BN73,20,H17,Q17)</f>
        <v>0.81033468246459961</v>
      </c>
      <c r="BX73" s="8" cm="1">
        <f t="array" ref="BX73">[1]!SLA(BO73,20,I17,R17)</f>
        <v>0.73377144336700439</v>
      </c>
      <c r="BY73" s="8" cm="1">
        <f t="array" ref="BY73">[1]!SLA(BP73,20,J17,S17)</f>
        <v>0.67653906345367432</v>
      </c>
      <c r="BZ73" s="8" cm="1">
        <f t="array" ref="BZ73">[1]!SLA(BQ73,20,K17,T17)</f>
        <v>0.80181330442428589</v>
      </c>
      <c r="CB73" s="6">
        <v>0.20833333333333334</v>
      </c>
      <c r="CC73" s="8" cm="1">
        <f t="array" ref="CC73">[1]!Utilisation(BK73,E17,N17)</f>
        <v>0.53418296575546265</v>
      </c>
      <c r="CD73" s="8" cm="1">
        <f t="array" ref="CD73">[1]!Utilisation(BL73,F17,O17)</f>
        <v>0.51929765939712524</v>
      </c>
      <c r="CE73" s="8" cm="1">
        <f t="array" ref="CE73">[1]!Utilisation(BM73,G17,P17)</f>
        <v>0.51329094171524048</v>
      </c>
      <c r="CF73" s="8" cm="1">
        <f t="array" ref="CF73">[1]!Utilisation(BN73,H17,Q17)</f>
        <v>0.52601248025894165</v>
      </c>
      <c r="CG73" s="8" cm="1">
        <f t="array" ref="CG73">[1]!Utilisation(BO73,I17,R17)</f>
        <v>0.48706576228141785</v>
      </c>
      <c r="CH73" s="8" cm="1">
        <f t="array" ref="CH73">[1]!Utilisation(BP73,J17,S17)</f>
        <v>0.51804393529891968</v>
      </c>
      <c r="CI73" s="8" cm="1">
        <f t="array" ref="CI73">[1]!Utilisation(BQ73,K17,T17)</f>
        <v>0.52811151742935181</v>
      </c>
      <c r="CK73" s="6">
        <v>0.20833333333333334</v>
      </c>
      <c r="CL73" s="69" cm="1">
        <f t="array" ref="CL73">[1]!FractionalCallCapacity(BK73,BT73,20,N17)</f>
        <v>27</v>
      </c>
      <c r="CM73" s="69" cm="1">
        <f t="array" ref="CM73">[1]!FractionalCallCapacity(BL73,BU73,20,O17)</f>
        <v>27</v>
      </c>
      <c r="CN73" s="69" cm="1">
        <f t="array" ref="CN73">[1]!FractionalCallCapacity(BM73,BV73,20,P17)</f>
        <v>26</v>
      </c>
      <c r="CO73" s="69" cm="1">
        <f t="array" ref="CO73">[1]!FractionalCallCapacity(BN73,BW73,20,Q17)</f>
        <v>23</v>
      </c>
      <c r="CP73" s="69" cm="1">
        <f t="array" ref="CP73">[1]!FractionalCallCapacity(BO73,BX73,20,R17)</f>
        <v>22</v>
      </c>
      <c r="CQ73" s="69" cm="1">
        <f t="array" ref="CQ73">[1]!FractionalCallCapacity(BP73,BY73,20,S17)</f>
        <v>28</v>
      </c>
      <c r="CR73" s="69" cm="1">
        <f t="array" ref="CR73">[1]!FractionalCallCapacity(BQ73,BZ73,20,T17)</f>
        <v>26</v>
      </c>
      <c r="CT73" s="6">
        <v>0.20833333333333334</v>
      </c>
      <c r="CU73" s="72">
        <f t="shared" si="55"/>
        <v>1.25</v>
      </c>
      <c r="CV73" s="72">
        <f t="shared" si="56"/>
        <v>4.5</v>
      </c>
      <c r="CW73" s="72">
        <f t="shared" si="57"/>
        <v>4.25</v>
      </c>
      <c r="CX73" s="72">
        <f t="shared" si="58"/>
        <v>0</v>
      </c>
      <c r="CY73" s="72">
        <f t="shared" si="59"/>
        <v>2.4427083333333321</v>
      </c>
      <c r="CZ73" s="72">
        <f t="shared" si="60"/>
        <v>5.0625</v>
      </c>
      <c r="DA73" s="72">
        <f t="shared" si="61"/>
        <v>0.625</v>
      </c>
      <c r="DC73" s="6">
        <v>0.20833333333333334</v>
      </c>
      <c r="DD73" s="72">
        <f>'linear calc'!BF15 -'linear calc'!AN15</f>
        <v>-3.8401783372672433</v>
      </c>
      <c r="DE73" s="72">
        <f>'linear calc'!BG15 -'linear calc'!AO15</f>
        <v>-0.60738854641293649</v>
      </c>
      <c r="DF73" s="72">
        <f>'linear calc'!BH15 -'linear calc'!AP15</f>
        <v>0.3477742896240823</v>
      </c>
      <c r="DG73" s="72">
        <f>'linear calc'!BI15 -'linear calc'!AQ15</f>
        <v>2.917521154803385</v>
      </c>
      <c r="DH73" s="72">
        <f>'linear calc'!BJ15 -'linear calc'!AR15</f>
        <v>1.143528270509977</v>
      </c>
      <c r="DI73" s="72">
        <f>'linear calc'!BK15 -'linear calc'!AS15</f>
        <v>-1.5686794263775976</v>
      </c>
      <c r="DJ73" s="72">
        <f>'linear calc'!BL15 -'linear calc'!AT15</f>
        <v>3.3676363482384826</v>
      </c>
      <c r="DL73" s="6">
        <v>0.20833333333333334</v>
      </c>
      <c r="DM73" s="75" cm="1">
        <f t="array" ref="DM73">[1]!asa(CR18,E17,N17)</f>
        <v>0</v>
      </c>
      <c r="DN73" s="75" cm="1">
        <f t="array" ref="DN73">[1]!asa(CS18,F17,O17)</f>
        <v>0</v>
      </c>
      <c r="DO73" s="75" cm="1">
        <f t="array" ref="DO73">[1]!asa(CT18,G17,P17)</f>
        <v>0</v>
      </c>
      <c r="DP73" s="75" cm="1">
        <f t="array" ref="DP73">[1]!asa(CU18,H17,Q17)</f>
        <v>0</v>
      </c>
      <c r="DQ73" s="75" cm="1">
        <f t="array" ref="DQ73">[1]!asa(CV18,I17,R17)</f>
        <v>0</v>
      </c>
      <c r="DR73" s="75" cm="1">
        <f t="array" ref="DR73">[1]!asa(CW18,J17,S17)</f>
        <v>0</v>
      </c>
      <c r="DS73" s="75" cm="1">
        <f t="array" ref="DS73">[1]!asa(CX18,K17,T17)</f>
        <v>0</v>
      </c>
      <c r="DU73" s="6">
        <v>0.20833333333333334</v>
      </c>
      <c r="DV73" s="8" cm="1">
        <f t="array" ref="DV73">[1]!Abandon(CR18,300,E17,N17)</f>
        <v>1.196298626382486E-6</v>
      </c>
      <c r="DW73" s="8" cm="1">
        <f t="array" ref="DW73">[1]!Abandon(CS18,300,F17,O17)</f>
        <v>2.5426713179399485E-8</v>
      </c>
      <c r="DX73" s="8" cm="1">
        <f t="array" ref="DX73">[1]!Abandon(CT18,300,G17,P17)</f>
        <v>2.140530739325186E-7</v>
      </c>
      <c r="DY73" s="8" cm="1">
        <f t="array" ref="DY73">[1]!Abandon(CU18,300,H17,Q17)</f>
        <v>6.245838513052604E-9</v>
      </c>
      <c r="DZ73" s="8" cm="1">
        <f t="array" ref="DZ73">[1]!Abandon(CV18,300,I17,R17)</f>
        <v>5.8970339722463905E-10</v>
      </c>
      <c r="EA73" s="8" cm="1">
        <f t="array" ref="EA73">[1]!Abandon(CW18,300,J17,S17)</f>
        <v>3.273009951954009E-6</v>
      </c>
      <c r="EB73" s="8" cm="1">
        <f t="array" ref="EB73">[1]!Abandon(CX18,300,K17,T17)</f>
        <v>2.3104648749772139E-10</v>
      </c>
      <c r="ED73" s="6">
        <v>0.20833333333333334</v>
      </c>
      <c r="EE73" s="8">
        <f>1-ABS((('linear calc'!AN15 -'linear calc'!AW15) /'linear calc'!AN15))</f>
        <v>0.97362045760430671</v>
      </c>
      <c r="EF73" s="8">
        <f>1-ABS((('linear calc'!AO15 -'linear calc'!AX15) /'linear calc'!AO15))</f>
        <v>0.64954755680675647</v>
      </c>
      <c r="EG73" s="8">
        <f>1-ABS((('linear calc'!AP15 -'linear calc'!AY15) /'linear calc'!AP15))</f>
        <v>0.51886736214605089</v>
      </c>
      <c r="EH73" s="8">
        <f>1-ABS((('linear calc'!AQ15 -'linear calc'!AZ15) /'linear calc'!AQ15))</f>
        <v>6.8211184230295152E-2</v>
      </c>
      <c r="EI73" s="8">
        <f>1-ABS((('linear calc'!AR15 -'linear calc'!BA15) /'linear calc'!AR15))</f>
        <v>0.40898473834705618</v>
      </c>
      <c r="EJ73" s="8">
        <f>1-ABS((('linear calc'!AS15 -'linear calc'!BB15) /'linear calc'!AS15))</f>
        <v>0.79622972243972123</v>
      </c>
      <c r="EK73" s="8">
        <f>1-ABS((('linear calc'!AT15 -'linear calc'!BC15) /'linear calc'!AT15))</f>
        <v>5.0336763265858231E-2</v>
      </c>
    </row>
    <row r="74" spans="3:141" x14ac:dyDescent="0.3">
      <c r="C74" s="6">
        <v>8.3333333333333329E-2</v>
      </c>
      <c r="D74" s="7">
        <v>36</v>
      </c>
      <c r="E74" s="7">
        <v>34</v>
      </c>
      <c r="F74" s="7">
        <v>39</v>
      </c>
      <c r="G74" s="7">
        <v>38</v>
      </c>
      <c r="H74" s="7">
        <v>39</v>
      </c>
      <c r="I74" s="7">
        <v>35</v>
      </c>
      <c r="J74" s="7">
        <v>40</v>
      </c>
      <c r="AE74" s="6">
        <v>6.25E-2</v>
      </c>
      <c r="AF74" s="7">
        <f t="shared" si="64"/>
        <v>4.8988396555124574</v>
      </c>
      <c r="AG74" s="7">
        <f t="shared" si="65"/>
        <v>5.0953548379371867</v>
      </c>
      <c r="AH74" s="7">
        <f t="shared" si="66"/>
        <v>5.3172248903956225</v>
      </c>
      <c r="AI74" s="7">
        <f t="shared" si="67"/>
        <v>5.7836603606420667</v>
      </c>
      <c r="AJ74" s="7">
        <f t="shared" si="68"/>
        <v>5.7638863418709372</v>
      </c>
      <c r="AK74" s="7">
        <f t="shared" si="69"/>
        <v>5.0216479545747834</v>
      </c>
      <c r="AL74" s="7">
        <f t="shared" si="70"/>
        <v>6.4429175666923557</v>
      </c>
      <c r="AW74" s="6">
        <v>0.31249999999999994</v>
      </c>
      <c r="AX74" s="10">
        <v>9.7999999999999989</v>
      </c>
      <c r="AY74" s="10">
        <v>9.7999999999999989</v>
      </c>
      <c r="AZ74" s="10">
        <v>12.6</v>
      </c>
      <c r="BA74" s="10">
        <v>13.299999999999999</v>
      </c>
      <c r="BB74" s="10">
        <v>9.1</v>
      </c>
      <c r="BC74" s="10">
        <v>9.7999999999999989</v>
      </c>
      <c r="BD74" s="10">
        <v>11.899999999999999</v>
      </c>
      <c r="BJ74" s="6">
        <v>0.22916666666666669</v>
      </c>
      <c r="BK74" s="68" cm="1">
        <f t="array" ref="BK74">[1]!FractionalAgents(82%,20,E18,N18)</f>
        <v>4.3802170753479004</v>
      </c>
      <c r="BL74" s="68" cm="1">
        <f t="array" ref="BL74">[1]!FractionalAgents(82%,20,F18,O18)</f>
        <v>4.2469282150268555</v>
      </c>
      <c r="BM74" s="68" cm="1">
        <f t="array" ref="BM74">[1]!FractionalAgents(82%,20,G18,P18)</f>
        <v>4.4795236587524414</v>
      </c>
      <c r="BN74" s="68" cm="1">
        <f t="array" ref="BN74">[1]!FractionalAgents(82%,20,H18,Q18)</f>
        <v>4.0621538162231445</v>
      </c>
      <c r="BO74" s="68" cm="1">
        <f t="array" ref="BO74">[1]!FractionalAgents(82%,20,I18,R18)</f>
        <v>3.6536765098571777</v>
      </c>
      <c r="BP74" s="68" cm="1">
        <f t="array" ref="BP74">[1]!FractionalAgents(82%,20,J18,S18)</f>
        <v>4.4118447303771973</v>
      </c>
      <c r="BQ74" s="68" cm="1">
        <f t="array" ref="BQ74">[1]!FractionalAgents(82%,20,K18,T18)</f>
        <v>4.4914493560791016</v>
      </c>
      <c r="BS74" s="6">
        <v>0.22916666666666669</v>
      </c>
      <c r="BT74" s="8" cm="1">
        <f t="array" ref="BT74">[1]!SLA(BK74,20,E18,N18)</f>
        <v>0.78681492805480957</v>
      </c>
      <c r="BU74" s="8" cm="1">
        <f t="array" ref="BU74">[1]!SLA(BL74,20,F18,O18)</f>
        <v>0.80026715993881226</v>
      </c>
      <c r="BV74" s="8" cm="1">
        <f t="array" ref="BV74">[1]!SLA(BM74,20,G18,P18)</f>
        <v>0.77523261308670044</v>
      </c>
      <c r="BW74" s="8" cm="1">
        <f t="array" ref="BW74">[1]!SLA(BN74,20,H18,Q18)</f>
        <v>0.81561410427093506</v>
      </c>
      <c r="BX74" s="8" cm="1">
        <f t="array" ref="BX74">[1]!SLA(BO74,20,I18,R18)</f>
        <v>0.73897886276245117</v>
      </c>
      <c r="BY74" s="8" cm="1">
        <f t="array" ref="BY74">[1]!SLA(BP74,20,J18,S18)</f>
        <v>0.78330874443054199</v>
      </c>
      <c r="BZ74" s="8" cm="1">
        <f t="array" ref="BZ74">[1]!SLA(BQ74,20,K18,T18)</f>
        <v>0.77393889427185059</v>
      </c>
      <c r="CB74" s="6">
        <v>0.22916666666666669</v>
      </c>
      <c r="CC74" s="8" cm="1">
        <f t="array" ref="CC74">[1]!Utilisation(BK74,E18,N18)</f>
        <v>0.5304151177406311</v>
      </c>
      <c r="CD74" s="8" cm="1">
        <f t="array" ref="CD74">[1]!Utilisation(BL74,F18,O18)</f>
        <v>0.52773439884185791</v>
      </c>
      <c r="CE74" s="8" cm="1">
        <f t="array" ref="CE74">[1]!Utilisation(BM74,G18,P18)</f>
        <v>0.53366291522979736</v>
      </c>
      <c r="CF74" s="8" cm="1">
        <f t="array" ref="CF74">[1]!Utilisation(BN74,H18,Q18)</f>
        <v>0.52773725986480713</v>
      </c>
      <c r="CG74" s="8" cm="1">
        <f t="array" ref="CG74">[1]!Utilisation(BO74,I18,R18)</f>
        <v>0.48485219478607178</v>
      </c>
      <c r="CH74" s="8" cm="1">
        <f t="array" ref="CH74">[1]!Utilisation(BP74,J18,S18)</f>
        <v>0.5314410924911499</v>
      </c>
      <c r="CI74" s="8" cm="1">
        <f t="array" ref="CI74">[1]!Utilisation(BQ74,K18,T18)</f>
        <v>0.53477770090103149</v>
      </c>
      <c r="CK74" s="6">
        <v>0.22916666666666669</v>
      </c>
      <c r="CL74" s="69" cm="1">
        <f t="array" ref="CL74">[1]!FractionalCallCapacity(BK74,BT74,20,N18)</f>
        <v>27</v>
      </c>
      <c r="CM74" s="69" cm="1">
        <f t="array" ref="CM74">[1]!FractionalCallCapacity(BL74,BU74,20,O18)</f>
        <v>25</v>
      </c>
      <c r="CN74" s="69" cm="1">
        <f t="array" ref="CN74">[1]!FractionalCallCapacity(BM74,BV74,20,P18)</f>
        <v>28</v>
      </c>
      <c r="CO74" s="69" cm="1">
        <f t="array" ref="CO74">[1]!FractionalCallCapacity(BN74,BW74,20,Q18)</f>
        <v>24</v>
      </c>
      <c r="CP74" s="69" cm="1">
        <f t="array" ref="CP74">[1]!FractionalCallCapacity(BO74,BX74,20,R18)</f>
        <v>22</v>
      </c>
      <c r="CQ74" s="69" cm="1">
        <f t="array" ref="CQ74">[1]!FractionalCallCapacity(BP74,BY74,20,S18)</f>
        <v>27</v>
      </c>
      <c r="CR74" s="69" cm="1">
        <f t="array" ref="CR74">[1]!FractionalCallCapacity(BQ74,BZ74,20,T18)</f>
        <v>29</v>
      </c>
      <c r="CT74" s="6">
        <v>0.22916666666666669</v>
      </c>
      <c r="CU74" s="72">
        <f t="shared" si="55"/>
        <v>1.5</v>
      </c>
      <c r="CV74" s="72">
        <f t="shared" si="56"/>
        <v>0.25</v>
      </c>
      <c r="CW74" s="72">
        <f t="shared" si="57"/>
        <v>2</v>
      </c>
      <c r="CX74" s="72">
        <f t="shared" si="58"/>
        <v>-0.5</v>
      </c>
      <c r="CY74" s="72">
        <f t="shared" si="59"/>
        <v>2.4375</v>
      </c>
      <c r="CZ74" s="72">
        <f t="shared" si="60"/>
        <v>1.1875</v>
      </c>
      <c r="DA74" s="72">
        <f t="shared" si="61"/>
        <v>2.0625</v>
      </c>
      <c r="DC74" s="6">
        <v>0.22916666666666669</v>
      </c>
      <c r="DD74" s="72">
        <f>'linear calc'!BF16 -'linear calc'!AN16</f>
        <v>2.9078590785907465E-2</v>
      </c>
      <c r="DE74" s="72">
        <f>'linear calc'!BG16 -'linear calc'!AO16</f>
        <v>-2.7395556628833617</v>
      </c>
      <c r="DF74" s="72">
        <f>'linear calc'!BH16 -'linear calc'!AP16</f>
        <v>-2.5449084726696327</v>
      </c>
      <c r="DG74" s="72">
        <f>'linear calc'!BI16 -'linear calc'!AQ16</f>
        <v>3.5180391209852688</v>
      </c>
      <c r="DH74" s="72">
        <f>'linear calc'!BJ16 -'linear calc'!AR16</f>
        <v>3.2602582496413195</v>
      </c>
      <c r="DI74" s="72">
        <f>'linear calc'!BK16 -'linear calc'!AS16</f>
        <v>1.5374762151876817</v>
      </c>
      <c r="DJ74" s="72">
        <f>'linear calc'!BL16 -'linear calc'!AT16</f>
        <v>-0.45358860040213322</v>
      </c>
      <c r="DL74" s="6">
        <v>0.22916666666666669</v>
      </c>
      <c r="DM74" s="75" cm="1">
        <f t="array" ref="DM74">[1]!asa(CR19,E18,N18)</f>
        <v>0</v>
      </c>
      <c r="DN74" s="75" cm="1">
        <f t="array" ref="DN74">[1]!asa(CS19,F18,O18)</f>
        <v>0</v>
      </c>
      <c r="DO74" s="75" cm="1">
        <f t="array" ref="DO74">[1]!asa(CT19,G18,P18)</f>
        <v>0</v>
      </c>
      <c r="DP74" s="75" cm="1">
        <f t="array" ref="DP74">[1]!asa(CU19,H18,Q18)</f>
        <v>0</v>
      </c>
      <c r="DQ74" s="75" cm="1">
        <f t="array" ref="DQ74">[1]!asa(CV19,I18,R18)</f>
        <v>0</v>
      </c>
      <c r="DR74" s="75" cm="1">
        <f t="array" ref="DR74">[1]!asa(CW19,J18,S18)</f>
        <v>0</v>
      </c>
      <c r="DS74" s="75" cm="1">
        <f t="array" ref="DS74">[1]!asa(CX19,K18,T18)</f>
        <v>0</v>
      </c>
      <c r="DU74" s="6">
        <v>0.22916666666666669</v>
      </c>
      <c r="DV74" s="8" cm="1">
        <f t="array" ref="DV74">[1]!Abandon(CR19,300,E18,N18)</f>
        <v>7.4792455961869564E-7</v>
      </c>
      <c r="DW74" s="8" cm="1">
        <f t="array" ref="DW74">[1]!Abandon(CS19,300,F18,O18)</f>
        <v>5.9618400882754941E-8</v>
      </c>
      <c r="DX74" s="8" cm="1">
        <f t="array" ref="DX74">[1]!Abandon(CT19,300,G18,P18)</f>
        <v>1.0314500968888751E-6</v>
      </c>
      <c r="DY74" s="8" cm="1">
        <f t="array" ref="DY74">[1]!Abandon(CU19,300,H18,Q18)</f>
        <v>2.8656323980413845E-9</v>
      </c>
      <c r="DZ74" s="8" cm="1">
        <f t="array" ref="DZ74">[1]!Abandon(CV19,300,I18,R18)</f>
        <v>4.654042151663873E-10</v>
      </c>
      <c r="EA74" s="8" cm="1">
        <f t="array" ref="EA74">[1]!Abandon(CW19,300,J18,S18)</f>
        <v>1.1647732208075467E-5</v>
      </c>
      <c r="EB74" s="8" cm="1">
        <f t="array" ref="EB74">[1]!Abandon(CX19,300,K18,T18)</f>
        <v>6.2498262121124526E-10</v>
      </c>
      <c r="ED74" s="6">
        <v>0.22916666666666669</v>
      </c>
      <c r="EE74" s="8">
        <f>1-ABS((('linear calc'!AN16 -'linear calc'!AW16) /'linear calc'!AN16))</f>
        <v>0.56717709480317402</v>
      </c>
      <c r="EF74" s="8">
        <f>1-ABS((('linear calc'!AO16 -'linear calc'!AX16) /'linear calc'!AO16))</f>
        <v>0.8670314637482901</v>
      </c>
      <c r="EG74" s="8">
        <f>1-ABS((('linear calc'!AP16 -'linear calc'!AY16) /'linear calc'!AP16))</f>
        <v>0.8659292184308558</v>
      </c>
      <c r="EH74" s="8">
        <f>1-ABS((('linear calc'!AQ16 -'linear calc'!AZ16) /'linear calc'!AQ16))</f>
        <v>-8.2801546634811762E-2</v>
      </c>
      <c r="EI74" s="8">
        <f>1-ABS((('linear calc'!AR16 -'linear calc'!BA16) /'linear calc'!AR16))</f>
        <v>-1.5178894109143526E-2</v>
      </c>
      <c r="EJ74" s="8">
        <f>1-ABS((('linear calc'!AS16 -'linear calc'!BB16) /'linear calc'!AS16))</f>
        <v>0.25137218080648327</v>
      </c>
      <c r="EK74" s="8">
        <f>1-ABS((('linear calc'!AT16 -'linear calc'!BC16) /'linear calc'!AT16))</f>
        <v>0.62106884543262786</v>
      </c>
    </row>
    <row r="75" spans="3:141" x14ac:dyDescent="0.3">
      <c r="C75" s="6">
        <v>0.10416666666666666</v>
      </c>
      <c r="D75" s="7">
        <v>31</v>
      </c>
      <c r="E75" s="7">
        <v>35</v>
      </c>
      <c r="F75" s="7">
        <v>37</v>
      </c>
      <c r="G75" s="7">
        <v>35</v>
      </c>
      <c r="H75" s="7">
        <v>36</v>
      </c>
      <c r="I75" s="7">
        <v>30</v>
      </c>
      <c r="J75" s="7">
        <v>34</v>
      </c>
      <c r="AE75" s="6">
        <v>8.3333333333333329E-2</v>
      </c>
      <c r="AF75" s="7">
        <f t="shared" si="64"/>
        <v>5.6922887410692287</v>
      </c>
      <c r="AG75" s="7">
        <f t="shared" si="65"/>
        <v>5.2871338237191887</v>
      </c>
      <c r="AH75" s="7">
        <f t="shared" si="66"/>
        <v>6.0700366392470988</v>
      </c>
      <c r="AI75" s="7">
        <f t="shared" si="67"/>
        <v>6.0336418533552045</v>
      </c>
      <c r="AJ75" s="7">
        <f t="shared" si="68"/>
        <v>6.2532699425792666</v>
      </c>
      <c r="AK75" s="7">
        <f t="shared" si="69"/>
        <v>5.677617238128903</v>
      </c>
      <c r="AL75" s="7">
        <f t="shared" si="70"/>
        <v>6.2930700735578782</v>
      </c>
      <c r="AW75" s="6">
        <v>0.33333333333333326</v>
      </c>
      <c r="AX75" s="10">
        <v>9.7999999999999989</v>
      </c>
      <c r="AY75" s="10">
        <v>9.7999999999999989</v>
      </c>
      <c r="AZ75" s="10">
        <v>12.6</v>
      </c>
      <c r="BA75" s="10">
        <v>13.299999999999999</v>
      </c>
      <c r="BB75" s="10">
        <v>9.1</v>
      </c>
      <c r="BC75" s="10">
        <v>9.7999999999999989</v>
      </c>
      <c r="BD75" s="10">
        <v>11.899999999999999</v>
      </c>
      <c r="BJ75" s="6">
        <v>0.25</v>
      </c>
      <c r="BK75" s="68" cm="1">
        <f t="array" ref="BK75">[1]!FractionalAgents(82%,20,E19,N19)</f>
        <v>4.6204423904418945</v>
      </c>
      <c r="BL75" s="68" cm="1">
        <f t="array" ref="BL75">[1]!FractionalAgents(82%,20,F19,O19)</f>
        <v>4.145937442779541</v>
      </c>
      <c r="BM75" s="68" cm="1">
        <f t="array" ref="BM75">[1]!FractionalAgents(82%,20,G19,P19)</f>
        <v>4.1119284629821777</v>
      </c>
      <c r="BN75" s="68" cm="1">
        <f t="array" ref="BN75">[1]!FractionalAgents(82%,20,H19,Q19)</f>
        <v>4.145200252532959</v>
      </c>
      <c r="BO75" s="68" cm="1">
        <f t="array" ref="BO75">[1]!FractionalAgents(82%,20,I19,R19)</f>
        <v>3.6680665016174316</v>
      </c>
      <c r="BP75" s="68" cm="1">
        <f t="array" ref="BP75">[1]!FractionalAgents(82%,20,J19,S19)</f>
        <v>4.1023941040039063</v>
      </c>
      <c r="BQ75" s="68" cm="1">
        <f t="array" ref="BQ75">[1]!FractionalAgents(82%,20,K19,T19)</f>
        <v>4.458765983581543</v>
      </c>
      <c r="BS75" s="6">
        <v>0.25</v>
      </c>
      <c r="BT75" s="8" cm="1">
        <f t="array" ref="BT75">[1]!SLA(BK75,20,E19,N19)</f>
        <v>0.75616157054901123</v>
      </c>
      <c r="BU75" s="8" cm="1">
        <f t="array" ref="BU75">[1]!SLA(BL75,20,F19,O19)</f>
        <v>0.80915027856826782</v>
      </c>
      <c r="BV75" s="8" cm="1">
        <f t="array" ref="BV75">[1]!SLA(BM75,20,G19,P19)</f>
        <v>0.81180417537689209</v>
      </c>
      <c r="BW75" s="8" cm="1">
        <f t="array" ref="BW75">[1]!SLA(BN75,20,H19,Q19)</f>
        <v>0.80917656421661377</v>
      </c>
      <c r="BX75" s="8" cm="1">
        <f t="array" ref="BX75">[1]!SLA(BO75,20,I19,R19)</f>
        <v>0.73634850978851318</v>
      </c>
      <c r="BY75" s="8" cm="1">
        <f t="array" ref="BY75">[1]!SLA(BP75,20,J19,S19)</f>
        <v>0.81247496604919434</v>
      </c>
      <c r="BZ75" s="8" cm="1">
        <f t="array" ref="BZ75">[1]!SLA(BQ75,20,K19,T19)</f>
        <v>0.77799063920974731</v>
      </c>
      <c r="CB75" s="6">
        <v>0.25</v>
      </c>
      <c r="CC75" s="8" cm="1">
        <f t="array" ref="CC75">[1]!Utilisation(BK75,E19,N19)</f>
        <v>0.54035228490829468</v>
      </c>
      <c r="CD75" s="8" cm="1">
        <f t="array" ref="CD75">[1]!Utilisation(BL75,F19,O19)</f>
        <v>0.52782595157623291</v>
      </c>
      <c r="CE75" s="8" cm="1">
        <f t="array" ref="CE75">[1]!Utilisation(BM75,G19,P19)</f>
        <v>0.52692222595214844</v>
      </c>
      <c r="CF75" s="8" cm="1">
        <f t="array" ref="CF75">[1]!Utilisation(BN75,H19,Q19)</f>
        <v>0.52741724252700806</v>
      </c>
      <c r="CG75" s="8" cm="1">
        <f t="array" ref="CG75">[1]!Utilisation(BO75,I19,R19)</f>
        <v>0.48624905943870544</v>
      </c>
      <c r="CH75" s="8" cm="1">
        <f t="array" ref="CH75">[1]!Utilisation(BP75,J19,S19)</f>
        <v>0.52566701173782349</v>
      </c>
      <c r="CI75" s="8" cm="1">
        <f t="array" ref="CI75">[1]!Utilisation(BQ75,K19,T19)</f>
        <v>0.53366315364837646</v>
      </c>
      <c r="CK75" s="6">
        <v>0.25</v>
      </c>
      <c r="CL75" s="69" cm="1">
        <f t="array" ref="CL75">[1]!FractionalCallCapacity(BK75,BT75,20,N19)</f>
        <v>29</v>
      </c>
      <c r="CM75" s="69" cm="1">
        <f t="array" ref="CM75">[1]!FractionalCallCapacity(BL75,BU75,20,O19)</f>
        <v>25</v>
      </c>
      <c r="CN75" s="69" cm="1">
        <f t="array" ref="CN75">[1]!FractionalCallCapacity(BM75,BV75,20,P19)</f>
        <v>24</v>
      </c>
      <c r="CO75" s="69" cm="1">
        <f t="array" ref="CO75">[1]!FractionalCallCapacity(BN75,BW75,20,Q19)</f>
        <v>25</v>
      </c>
      <c r="CP75" s="69" cm="1">
        <f t="array" ref="CP75">[1]!FractionalCallCapacity(BO75,BX75,20,R19)</f>
        <v>23</v>
      </c>
      <c r="CQ75" s="69" cm="1">
        <f t="array" ref="CQ75">[1]!FractionalCallCapacity(BP75,BY75,20,S19)</f>
        <v>22</v>
      </c>
      <c r="CR75" s="69" cm="1">
        <f t="array" ref="CR75">[1]!FractionalCallCapacity(BQ75,BZ75,20,T19)</f>
        <v>28</v>
      </c>
      <c r="CT75" s="6">
        <v>0.25</v>
      </c>
      <c r="CU75" s="72">
        <f t="shared" si="55"/>
        <v>2.25</v>
      </c>
      <c r="CV75" s="72">
        <f t="shared" si="56"/>
        <v>-0.25</v>
      </c>
      <c r="CW75" s="72">
        <f t="shared" si="57"/>
        <v>0</v>
      </c>
      <c r="CX75" s="72">
        <f t="shared" si="58"/>
        <v>0.25</v>
      </c>
      <c r="CY75" s="72">
        <f t="shared" si="59"/>
        <v>3.1822916666666679</v>
      </c>
      <c r="CZ75" s="72">
        <f t="shared" si="60"/>
        <v>-0.4375</v>
      </c>
      <c r="DA75" s="72">
        <f t="shared" si="61"/>
        <v>1.0625</v>
      </c>
      <c r="DC75" s="6">
        <v>0.25</v>
      </c>
      <c r="DD75" s="72">
        <f>'linear calc'!BF17 -'linear calc'!AN17</f>
        <v>2.7461780647218221</v>
      </c>
      <c r="DE75" s="72">
        <f>'linear calc'!BG17 -'linear calc'!AO17</f>
        <v>-0.97463139038170254</v>
      </c>
      <c r="DF75" s="72">
        <f>'linear calc'!BH17 -'linear calc'!AP17</f>
        <v>2.244475123996521</v>
      </c>
      <c r="DG75" s="72">
        <f>'linear calc'!BI17 -'linear calc'!AQ17</f>
        <v>5.7481399359448124</v>
      </c>
      <c r="DH75" s="72">
        <f>'linear calc'!BJ17 -'linear calc'!AR17</f>
        <v>-0.54588127013345655</v>
      </c>
      <c r="DI75" s="72">
        <f>'linear calc'!BK17 -'linear calc'!AS17</f>
        <v>-0.73417174796747986</v>
      </c>
      <c r="DJ75" s="72">
        <f>'linear calc'!BL17 -'linear calc'!AT17</f>
        <v>-0.17005164391266625</v>
      </c>
      <c r="DL75" s="6">
        <v>0.25</v>
      </c>
      <c r="DM75" s="75" cm="1">
        <f t="array" ref="DM75">[1]!asa(CR20,E19,N19)</f>
        <v>0</v>
      </c>
      <c r="DN75" s="75" cm="1">
        <f t="array" ref="DN75">[1]!asa(CS20,F19,O19)</f>
        <v>0</v>
      </c>
      <c r="DO75" s="75" cm="1">
        <f t="array" ref="DO75">[1]!asa(CT20,G19,P19)</f>
        <v>0</v>
      </c>
      <c r="DP75" s="75" cm="1">
        <f t="array" ref="DP75">[1]!asa(CU20,H19,Q19)</f>
        <v>0</v>
      </c>
      <c r="DQ75" s="75" cm="1">
        <f t="array" ref="DQ75">[1]!asa(CV20,I19,R19)</f>
        <v>0</v>
      </c>
      <c r="DR75" s="75" cm="1">
        <f t="array" ref="DR75">[1]!asa(CW20,J19,S19)</f>
        <v>0</v>
      </c>
      <c r="DS75" s="75" cm="1">
        <f t="array" ref="DS75">[1]!asa(CX20,K19,T19)</f>
        <v>0</v>
      </c>
      <c r="DU75" s="6">
        <v>0.25</v>
      </c>
      <c r="DV75" s="8" cm="1">
        <f t="array" ref="DV75">[1]!Abandon(CR20,300,E19,N19)</f>
        <v>1.6901631170185283E-6</v>
      </c>
      <c r="DW75" s="8" cm="1">
        <f t="array" ref="DW75">[1]!Abandon(CS20,300,F19,O19)</f>
        <v>3.034299993487366E-7</v>
      </c>
      <c r="DX75" s="8" cm="1">
        <f t="array" ref="DX75">[1]!Abandon(CT20,300,G19,P19)</f>
        <v>2.030270535025025E-10</v>
      </c>
      <c r="DY75" s="8" cm="1">
        <f t="array" ref="DY75">[1]!Abandon(CU20,300,H19,Q19)</f>
        <v>1.5736119005071991E-11</v>
      </c>
      <c r="DZ75" s="8" cm="1">
        <f t="array" ref="DZ75">[1]!Abandon(CV20,300,I19,R19)</f>
        <v>1.2020755946196005E-7</v>
      </c>
      <c r="EA75" s="8" cm="1">
        <f t="array" ref="EA75">[1]!Abandon(CW20,300,J19,S19)</f>
        <v>5.4593408549408196E-7</v>
      </c>
      <c r="EB75" s="8" cm="1">
        <f t="array" ref="EB75">[1]!Abandon(CX20,300,K19,T19)</f>
        <v>5.0462349854285549E-9</v>
      </c>
      <c r="ED75" s="6">
        <v>0.25</v>
      </c>
      <c r="EE75" s="8">
        <f>1-ABS((('linear calc'!AN17 -'linear calc'!AW17) /'linear calc'!AN17))</f>
        <v>1.5260361197664496E-2</v>
      </c>
      <c r="EF75" s="8">
        <f>1-ABS((('linear calc'!AO17 -'linear calc'!AX17) /'linear calc'!AO17))</f>
        <v>0.70065160535352322</v>
      </c>
      <c r="EG75" s="8">
        <f>1-ABS((('linear calc'!AP17 -'linear calc'!AY17) /'linear calc'!AP17))</f>
        <v>0.26179742547760032</v>
      </c>
      <c r="EH75" s="8">
        <f>1-ABS((('linear calc'!AQ17 -'linear calc'!AZ17) /'linear calc'!AQ17))</f>
        <v>-0.51593644993964682</v>
      </c>
      <c r="EI75" s="8">
        <f>1-ABS((('linear calc'!AR17 -'linear calc'!BA17) /'linear calc'!AR17))</f>
        <v>0.65227451635218625</v>
      </c>
      <c r="EJ75" s="8">
        <f>1-ABS((('linear calc'!AS17 -'linear calc'!BB17) /'linear calc'!AS17))</f>
        <v>0.67099186011456124</v>
      </c>
      <c r="EK75" s="8">
        <f>1-ABS((('linear calc'!AT17 -'linear calc'!BC17) /'linear calc'!AT17))</f>
        <v>0.59155532208731887</v>
      </c>
    </row>
    <row r="76" spans="3:141" x14ac:dyDescent="0.3">
      <c r="C76" s="6">
        <v>0.12499999999999999</v>
      </c>
      <c r="D76" s="7">
        <v>33</v>
      </c>
      <c r="E76" s="7">
        <v>33</v>
      </c>
      <c r="F76" s="7">
        <v>33</v>
      </c>
      <c r="G76" s="7">
        <v>34</v>
      </c>
      <c r="H76" s="7">
        <v>37</v>
      </c>
      <c r="I76" s="7">
        <v>36</v>
      </c>
      <c r="J76" s="7">
        <v>35</v>
      </c>
      <c r="AE76" s="6">
        <v>0.10416666666666666</v>
      </c>
      <c r="AF76" s="7">
        <f t="shared" si="64"/>
        <v>4.8709785133565617</v>
      </c>
      <c r="AG76" s="7">
        <f t="shared" si="65"/>
        <v>5.4966929619791243</v>
      </c>
      <c r="AH76" s="7">
        <f t="shared" si="66"/>
        <v>5.8542060168076429</v>
      </c>
      <c r="AI76" s="7">
        <f t="shared" si="67"/>
        <v>5.4619526458422474</v>
      </c>
      <c r="AJ76" s="7">
        <f t="shared" si="68"/>
        <v>5.7317073170731705</v>
      </c>
      <c r="AK76" s="7">
        <f t="shared" si="69"/>
        <v>4.6735157477625204</v>
      </c>
      <c r="AL76" s="7">
        <f t="shared" si="70"/>
        <v>5.2787456445993026</v>
      </c>
      <c r="AW76" s="6">
        <v>0.35416666666666657</v>
      </c>
      <c r="AX76" s="10">
        <v>9.7999999999999989</v>
      </c>
      <c r="AY76" s="10">
        <v>9.7999999999999989</v>
      </c>
      <c r="AZ76" s="10">
        <v>12.6</v>
      </c>
      <c r="BA76" s="10">
        <v>13.299999999999999</v>
      </c>
      <c r="BB76" s="10">
        <v>9.1</v>
      </c>
      <c r="BC76" s="10">
        <v>9.7999999999999989</v>
      </c>
      <c r="BD76" s="10">
        <v>11.899999999999999</v>
      </c>
      <c r="BJ76" s="6">
        <v>0.27083333333333331</v>
      </c>
      <c r="BK76" s="68" cm="1">
        <f t="array" ref="BK76">[1]!FractionalAgents(82%,20,E20,N20)</f>
        <v>4.1983885765075684</v>
      </c>
      <c r="BL76" s="68" cm="1">
        <f t="array" ref="BL76">[1]!FractionalAgents(82%,20,F20,O20)</f>
        <v>4.5092282295227051</v>
      </c>
      <c r="BM76" s="68" cm="1">
        <f t="array" ref="BM76">[1]!FractionalAgents(82%,20,G20,P20)</f>
        <v>4.6349458694458008</v>
      </c>
      <c r="BN76" s="68" cm="1">
        <f t="array" ref="BN76">[1]!FractionalAgents(82%,20,H20,Q20)</f>
        <v>4.2222886085510254</v>
      </c>
      <c r="BO76" s="68" cm="1">
        <f t="array" ref="BO76">[1]!FractionalAgents(82%,20,I20,R20)</f>
        <v>3.2993149757385254</v>
      </c>
      <c r="BP76" s="68" cm="1">
        <f t="array" ref="BP76">[1]!FractionalAgents(82%,20,J20,S20)</f>
        <v>3.9054536819458008</v>
      </c>
      <c r="BQ76" s="68" cm="1">
        <f t="array" ref="BQ76">[1]!FractionalAgents(82%,20,K20,T20)</f>
        <v>4.4381265640258789</v>
      </c>
      <c r="BS76" s="6">
        <v>0.27083333333333331</v>
      </c>
      <c r="BT76" s="8" cm="1">
        <f t="array" ref="BT76">[1]!SLA(BK76,20,E20,N20)</f>
        <v>0.80468809604644775</v>
      </c>
      <c r="BU76" s="8" cm="1">
        <f t="array" ref="BU76">[1]!SLA(BL76,20,F20,O20)</f>
        <v>0.7713896632194519</v>
      </c>
      <c r="BV76" s="8" cm="1">
        <f t="array" ref="BV76">[1]!SLA(BM76,20,G20,P20)</f>
        <v>0.75433254241943359</v>
      </c>
      <c r="BW76" s="8" cm="1">
        <f t="array" ref="BW76">[1]!SLA(BN76,20,H20,Q20)</f>
        <v>0.80253398418426514</v>
      </c>
      <c r="BX76" s="8" cm="1">
        <f t="array" ref="BX76">[1]!SLA(BO76,20,I20,R20)</f>
        <v>0.7915002703666687</v>
      </c>
      <c r="BY76" s="8" cm="1">
        <f t="array" ref="BY76">[1]!SLA(BP76,20,J20,S20)</f>
        <v>0.68471592664718628</v>
      </c>
      <c r="BZ76" s="8" cm="1">
        <f t="array" ref="BZ76">[1]!SLA(BQ76,20,K20,T20)</f>
        <v>0.78041404485702515</v>
      </c>
      <c r="CB76" s="6">
        <v>0.27083333333333331</v>
      </c>
      <c r="CC76" s="8" cm="1">
        <f t="array" ref="CC76">[1]!Utilisation(BK76,E20,N20)</f>
        <v>0.52764952182769775</v>
      </c>
      <c r="CD76" s="8" cm="1">
        <f t="array" ref="CD76">[1]!Utilisation(BL76,F20,O20)</f>
        <v>0.53456735610961914</v>
      </c>
      <c r="CE76" s="8" cm="1">
        <f t="array" ref="CE76">[1]!Utilisation(BM76,G20,P20)</f>
        <v>0.54201763868331909</v>
      </c>
      <c r="CF76" s="8" cm="1">
        <f t="array" ref="CF76">[1]!Utilisation(BN76,H20,Q20)</f>
        <v>0.52755755186080933</v>
      </c>
      <c r="CG76" s="8" cm="1">
        <f t="array" ref="CG76">[1]!Utilisation(BO76,I20,R20)</f>
        <v>0.46524894237518311</v>
      </c>
      <c r="CH76" s="8" cm="1">
        <f t="array" ref="CH76">[1]!Utilisation(BP76,J20,S20)</f>
        <v>0.51429152488708496</v>
      </c>
      <c r="CI76" s="8" cm="1">
        <f t="array" ref="CI76">[1]!Utilisation(BQ76,K20,T20)</f>
        <v>0.53283947706222534</v>
      </c>
      <c r="CK76" s="6">
        <v>0.27083333333333331</v>
      </c>
      <c r="CL76" s="69" cm="1">
        <f t="array" ref="CL76">[1]!FractionalCallCapacity(BK76,BT76,20,N20)</f>
        <v>25</v>
      </c>
      <c r="CM76" s="69" cm="1">
        <f t="array" ref="CM76">[1]!FractionalCallCapacity(BL76,BU76,20,O20)</f>
        <v>27</v>
      </c>
      <c r="CN76" s="69" cm="1">
        <f t="array" ref="CN76">[1]!FractionalCallCapacity(BM76,BV76,20,P20)</f>
        <v>31</v>
      </c>
      <c r="CO76" s="69" cm="1">
        <f t="array" ref="CO76">[1]!FractionalCallCapacity(BN76,BW76,20,Q20)</f>
        <v>25</v>
      </c>
      <c r="CP76" s="69" cm="1">
        <f t="array" ref="CP76">[1]!FractionalCallCapacity(BO76,BX76,20,R20)</f>
        <v>18</v>
      </c>
      <c r="CQ76" s="69" cm="1">
        <f t="array" ref="CQ76">[1]!FractionalCallCapacity(BP76,BY76,20,S20)</f>
        <v>28</v>
      </c>
      <c r="CR76" s="69" cm="1">
        <f t="array" ref="CR76">[1]!FractionalCallCapacity(BQ76,BZ76,20,T20)</f>
        <v>28</v>
      </c>
      <c r="CT76" s="6">
        <v>0.27083333333333331</v>
      </c>
      <c r="CU76" s="72">
        <f t="shared" si="55"/>
        <v>0</v>
      </c>
      <c r="CV76" s="72">
        <f t="shared" si="56"/>
        <v>1.25</v>
      </c>
      <c r="CW76" s="72">
        <f t="shared" si="57"/>
        <v>3</v>
      </c>
      <c r="CX76" s="72">
        <f t="shared" si="58"/>
        <v>0.25</v>
      </c>
      <c r="CY76" s="72">
        <f t="shared" si="59"/>
        <v>0.67708333333333215</v>
      </c>
      <c r="CZ76" s="72">
        <f t="shared" si="60"/>
        <v>4.75</v>
      </c>
      <c r="DA76" s="72">
        <f t="shared" si="61"/>
        <v>1.3125</v>
      </c>
      <c r="DC76" s="6">
        <v>0.27083333333333331</v>
      </c>
      <c r="DD76" s="72">
        <f>'linear calc'!BF18 -'linear calc'!AN18</f>
        <v>-3.1503637141634595</v>
      </c>
      <c r="DE76" s="72">
        <f>'linear calc'!BG18 -'linear calc'!AO18</f>
        <v>2.2665878546540554</v>
      </c>
      <c r="DF76" s="72">
        <f>'linear calc'!BH18 -'linear calc'!AP18</f>
        <v>4.7157894736842101</v>
      </c>
      <c r="DG76" s="72">
        <f>'linear calc'!BI18 -'linear calc'!AQ18</f>
        <v>2.9771093912862199</v>
      </c>
      <c r="DH76" s="72">
        <f>'linear calc'!BJ18 -'linear calc'!AR18</f>
        <v>0.67051649928263934</v>
      </c>
      <c r="DI76" s="72">
        <f>'linear calc'!BK18 -'linear calc'!AS18</f>
        <v>-1.1722975007527872</v>
      </c>
      <c r="DJ76" s="72">
        <f>'linear calc'!BL18 -'linear calc'!AT18</f>
        <v>1.5210801393728204</v>
      </c>
      <c r="DL76" s="6">
        <v>0.27083333333333331</v>
      </c>
      <c r="DM76" s="75" cm="1">
        <f t="array" ref="DM76">[1]!asa(CR21,E20,N20)</f>
        <v>0</v>
      </c>
      <c r="DN76" s="75" cm="1">
        <f t="array" ref="DN76">[1]!asa(CS21,F20,O20)</f>
        <v>0</v>
      </c>
      <c r="DO76" s="75" cm="1">
        <f t="array" ref="DO76">[1]!asa(CT21,G20,P20)</f>
        <v>0</v>
      </c>
      <c r="DP76" s="75" cm="1">
        <f t="array" ref="DP76">[1]!asa(CU21,H20,Q20)</f>
        <v>0</v>
      </c>
      <c r="DQ76" s="75" cm="1">
        <f t="array" ref="DQ76">[1]!asa(CV21,I20,R20)</f>
        <v>0</v>
      </c>
      <c r="DR76" s="75" cm="1">
        <f t="array" ref="DR76">[1]!asa(CW21,J20,S20)</f>
        <v>0</v>
      </c>
      <c r="DS76" s="75" cm="1">
        <f t="array" ref="DS76">[1]!asa(CX21,K20,T20)</f>
        <v>0</v>
      </c>
      <c r="DU76" s="6">
        <v>0.27083333333333331</v>
      </c>
      <c r="DV76" s="8" cm="1">
        <f t="array" ref="DV76">[1]!Abandon(CR21,300,E20,N20)</f>
        <v>3.985498722158809E-7</v>
      </c>
      <c r="DW76" s="8" cm="1">
        <f t="array" ref="DW76">[1]!Abandon(CS21,300,F20,O20)</f>
        <v>1.2532724440461607E-6</v>
      </c>
      <c r="DX76" s="8" cm="1">
        <f t="array" ref="DX76">[1]!Abandon(CT21,300,G20,P20)</f>
        <v>1.1396950050368559E-9</v>
      </c>
      <c r="DY76" s="8" cm="1">
        <f t="array" ref="DY76">[1]!Abandon(CU21,300,H20,Q20)</f>
        <v>2.4380447313787634E-11</v>
      </c>
      <c r="DZ76" s="8" cm="1">
        <f t="array" ref="DZ76">[1]!Abandon(CV21,300,I20,R20)</f>
        <v>2.748250516049211E-8</v>
      </c>
      <c r="EA76" s="8" cm="1">
        <f t="array" ref="EA76">[1]!Abandon(CW21,300,J20,S20)</f>
        <v>1.347004001672758E-7</v>
      </c>
      <c r="EB76" s="8" cm="1">
        <f t="array" ref="EB76">[1]!Abandon(CX21,300,K20,T20)</f>
        <v>4.8457593493367312E-9</v>
      </c>
      <c r="ED76" s="6">
        <v>0.27083333333333331</v>
      </c>
      <c r="EE76" s="8">
        <f>1-ABS((('linear calc'!AN18 -'linear calc'!AW18) /'linear calc'!AN18))</f>
        <v>0.91894928134809195</v>
      </c>
      <c r="EF76" s="8">
        <f>1-ABS((('linear calc'!AO18 -'linear calc'!AX18) /'linear calc'!AO18))</f>
        <v>0.1416123623809642</v>
      </c>
      <c r="EG76" s="8">
        <f>1-ABS((('linear calc'!AP18 -'linear calc'!AY18) /'linear calc'!AP18))</f>
        <v>-0.28304405874499317</v>
      </c>
      <c r="EH76" s="8">
        <f>1-ABS((('linear calc'!AQ18 -'linear calc'!AZ18) /'linear calc'!AQ18))</f>
        <v>0.15943026811098027</v>
      </c>
      <c r="EI76" s="8">
        <f>1-ABS((('linear calc'!AR18 -'linear calc'!BA18) /'linear calc'!AR18))</f>
        <v>0.45779400376147805</v>
      </c>
      <c r="EJ76" s="8">
        <f>1-ABS((('linear calc'!AS18 -'linear calc'!BB18) /'linear calc'!AS18))</f>
        <v>0.72405938692060712</v>
      </c>
      <c r="EK76" s="8">
        <f>1-ABS((('linear calc'!AT18 -'linear calc'!BC18) /'linear calc'!AT18))</f>
        <v>0.36206462442299625</v>
      </c>
    </row>
    <row r="77" spans="3:141" x14ac:dyDescent="0.3">
      <c r="C77" s="6">
        <v>0.14583333333333331</v>
      </c>
      <c r="D77" s="7">
        <v>51</v>
      </c>
      <c r="E77" s="7">
        <v>30</v>
      </c>
      <c r="F77" s="7">
        <v>47</v>
      </c>
      <c r="G77" s="7">
        <v>52</v>
      </c>
      <c r="H77" s="7">
        <v>39</v>
      </c>
      <c r="I77" s="7">
        <v>44</v>
      </c>
      <c r="J77" s="7">
        <v>49</v>
      </c>
      <c r="AE77" s="6">
        <v>0.12499999999999999</v>
      </c>
      <c r="AF77" s="7">
        <f t="shared" si="64"/>
        <v>5.3273740390465125</v>
      </c>
      <c r="AG77" s="7">
        <f t="shared" si="65"/>
        <v>5.1631600107209863</v>
      </c>
      <c r="AH77" s="7">
        <f t="shared" si="66"/>
        <v>5.0233346641502123</v>
      </c>
      <c r="AI77" s="7">
        <f t="shared" si="67"/>
        <v>5.5519106102915128</v>
      </c>
      <c r="AJ77" s="7">
        <f t="shared" si="68"/>
        <v>5.7547748096528579</v>
      </c>
      <c r="AK77" s="7">
        <f t="shared" si="69"/>
        <v>5.6108227263030637</v>
      </c>
      <c r="AL77" s="7">
        <f t="shared" si="70"/>
        <v>5.4699565812862421</v>
      </c>
      <c r="AW77" s="6">
        <v>0.37499999999999989</v>
      </c>
      <c r="AX77" s="10">
        <v>9.7999999999999989</v>
      </c>
      <c r="AY77" s="10">
        <v>9.7999999999999989</v>
      </c>
      <c r="AZ77" s="10">
        <v>12.6</v>
      </c>
      <c r="BA77" s="10">
        <v>13.299999999999999</v>
      </c>
      <c r="BB77" s="10">
        <v>9.1</v>
      </c>
      <c r="BC77" s="10">
        <v>9.7999999999999989</v>
      </c>
      <c r="BD77" s="10">
        <v>11.899999999999999</v>
      </c>
      <c r="BJ77" s="6">
        <v>0.29166666666666663</v>
      </c>
      <c r="BK77" s="68" cm="1">
        <f t="array" ref="BK77">[1]!FractionalAgents(82%,20,E21,N21)</f>
        <v>4.1854939460754395</v>
      </c>
      <c r="BL77" s="68" cm="1">
        <f t="array" ref="BL77">[1]!FractionalAgents(82%,20,F21,O21)</f>
        <v>3.935096263885498</v>
      </c>
      <c r="BM77" s="68" cm="1">
        <f t="array" ref="BM77">[1]!FractionalAgents(82%,20,G21,P21)</f>
        <v>4.171442985534668</v>
      </c>
      <c r="BN77" s="68" cm="1">
        <f t="array" ref="BN77">[1]!FractionalAgents(82%,20,H21,Q21)</f>
        <v>4.5519623756408691</v>
      </c>
      <c r="BO77" s="68" cm="1">
        <f t="array" ref="BO77">[1]!FractionalAgents(82%,20,I21,R21)</f>
        <v>3.2115023136138916</v>
      </c>
      <c r="BP77" s="68" cm="1">
        <f t="array" ref="BP77">[1]!FractionalAgents(82%,20,J21,S21)</f>
        <v>4.0672245025634766</v>
      </c>
      <c r="BQ77" s="68" cm="1">
        <f t="array" ref="BQ77">[1]!FractionalAgents(82%,20,K21,T21)</f>
        <v>4.128148078918457</v>
      </c>
      <c r="BS77" s="6">
        <v>0.29166666666666663</v>
      </c>
      <c r="BT77" s="8" cm="1">
        <f t="array" ref="BT77">[1]!SLA(BK77,20,E21,N21)</f>
        <v>0.80580919981002808</v>
      </c>
      <c r="BU77" s="8" cm="1">
        <f t="array" ref="BU77">[1]!SLA(BL77,20,F21,O21)</f>
        <v>0.67619359493255615</v>
      </c>
      <c r="BV77" s="8" cm="1">
        <f t="array" ref="BV77">[1]!SLA(BM77,20,G21,P21)</f>
        <v>0.80698961019515991</v>
      </c>
      <c r="BW77" s="8" cm="1">
        <f t="array" ref="BW77">[1]!SLA(BN77,20,H21,Q21)</f>
        <v>0.7659338116645813</v>
      </c>
      <c r="BX77" s="8" cm="1">
        <f t="array" ref="BX77">[1]!SLA(BO77,20,I21,R21)</f>
        <v>0.80105006694793701</v>
      </c>
      <c r="BY77" s="8" cm="1">
        <f t="array" ref="BY77">[1]!SLA(BP77,20,J21,S21)</f>
        <v>0.81519037485122681</v>
      </c>
      <c r="BZ77" s="8" cm="1">
        <f t="array" ref="BZ77">[1]!SLA(BQ77,20,K21,T21)</f>
        <v>0.81052786111831665</v>
      </c>
      <c r="CB77" s="6">
        <v>0.29166666666666663</v>
      </c>
      <c r="CC77" s="8" cm="1">
        <f t="array" ref="CC77">[1]!Utilisation(BK77,E21,N21)</f>
        <v>0.52761590480804443</v>
      </c>
      <c r="CD77" s="8" cm="1">
        <f t="array" ref="CD77">[1]!Utilisation(BL77,F21,O21)</f>
        <v>0.51714104413986206</v>
      </c>
      <c r="CE77" s="8" cm="1">
        <f t="array" ref="CE77">[1]!Utilisation(BM77,G21,P21)</f>
        <v>0.52739542722702026</v>
      </c>
      <c r="CF77" s="8" cm="1">
        <f t="array" ref="CF77">[1]!Utilisation(BN77,H21,Q21)</f>
        <v>0.53705471754074097</v>
      </c>
      <c r="CG77" s="8" cm="1">
        <f t="array" ref="CG77">[1]!Utilisation(BO77,I21,R21)</f>
        <v>0.46315592527389526</v>
      </c>
      <c r="CH77" s="8" cm="1">
        <f t="array" ref="CH77">[1]!Utilisation(BP77,J21,S21)</f>
        <v>0.52636224031448364</v>
      </c>
      <c r="CI77" s="8" cm="1">
        <f t="array" ref="CI77">[1]!Utilisation(BQ77,K21,T21)</f>
        <v>0.52705568075180054</v>
      </c>
      <c r="CK77" s="6">
        <v>0.29166666666666663</v>
      </c>
      <c r="CL77" s="69" cm="1">
        <f t="array" ref="CL77">[1]!FractionalCallCapacity(BK77,BT77,20,N21)</f>
        <v>25</v>
      </c>
      <c r="CM77" s="69" cm="1">
        <f t="array" ref="CM77">[1]!FractionalCallCapacity(BL77,BU77,20,O21)</f>
        <v>27</v>
      </c>
      <c r="CN77" s="69" cm="1">
        <f t="array" ref="CN77">[1]!FractionalCallCapacity(BM77,BV77,20,P21)</f>
        <v>25</v>
      </c>
      <c r="CO77" s="69" cm="1">
        <f t="array" ref="CO77">[1]!FractionalCallCapacity(BN77,BW77,20,Q21)</f>
        <v>29</v>
      </c>
      <c r="CP77" s="69" cm="1">
        <f t="array" ref="CP77">[1]!FractionalCallCapacity(BO77,BX77,20,R21)</f>
        <v>17</v>
      </c>
      <c r="CQ77" s="69" cm="1">
        <f t="array" ref="CQ77">[1]!FractionalCallCapacity(BP77,BY77,20,S21)</f>
        <v>23</v>
      </c>
      <c r="CR77" s="69" cm="1">
        <f t="array" ref="CR77">[1]!FractionalCallCapacity(BQ77,BZ77,20,T21)</f>
        <v>24</v>
      </c>
      <c r="CT77" s="6">
        <v>0.29166666666666663</v>
      </c>
      <c r="CU77" s="72">
        <f t="shared" si="55"/>
        <v>0</v>
      </c>
      <c r="CV77" s="72">
        <f t="shared" si="56"/>
        <v>5</v>
      </c>
      <c r="CW77" s="72">
        <f t="shared" si="57"/>
        <v>0.25</v>
      </c>
      <c r="CX77" s="72">
        <f t="shared" si="58"/>
        <v>2.25</v>
      </c>
      <c r="CY77" s="72">
        <f t="shared" si="59"/>
        <v>0.421875</v>
      </c>
      <c r="CZ77" s="72">
        <f t="shared" si="60"/>
        <v>6.25E-2</v>
      </c>
      <c r="DA77" s="72">
        <f t="shared" si="61"/>
        <v>-0.25</v>
      </c>
      <c r="DC77" s="6">
        <v>0.29166666666666663</v>
      </c>
      <c r="DD77" s="72">
        <f>'linear calc'!BF19 -'linear calc'!AN19</f>
        <v>-3.1447504152460901</v>
      </c>
      <c r="DE77" s="72">
        <f>'linear calc'!BG19 -'linear calc'!AO19</f>
        <v>-1.2504516711833791</v>
      </c>
      <c r="DF77" s="72">
        <f>'linear calc'!BH19 -'linear calc'!AP19</f>
        <v>1.7476964769647694</v>
      </c>
      <c r="DG77" s="72">
        <f>'linear calc'!BI19 -'linear calc'!AQ19</f>
        <v>2.3694372369255596</v>
      </c>
      <c r="DH77" s="72">
        <f>'linear calc'!BJ19 -'linear calc'!AR19</f>
        <v>-3.1392400268088707</v>
      </c>
      <c r="DI77" s="72">
        <f>'linear calc'!BK19 -'linear calc'!AS19</f>
        <v>2.5218526730721846</v>
      </c>
      <c r="DJ77" s="72">
        <f>'linear calc'!BL19 -'linear calc'!AT19</f>
        <v>9.4061505832447878E-2</v>
      </c>
      <c r="DL77" s="6">
        <v>0.29166666666666663</v>
      </c>
      <c r="DM77" s="75" cm="1">
        <f t="array" ref="DM77">[1]!asa(CR22,E21,N21)</f>
        <v>0</v>
      </c>
      <c r="DN77" s="75" cm="1">
        <f t="array" ref="DN77">[1]!asa(CS22,F21,O21)</f>
        <v>0</v>
      </c>
      <c r="DO77" s="75" cm="1">
        <f t="array" ref="DO77">[1]!asa(CT22,G21,P21)</f>
        <v>0</v>
      </c>
      <c r="DP77" s="75" cm="1">
        <f t="array" ref="DP77">[1]!asa(CU22,H21,Q21)</f>
        <v>0</v>
      </c>
      <c r="DQ77" s="75" cm="1">
        <f t="array" ref="DQ77">[1]!asa(CV22,I21,R21)</f>
        <v>0</v>
      </c>
      <c r="DR77" s="75" cm="1">
        <f t="array" ref="DR77">[1]!asa(CW22,J21,S21)</f>
        <v>0</v>
      </c>
      <c r="DS77" s="75" cm="1">
        <f t="array" ref="DS77">[1]!asa(CX22,K21,T21)</f>
        <v>0</v>
      </c>
      <c r="DU77" s="6">
        <v>0.29166666666666663</v>
      </c>
      <c r="DV77" s="8" cm="1">
        <f t="array" ref="DV77">[1]!Abandon(CR22,300,E21,N21)</f>
        <v>3.7865396507186233E-7</v>
      </c>
      <c r="DW77" s="8" cm="1">
        <f t="array" ref="DW77">[1]!Abandon(CS22,300,F21,O21)</f>
        <v>2.4917548557823466E-7</v>
      </c>
      <c r="DX77" s="8" cm="1">
        <f t="array" ref="DX77">[1]!Abandon(CT22,300,G21,P21)</f>
        <v>2.1001646255403017E-10</v>
      </c>
      <c r="DY77" s="8" cm="1">
        <f t="array" ref="DY77">[1]!Abandon(CU22,300,H21,Q21)</f>
        <v>9.5541234645946105E-11</v>
      </c>
      <c r="DZ77" s="8" cm="1">
        <f t="array" ref="DZ77">[1]!Abandon(CV22,300,I21,R21)</f>
        <v>2.2542627320376596E-8</v>
      </c>
      <c r="EA77" s="8" cm="1">
        <f t="array" ref="EA77">[1]!Abandon(CW22,300,J21,S21)</f>
        <v>4.1959688701354025E-7</v>
      </c>
      <c r="EB77" s="8" cm="1">
        <f t="array" ref="EB77">[1]!Abandon(CX22,300,K21,T21)</f>
        <v>2.1522008619712096E-9</v>
      </c>
      <c r="ED77" s="6">
        <v>0.29166666666666663</v>
      </c>
      <c r="EE77" s="8">
        <f>1-ABS((('linear calc'!AN19 -'linear calc'!AW19) /'linear calc'!AN19))</f>
        <v>0.91848049974675006</v>
      </c>
      <c r="EF77" s="8">
        <f>1-ABS((('linear calc'!AO19 -'linear calc'!AX19) /'linear calc'!AO19))</f>
        <v>0.73308345970072386</v>
      </c>
      <c r="EG77" s="8">
        <f>1-ABS((('linear calc'!AP19 -'linear calc'!AY19) /'linear calc'!AP19))</f>
        <v>0.34136596329129731</v>
      </c>
      <c r="EH77" s="8">
        <f>1-ABS((('linear calc'!AQ19 -'linear calc'!AZ19) /'linear calc'!AQ19))</f>
        <v>0.26175464046684915</v>
      </c>
      <c r="EI77" s="8">
        <f>1-ABS((('linear calc'!AR19 -'linear calc'!BA19) /'linear calc'!AR19))</f>
        <v>0.93784254810553935</v>
      </c>
      <c r="EJ77" s="8">
        <f>1-ABS((('linear calc'!AS19 -'linear calc'!BB19) /'linear calc'!AS19))</f>
        <v>7.6433552230722235E-2</v>
      </c>
      <c r="EK77" s="8">
        <f>1-ABS((('linear calc'!AT19 -'linear calc'!BC19) /'linear calc'!AT19))</f>
        <v>0.56004670798526912</v>
      </c>
    </row>
    <row r="78" spans="3:141" x14ac:dyDescent="0.3">
      <c r="C78" s="6">
        <v>0.16666666666666666</v>
      </c>
      <c r="D78" s="7">
        <v>58</v>
      </c>
      <c r="E78" s="7">
        <v>42</v>
      </c>
      <c r="F78" s="7">
        <v>55</v>
      </c>
      <c r="G78" s="7">
        <v>46</v>
      </c>
      <c r="H78" s="7">
        <v>42</v>
      </c>
      <c r="I78" s="7">
        <v>43</v>
      </c>
      <c r="J78" s="7">
        <v>50</v>
      </c>
      <c r="AE78" s="6">
        <v>0.14583333333333331</v>
      </c>
      <c r="AF78" s="7">
        <f t="shared" si="64"/>
        <v>7.8182402489766929</v>
      </c>
      <c r="AG78" s="7">
        <f t="shared" si="65"/>
        <v>4.77498533825508</v>
      </c>
      <c r="AH78" s="7">
        <f t="shared" si="66"/>
        <v>7.2375273451529685</v>
      </c>
      <c r="AI78" s="7">
        <f t="shared" si="67"/>
        <v>8.075699849121321</v>
      </c>
      <c r="AJ78" s="7">
        <f t="shared" si="68"/>
        <v>5.9552126815469002</v>
      </c>
      <c r="AK78" s="7">
        <f t="shared" si="69"/>
        <v>6.5272214804925088</v>
      </c>
      <c r="AL78" s="7">
        <f t="shared" si="70"/>
        <v>7.8453590785907865</v>
      </c>
      <c r="AW78" s="6">
        <v>0.3958333333333332</v>
      </c>
      <c r="AX78" s="10">
        <v>9.7999999999999989</v>
      </c>
      <c r="AY78" s="10">
        <v>9.7999999999999989</v>
      </c>
      <c r="AZ78" s="10">
        <v>12.6</v>
      </c>
      <c r="BA78" s="10">
        <v>13.299999999999999</v>
      </c>
      <c r="BB78" s="10">
        <v>9.1</v>
      </c>
      <c r="BC78" s="10">
        <v>9.7999999999999989</v>
      </c>
      <c r="BD78" s="10">
        <v>11.899999999999999</v>
      </c>
      <c r="BJ78" s="6">
        <v>0.31249999999999994</v>
      </c>
      <c r="BK78" s="68" cm="1">
        <f t="array" ref="BK78">[1]!FractionalAgents(82%,20,E22,N22)</f>
        <v>4.2352027893066406</v>
      </c>
      <c r="BL78" s="68" cm="1">
        <f t="array" ref="BL78">[1]!FractionalAgents(82%,20,F22,O22)</f>
        <v>4.5818367004394531</v>
      </c>
      <c r="BM78" s="68" cm="1">
        <f t="array" ref="BM78">[1]!FractionalAgents(82%,20,G22,P22)</f>
        <v>4.329343318939209</v>
      </c>
      <c r="BN78" s="68" cm="1">
        <f t="array" ref="BN78">[1]!FractionalAgents(82%,20,H22,Q22)</f>
        <v>4.0015907287597656</v>
      </c>
      <c r="BO78" s="68" cm="1">
        <f t="array" ref="BO78">[1]!FractionalAgents(82%,20,I22,R22)</f>
        <v>3.6474776268005371</v>
      </c>
      <c r="BP78" s="68" cm="1">
        <f t="array" ref="BP78">[1]!FractionalAgents(82%,20,J22,S22)</f>
        <v>4.3109045028686523</v>
      </c>
      <c r="BQ78" s="68" cm="1">
        <f t="array" ref="BQ78">[1]!FractionalAgents(82%,20,K22,T22)</f>
        <v>4.2653675079345703</v>
      </c>
      <c r="BS78" s="6">
        <v>0.31249999999999994</v>
      </c>
      <c r="BT78" s="8" cm="1">
        <f t="array" ref="BT78">[1]!SLA(BK78,20,E22,N22)</f>
        <v>0.80149167776107788</v>
      </c>
      <c r="BU78" s="8" cm="1">
        <f t="array" ref="BU78">[1]!SLA(BL78,20,F22,O22)</f>
        <v>0.76177328824996948</v>
      </c>
      <c r="BV78" s="8" cm="1">
        <f t="array" ref="BV78">[1]!SLA(BM78,20,G22,P22)</f>
        <v>0.79214227199554443</v>
      </c>
      <c r="BW78" s="8" cm="1">
        <f t="array" ref="BW78">[1]!SLA(BN78,20,H22,Q22)</f>
        <v>0.81989181041717529</v>
      </c>
      <c r="BX78" s="8" cm="1">
        <f t="array" ref="BX78">[1]!SLA(BO78,20,I22,R22)</f>
        <v>0.74037629365921021</v>
      </c>
      <c r="BY78" s="8" cm="1">
        <f t="array" ref="BY78">[1]!SLA(BP78,20,J22,S22)</f>
        <v>0.79414325952529907</v>
      </c>
      <c r="BZ78" s="8" cm="1">
        <f t="array" ref="BZ78">[1]!SLA(BQ78,20,K22,T22)</f>
        <v>0.79860794544219971</v>
      </c>
      <c r="CB78" s="6">
        <v>0.31249999999999994</v>
      </c>
      <c r="CC78" s="8" cm="1">
        <f t="array" ref="CC78">[1]!Utilisation(BK78,E22,N22)</f>
        <v>0.52863788604736328</v>
      </c>
      <c r="CD78" s="8" cm="1">
        <f t="array" ref="CD78">[1]!Utilisation(BL78,F22,O22)</f>
        <v>0.5384182333946228</v>
      </c>
      <c r="CE78" s="8" cm="1">
        <f t="array" ref="CE78">[1]!Utilisation(BM78,G22,P22)</f>
        <v>0.5288042426109314</v>
      </c>
      <c r="CF78" s="8" cm="1">
        <f t="array" ref="CF78">[1]!Utilisation(BN78,H22,Q22)</f>
        <v>0.52812325954437256</v>
      </c>
      <c r="CG78" s="8" cm="1">
        <f t="array" ref="CG78">[1]!Utilisation(BO78,I22,R22)</f>
        <v>0.48484164476394653</v>
      </c>
      <c r="CH78" s="8" cm="1">
        <f t="array" ref="CH78">[1]!Utilisation(BP78,J22,S22)</f>
        <v>0.52908462285995483</v>
      </c>
      <c r="CI78" s="8" cm="1">
        <f t="array" ref="CI78">[1]!Utilisation(BQ78,K22,T22)</f>
        <v>0.52845269441604614</v>
      </c>
      <c r="CK78" s="6">
        <v>0.31249999999999994</v>
      </c>
      <c r="CL78" s="69" cm="1">
        <f t="array" ref="CL78">[1]!FractionalCallCapacity(BK78,BT78,20,N22)</f>
        <v>26</v>
      </c>
      <c r="CM78" s="69" cm="1">
        <f t="array" ref="CM78">[1]!FractionalCallCapacity(BL78,BU78,20,O22)</f>
        <v>29</v>
      </c>
      <c r="CN78" s="69" cm="1">
        <f t="array" ref="CN78">[1]!FractionalCallCapacity(BM78,BV78,20,P22)</f>
        <v>25</v>
      </c>
      <c r="CO78" s="69" cm="1">
        <f t="array" ref="CO78">[1]!FractionalCallCapacity(BN78,BW78,20,Q22)</f>
        <v>24</v>
      </c>
      <c r="CP78" s="69" cm="1">
        <f t="array" ref="CP78">[1]!FractionalCallCapacity(BO78,BX78,20,R22)</f>
        <v>23</v>
      </c>
      <c r="CQ78" s="69" cm="1">
        <f t="array" ref="CQ78">[1]!FractionalCallCapacity(BP78,BY78,20,S22)</f>
        <v>26</v>
      </c>
      <c r="CR78" s="69" cm="1">
        <f t="array" ref="CR78">[1]!FractionalCallCapacity(BQ78,BZ78,20,T22)</f>
        <v>26</v>
      </c>
      <c r="CT78" s="6">
        <v>0.31249999999999994</v>
      </c>
      <c r="CU78" s="72">
        <f t="shared" si="55"/>
        <v>0</v>
      </c>
      <c r="CV78" s="72">
        <f t="shared" si="56"/>
        <v>2.25</v>
      </c>
      <c r="CW78" s="72">
        <f t="shared" si="57"/>
        <v>0.25</v>
      </c>
      <c r="CX78" s="72">
        <f t="shared" si="58"/>
        <v>0</v>
      </c>
      <c r="CY78" s="72">
        <f t="shared" si="59"/>
        <v>2.9166666666666679</v>
      </c>
      <c r="CZ78" s="72">
        <f t="shared" si="60"/>
        <v>0.5</v>
      </c>
      <c r="DA78" s="72">
        <f t="shared" si="61"/>
        <v>0.5625</v>
      </c>
      <c r="DC78" s="6">
        <v>0.31249999999999994</v>
      </c>
      <c r="DD78" s="72">
        <f>'linear calc'!BF20 -'linear calc'!AN20</f>
        <v>3.2879481967896584</v>
      </c>
      <c r="DE78" s="72">
        <f>'linear calc'!BG20 -'linear calc'!AO20</f>
        <v>-1.0027468624200822</v>
      </c>
      <c r="DF78" s="72">
        <f>'linear calc'!BH20 -'linear calc'!AP20</f>
        <v>4.7109367034264409</v>
      </c>
      <c r="DG78" s="72">
        <f>'linear calc'!BI20 -'linear calc'!AQ20</f>
        <v>1.0735772357723565</v>
      </c>
      <c r="DH78" s="72">
        <f>'linear calc'!BJ20 -'linear calc'!AR20</f>
        <v>-1.6256097560975622</v>
      </c>
      <c r="DI78" s="72">
        <f>'linear calc'!BK20 -'linear calc'!AS20</f>
        <v>-2.6276035617499023</v>
      </c>
      <c r="DJ78" s="72">
        <f>'linear calc'!BL20 -'linear calc'!AT20</f>
        <v>-0.86551208220415887</v>
      </c>
      <c r="DL78" s="6">
        <v>0.31249999999999994</v>
      </c>
      <c r="DM78" s="75" cm="1">
        <f t="array" ref="DM78">[1]!asa(CR23,E22,N22)</f>
        <v>0</v>
      </c>
      <c r="DN78" s="75" cm="1">
        <f t="array" ref="DN78">[1]!asa(CS23,F22,O22)</f>
        <v>0</v>
      </c>
      <c r="DO78" s="75" cm="1">
        <f t="array" ref="DO78">[1]!asa(CT23,G22,P22)</f>
        <v>0</v>
      </c>
      <c r="DP78" s="75" cm="1">
        <f t="array" ref="DP78">[1]!asa(CU23,H22,Q22)</f>
        <v>0</v>
      </c>
      <c r="DQ78" s="75" cm="1">
        <f t="array" ref="DQ78">[1]!asa(CV23,I22,R22)</f>
        <v>0</v>
      </c>
      <c r="DR78" s="75" cm="1">
        <f t="array" ref="DR78">[1]!asa(CW23,J22,S22)</f>
        <v>0</v>
      </c>
      <c r="DS78" s="75" cm="1">
        <f t="array" ref="DS78">[1]!asa(CX23,K22,T22)</f>
        <v>0</v>
      </c>
      <c r="DU78" s="6">
        <v>0.31249999999999994</v>
      </c>
      <c r="DV78" s="8" cm="1">
        <f t="array" ref="DV78">[1]!Abandon(CR23,300,E22,N22)</f>
        <v>3.5727981639865902E-7</v>
      </c>
      <c r="DW78" s="8" cm="1">
        <f t="array" ref="DW78">[1]!Abandon(CS23,300,F22,O22)</f>
        <v>1.4011317261974909E-6</v>
      </c>
      <c r="DX78" s="8" cm="1">
        <f t="array" ref="DX78">[1]!Abandon(CT23,300,G22,P22)</f>
        <v>4.9544107705301599E-10</v>
      </c>
      <c r="DY78" s="8" cm="1">
        <f t="array" ref="DY78">[1]!Abandon(CU23,300,H22,Q22)</f>
        <v>9.7696252129853001E-12</v>
      </c>
      <c r="DZ78" s="8" cm="1">
        <f t="array" ref="DZ78">[1]!Abandon(CV23,300,I22,R22)</f>
        <v>9.5738805327982845E-8</v>
      </c>
      <c r="EA78" s="8" cm="1">
        <f t="array" ref="EA78">[1]!Abandon(CW23,300,J22,S22)</f>
        <v>5.5610468052691431E-7</v>
      </c>
      <c r="EB78" s="8" cm="1">
        <f t="array" ref="EB78">[1]!Abandon(CX23,300,K22,T22)</f>
        <v>2.8447415534316178E-9</v>
      </c>
      <c r="ED78" s="6">
        <v>0.31249999999999994</v>
      </c>
      <c r="EE78" s="8">
        <f>1-ABS((('linear calc'!AN20 -'linear calc'!AW20) /'linear calc'!AN20))</f>
        <v>-0.14986004765782379</v>
      </c>
      <c r="EF78" s="8">
        <f>1-ABS((('linear calc'!AO20 -'linear calc'!AX20) /'linear calc'!AO20))</f>
        <v>0.70403331871985975</v>
      </c>
      <c r="EG78" s="8">
        <f>1-ABS((('linear calc'!AP20 -'linear calc'!AY20) /'linear calc'!AP20))</f>
        <v>-0.28163969831727731</v>
      </c>
      <c r="EH78" s="8">
        <f>1-ABS((('linear calc'!AQ20 -'linear calc'!AZ20) /'linear calc'!AQ20))</f>
        <v>0.44598862918509163</v>
      </c>
      <c r="EI78" s="8">
        <f>1-ABS((('linear calc'!AR20 -'linear calc'!BA20) /'linear calc'!AR20))</f>
        <v>0.78794769755542937</v>
      </c>
      <c r="EJ78" s="8">
        <f>1-ABS((('linear calc'!AS20 -'linear calc'!BB20) /'linear calc'!AS20))</f>
        <v>0.873475491035965</v>
      </c>
      <c r="EK78" s="8">
        <f>1-ABS((('linear calc'!AT20 -'linear calc'!BC20) /'linear calc'!AT20))</f>
        <v>0.66828687399865783</v>
      </c>
    </row>
    <row r="79" spans="3:141" x14ac:dyDescent="0.3">
      <c r="C79" s="6">
        <v>0.1875</v>
      </c>
      <c r="D79" s="7">
        <v>58</v>
      </c>
      <c r="E79" s="7">
        <v>54</v>
      </c>
      <c r="F79" s="7">
        <v>32</v>
      </c>
      <c r="G79" s="7">
        <v>55</v>
      </c>
      <c r="H79" s="7">
        <v>42</v>
      </c>
      <c r="I79" s="7">
        <v>33</v>
      </c>
      <c r="J79" s="7">
        <v>50</v>
      </c>
      <c r="AE79" s="6">
        <v>0.16666666666666666</v>
      </c>
      <c r="AF79" s="7">
        <f t="shared" si="64"/>
        <v>9.118809964620155</v>
      </c>
      <c r="AG79" s="7">
        <f t="shared" si="65"/>
        <v>6.7611070050094444</v>
      </c>
      <c r="AH79" s="7">
        <f t="shared" si="66"/>
        <v>8.4492659246980821</v>
      </c>
      <c r="AI79" s="7">
        <f t="shared" si="67"/>
        <v>7.5035421930066137</v>
      </c>
      <c r="AJ79" s="7">
        <f t="shared" si="68"/>
        <v>6.7977434876389582</v>
      </c>
      <c r="AK79" s="7">
        <f t="shared" si="69"/>
        <v>6.7131060124617417</v>
      </c>
      <c r="AL79" s="7">
        <f t="shared" si="70"/>
        <v>7.7022298927929187</v>
      </c>
      <c r="AW79" s="6">
        <v>0.41666666666666652</v>
      </c>
      <c r="AX79" s="10">
        <v>9.7999999999999989</v>
      </c>
      <c r="AY79" s="10">
        <v>9.7999999999999989</v>
      </c>
      <c r="AZ79" s="10">
        <v>12.6</v>
      </c>
      <c r="BA79" s="10">
        <v>13.299999999999999</v>
      </c>
      <c r="BB79" s="10">
        <v>9.1</v>
      </c>
      <c r="BC79" s="10">
        <v>9.7999999999999989</v>
      </c>
      <c r="BD79" s="10">
        <v>11.899999999999999</v>
      </c>
      <c r="BJ79" s="6">
        <v>0.33333333333333326</v>
      </c>
      <c r="BK79" s="68" cm="1">
        <f t="array" ref="BK79">[1]!FractionalAgents(82%,20,E23,N23)</f>
        <v>4.2741703987121582</v>
      </c>
      <c r="BL79" s="68" cm="1">
        <f t="array" ref="BL79">[1]!FractionalAgents(82%,20,F23,O23)</f>
        <v>4.5002751350402832</v>
      </c>
      <c r="BM79" s="68" cm="1">
        <f t="array" ref="BM79">[1]!FractionalAgents(82%,20,G23,P23)</f>
        <v>4.4250631332397461</v>
      </c>
      <c r="BN79" s="68" cm="1">
        <f t="array" ref="BN79">[1]!FractionalAgents(82%,20,H23,Q23)</f>
        <v>4.351862907409668</v>
      </c>
      <c r="BO79" s="68" cm="1">
        <f t="array" ref="BO79">[1]!FractionalAgents(82%,20,I23,R23)</f>
        <v>3.2953469753265381</v>
      </c>
      <c r="BP79" s="68" cm="1">
        <f t="array" ref="BP79">[1]!FractionalAgents(82%,20,J23,S23)</f>
        <v>4.3168306350708008</v>
      </c>
      <c r="BQ79" s="68" cm="1">
        <f t="array" ref="BQ79">[1]!FractionalAgents(82%,20,K23,T23)</f>
        <v>4.1722698211669922</v>
      </c>
      <c r="BS79" s="6">
        <v>0.33333333333333326</v>
      </c>
      <c r="BT79" s="8" cm="1">
        <f t="array" ref="BT79">[1]!SLA(BK79,20,E23,N23)</f>
        <v>0.79773956537246704</v>
      </c>
      <c r="BU79" s="8" cm="1">
        <f t="array" ref="BU79">[1]!SLA(BL79,20,F23,O23)</f>
        <v>0.77260321378707886</v>
      </c>
      <c r="BV79" s="8" cm="1">
        <f t="array" ref="BV79">[1]!SLA(BM79,20,G23,P23)</f>
        <v>0.78191131353378296</v>
      </c>
      <c r="BW79" s="8" cm="1">
        <f t="array" ref="BW79">[1]!SLA(BN79,20,H23,Q23)</f>
        <v>0.78976935148239136</v>
      </c>
      <c r="BX79" s="8" cm="1">
        <f t="array" ref="BX79">[1]!SLA(BO79,20,I23,R23)</f>
        <v>0.79175174236297607</v>
      </c>
      <c r="BY79" s="8" cm="1">
        <f t="array" ref="BY79">[1]!SLA(BP79,20,J23,S23)</f>
        <v>0.79359674453735352</v>
      </c>
      <c r="BZ79" s="8" cm="1">
        <f t="array" ref="BZ79">[1]!SLA(BQ79,20,K23,T23)</f>
        <v>0.80689424276351929</v>
      </c>
      <c r="CB79" s="6">
        <v>0.33333333333333326</v>
      </c>
      <c r="CC79" s="8" cm="1">
        <f t="array" ref="CC79">[1]!Utilisation(BK79,E23,N23)</f>
        <v>0.52840012311935425</v>
      </c>
      <c r="CD79" s="8" cm="1">
        <f t="array" ref="CD79">[1]!Utilisation(BL79,F23,O23)</f>
        <v>0.53441178798675537</v>
      </c>
      <c r="CE79" s="8" cm="1">
        <f t="array" ref="CE79">[1]!Utilisation(BM79,G23,P23)</f>
        <v>0.53232133388519287</v>
      </c>
      <c r="CF79" s="8" cm="1">
        <f t="array" ref="CF79">[1]!Utilisation(BN79,H23,Q23)</f>
        <v>0.52922743558883667</v>
      </c>
      <c r="CG79" s="8" cm="1">
        <f t="array" ref="CG79">[1]!Utilisation(BO79,I23,R23)</f>
        <v>0.46412989497184753</v>
      </c>
      <c r="CH79" s="8" cm="1">
        <f t="array" ref="CH79">[1]!Utilisation(BP79,J23,S23)</f>
        <v>0.52946829795837402</v>
      </c>
      <c r="CI79" s="8" cm="1">
        <f t="array" ref="CI79">[1]!Utilisation(BQ79,K23,T23)</f>
        <v>0.52714115381240845</v>
      </c>
      <c r="CK79" s="6">
        <v>0.33333333333333326</v>
      </c>
      <c r="CL79" s="69" cm="1">
        <f t="array" ref="CL79">[1]!FractionalCallCapacity(BK79,BT79,20,N23)</f>
        <v>26</v>
      </c>
      <c r="CM79" s="69" cm="1">
        <f t="array" ref="CM79">[1]!FractionalCallCapacity(BL79,BU79,20,O23)</f>
        <v>28</v>
      </c>
      <c r="CN79" s="69" cm="1">
        <f t="array" ref="CN79">[1]!FractionalCallCapacity(BM79,BV79,20,P23)</f>
        <v>28</v>
      </c>
      <c r="CO79" s="69" cm="1">
        <f t="array" ref="CO79">[1]!FractionalCallCapacity(BN79,BW79,20,Q23)</f>
        <v>26</v>
      </c>
      <c r="CP79" s="69" cm="1">
        <f t="array" ref="CP79">[1]!FractionalCallCapacity(BO79,BX79,20,R23)</f>
        <v>17</v>
      </c>
      <c r="CQ79" s="69" cm="1">
        <f t="array" ref="CQ79">[1]!FractionalCallCapacity(BP79,BY79,20,S23)</f>
        <v>27</v>
      </c>
      <c r="CR79" s="69" cm="1">
        <f t="array" ref="CR79">[1]!FractionalCallCapacity(BQ79,BZ79,20,T23)</f>
        <v>25</v>
      </c>
      <c r="CT79" s="6">
        <v>0.33333333333333326</v>
      </c>
      <c r="CU79" s="72">
        <f t="shared" si="55"/>
        <v>0.75</v>
      </c>
      <c r="CV79" s="72">
        <f t="shared" si="56"/>
        <v>2</v>
      </c>
      <c r="CW79" s="72">
        <f t="shared" si="57"/>
        <v>1.5</v>
      </c>
      <c r="CX79" s="72">
        <f t="shared" si="58"/>
        <v>1.25</v>
      </c>
      <c r="CY79" s="72">
        <f t="shared" si="59"/>
        <v>0.66145833333333215</v>
      </c>
      <c r="CZ79" s="72">
        <f t="shared" si="60"/>
        <v>1.125</v>
      </c>
      <c r="DA79" s="72">
        <f t="shared" si="61"/>
        <v>0.5625</v>
      </c>
      <c r="DC79" s="6">
        <v>0.33333333333333326</v>
      </c>
      <c r="DD79" s="72">
        <f>'linear calc'!BF21 -'linear calc'!AN21</f>
        <v>1.2885350067092904</v>
      </c>
      <c r="DE79" s="72">
        <f>'linear calc'!BG21 -'linear calc'!AO21</f>
        <v>-0.7979268292682935</v>
      </c>
      <c r="DF79" s="72">
        <f>'linear calc'!BH21 -'linear calc'!AP21</f>
        <v>2.19283225485316</v>
      </c>
      <c r="DG79" s="72">
        <f>'linear calc'!BI21 -'linear calc'!AQ21</f>
        <v>0.60053362389293774</v>
      </c>
      <c r="DH79" s="72">
        <f>'linear calc'!BJ21 -'linear calc'!AR21</f>
        <v>-2.7553338260655327</v>
      </c>
      <c r="DI79" s="72">
        <f>'linear calc'!BK21 -'linear calc'!AS21</f>
        <v>-0.52989368355222233</v>
      </c>
      <c r="DJ79" s="72">
        <f>'linear calc'!BL21 -'linear calc'!AT21</f>
        <v>3.341930894308943</v>
      </c>
      <c r="DL79" s="6">
        <v>0.33333333333333326</v>
      </c>
      <c r="DM79" s="75" cm="1">
        <f t="array" ref="DM79">[1]!asa(CR24,E23,N23)</f>
        <v>0</v>
      </c>
      <c r="DN79" s="75" cm="1">
        <f t="array" ref="DN79">[1]!asa(CS24,F23,O23)</f>
        <v>0</v>
      </c>
      <c r="DO79" s="75" cm="1">
        <f t="array" ref="DO79">[1]!asa(CT24,G23,P23)</f>
        <v>0</v>
      </c>
      <c r="DP79" s="75" cm="1">
        <f t="array" ref="DP79">[1]!asa(CU24,H23,Q23)</f>
        <v>0</v>
      </c>
      <c r="DQ79" s="75" cm="1">
        <f t="array" ref="DQ79">[1]!asa(CV24,I23,R23)</f>
        <v>0</v>
      </c>
      <c r="DR79" s="75" cm="1">
        <f t="array" ref="DR79">[1]!asa(CW24,J23,S23)</f>
        <v>0</v>
      </c>
      <c r="DS79" s="75" cm="1">
        <f t="array" ref="DS79">[1]!asa(CX24,K23,T23)</f>
        <v>0</v>
      </c>
      <c r="DU79" s="6">
        <v>0.33333333333333326</v>
      </c>
      <c r="DV79" s="8" cm="1">
        <f t="array" ref="DV79">[1]!Abandon(CR24,300,E23,N23)</f>
        <v>5.0818482577597024E-7</v>
      </c>
      <c r="DW79" s="8" cm="1">
        <f t="array" ref="DW79">[1]!Abandon(CS24,300,F23,O23)</f>
        <v>1.1343220194248715E-6</v>
      </c>
      <c r="DX79" s="8" cm="1">
        <f t="array" ref="DX79">[1]!Abandon(CT24,300,G23,P23)</f>
        <v>4.7931802971135085E-10</v>
      </c>
      <c r="DY79" s="8" cm="1">
        <f t="array" ref="DY79">[1]!Abandon(CU24,300,H23,Q23)</f>
        <v>5.2636384834103822E-11</v>
      </c>
      <c r="DZ79" s="8" cm="1">
        <f t="array" ref="DZ79">[1]!Abandon(CV24,300,I23,R23)</f>
        <v>3.8897109533309049E-8</v>
      </c>
      <c r="EA79" s="8" cm="1">
        <f t="array" ref="EA79">[1]!Abandon(CW24,300,J23,S23)</f>
        <v>5.1909762532886816E-7</v>
      </c>
      <c r="EB79" s="8" cm="1">
        <f t="array" ref="EB79">[1]!Abandon(CX24,300,K23,T23)</f>
        <v>2.4937247822265363E-9</v>
      </c>
      <c r="ED79" s="6">
        <v>0.33333333333333326</v>
      </c>
      <c r="EE79" s="8">
        <f>1-ABS((('linear calc'!AN21 -'linear calc'!AW21) /'linear calc'!AN21))</f>
        <v>0.35515977437072088</v>
      </c>
      <c r="EF79" s="8">
        <f>1-ABS((('linear calc'!AO21 -'linear calc'!AX21) /'linear calc'!AO21))</f>
        <v>0.67898691644707321</v>
      </c>
      <c r="EG79" s="8">
        <f>1-ABS((('linear calc'!AP21 -'linear calc'!AY21) /'linear calc'!AP21))</f>
        <v>0.27042280466806967</v>
      </c>
      <c r="EH79" s="8">
        <f>1-ABS((('linear calc'!AQ21 -'linear calc'!AZ21) /'linear calc'!AQ21))</f>
        <v>0.50387414421232346</v>
      </c>
      <c r="EI79" s="8">
        <f>1-ABS((('linear calc'!AR21 -'linear calc'!BA21) /'linear calc'!AR21))</f>
        <v>0.90344715798573583</v>
      </c>
      <c r="EJ79" s="8">
        <f>1-ABS((('linear calc'!AS21 -'linear calc'!BB21) /'linear calc'!AS21))</f>
        <v>0.64471015589526282</v>
      </c>
      <c r="EK79" s="8">
        <f>1-ABS((('linear calc'!AT21 -'linear calc'!BC21) /'linear calc'!AT21))</f>
        <v>1.3570609204929251E-2</v>
      </c>
    </row>
    <row r="80" spans="3:141" x14ac:dyDescent="0.3">
      <c r="C80" s="6">
        <v>0.20833333333333334</v>
      </c>
      <c r="D80" s="7">
        <v>60</v>
      </c>
      <c r="E80" s="7">
        <v>50</v>
      </c>
      <c r="F80" s="7">
        <v>42</v>
      </c>
      <c r="G80" s="7">
        <v>36</v>
      </c>
      <c r="H80" s="7">
        <v>45</v>
      </c>
      <c r="I80" s="7">
        <v>46</v>
      </c>
      <c r="J80" s="7">
        <v>43</v>
      </c>
      <c r="AE80" s="6">
        <v>0.1875</v>
      </c>
      <c r="AF80" s="7">
        <f t="shared" si="64"/>
        <v>9.4886436959607678</v>
      </c>
      <c r="AG80" s="7">
        <f t="shared" si="65"/>
        <v>8.4109009457441513</v>
      </c>
      <c r="AH80" s="7">
        <f t="shared" si="66"/>
        <v>4.9804030013089244</v>
      </c>
      <c r="AI80" s="7">
        <f t="shared" si="67"/>
        <v>8.5166365552544416</v>
      </c>
      <c r="AJ80" s="7">
        <f t="shared" si="68"/>
        <v>6.8733378922574264</v>
      </c>
      <c r="AK80" s="7">
        <f t="shared" si="69"/>
        <v>5.0627988007454823</v>
      </c>
      <c r="AL80" s="7">
        <f t="shared" si="70"/>
        <v>7.9450775906568598</v>
      </c>
      <c r="AW80" s="6">
        <v>0.43749999999999983</v>
      </c>
      <c r="AX80" s="10">
        <v>9.7999999999999989</v>
      </c>
      <c r="AY80" s="10">
        <v>9.7999999999999989</v>
      </c>
      <c r="AZ80" s="10">
        <v>12.6</v>
      </c>
      <c r="BA80" s="10">
        <v>13.299999999999999</v>
      </c>
      <c r="BB80" s="10">
        <v>9.1</v>
      </c>
      <c r="BC80" s="10">
        <v>9.7999999999999989</v>
      </c>
      <c r="BD80" s="10">
        <v>11.899999999999999</v>
      </c>
      <c r="BJ80" s="6">
        <v>0.35416666666666657</v>
      </c>
      <c r="BK80" s="68" cm="1">
        <f t="array" ref="BK80">[1]!FractionalAgents(82%,20,E24,N24)</f>
        <v>4.4138026237487793</v>
      </c>
      <c r="BL80" s="68" cm="1">
        <f t="array" ref="BL80">[1]!FractionalAgents(82%,20,F24,O24)</f>
        <v>3.9861958026885986</v>
      </c>
      <c r="BM80" s="68" cm="1">
        <f t="array" ref="BM80">[1]!FractionalAgents(82%,20,G24,P24)</f>
        <v>4.2495965957641602</v>
      </c>
      <c r="BN80" s="68" cm="1">
        <f t="array" ref="BN80">[1]!FractionalAgents(82%,20,H24,Q24)</f>
        <v>4.4469280242919922</v>
      </c>
      <c r="BO80" s="68" cm="1">
        <f t="array" ref="BO80">[1]!FractionalAgents(82%,20,I24,R24)</f>
        <v>3.677929162979126</v>
      </c>
      <c r="BP80" s="68" cm="1">
        <f t="array" ref="BP80">[1]!FractionalAgents(82%,20,J24,S24)</f>
        <v>4.304649829864502</v>
      </c>
      <c r="BQ80" s="68" cm="1">
        <f t="array" ref="BQ80">[1]!FractionalAgents(82%,20,K24,T24)</f>
        <v>4.27557373046875</v>
      </c>
      <c r="BS80" s="6">
        <v>0.35416666666666657</v>
      </c>
      <c r="BT80" s="8" cm="1">
        <f t="array" ref="BT80">[1]!SLA(BK80,20,E24,N24)</f>
        <v>0.78321385383605957</v>
      </c>
      <c r="BU80" s="8" cm="1">
        <f t="array" ref="BU80">[1]!SLA(BL80,20,F24,O24)</f>
        <v>0.66287368535995483</v>
      </c>
      <c r="BV80" s="8" cm="1">
        <f t="array" ref="BV80">[1]!SLA(BM80,20,G24,P24)</f>
        <v>0.8000754714012146</v>
      </c>
      <c r="BW80" s="8" cm="1">
        <f t="array" ref="BW80">[1]!SLA(BN80,20,H24,Q24)</f>
        <v>0.77917510271072388</v>
      </c>
      <c r="BX80" s="8" cm="1">
        <f t="array" ref="BX80">[1]!SLA(BO80,20,I24,R24)</f>
        <v>0.73433369398117065</v>
      </c>
      <c r="BY80" s="8" cm="1">
        <f t="array" ref="BY80">[1]!SLA(BP80,20,J24,S24)</f>
        <v>0.79475563764572144</v>
      </c>
      <c r="BZ80" s="8" cm="1">
        <f t="array" ref="BZ80">[1]!SLA(BQ80,20,K24,T24)</f>
        <v>0.79756391048431396</v>
      </c>
      <c r="CB80" s="6">
        <v>0.35416666666666657</v>
      </c>
      <c r="CC80" s="8" cm="1">
        <f t="array" ref="CC80">[1]!Utilisation(BK80,E24,N24)</f>
        <v>0.53201162815093994</v>
      </c>
      <c r="CD80" s="8" cm="1">
        <f t="array" ref="CD80">[1]!Utilisation(BL80,F24,O24)</f>
        <v>0.52566826343536377</v>
      </c>
      <c r="CE80" s="8" cm="1">
        <f t="array" ref="CE80">[1]!Utilisation(BM80,G24,P24)</f>
        <v>0.52815467119216919</v>
      </c>
      <c r="CF80" s="8" cm="1">
        <f t="array" ref="CF80">[1]!Utilisation(BN80,H24,Q24)</f>
        <v>0.53240561485290527</v>
      </c>
      <c r="CG80" s="8" cm="1">
        <f t="array" ref="CG80">[1]!Utilisation(BO80,I24,R24)</f>
        <v>0.48686394095420837</v>
      </c>
      <c r="CH80" s="8" cm="1">
        <f t="array" ref="CH80">[1]!Utilisation(BP80,J24,S24)</f>
        <v>0.52889353036880493</v>
      </c>
      <c r="CI80" s="8" cm="1">
        <f t="array" ref="CI80">[1]!Utilisation(BQ80,K24,T24)</f>
        <v>0.52816987037658691</v>
      </c>
      <c r="CK80" s="6">
        <v>0.35416666666666657</v>
      </c>
      <c r="CL80" s="69" cm="1">
        <f t="array" ref="CL80">[1]!FractionalCallCapacity(BK80,BT80,20,N24)</f>
        <v>28</v>
      </c>
      <c r="CM80" s="69" cm="1">
        <f t="array" ref="CM80">[1]!FractionalCallCapacity(BL80,BU80,20,O24)</f>
        <v>29</v>
      </c>
      <c r="CN80" s="69" cm="1">
        <f t="array" ref="CN80">[1]!FractionalCallCapacity(BM80,BV80,20,P24)</f>
        <v>26</v>
      </c>
      <c r="CO80" s="69" cm="1">
        <f t="array" ref="CO80">[1]!FractionalCallCapacity(BN80,BW80,20,Q24)</f>
        <v>27</v>
      </c>
      <c r="CP80" s="69" cm="1">
        <f t="array" ref="CP80">[1]!FractionalCallCapacity(BO80,BX80,20,R24)</f>
        <v>22</v>
      </c>
      <c r="CQ80" s="69" cm="1">
        <f t="array" ref="CQ80">[1]!FractionalCallCapacity(BP80,BY80,20,S24)</f>
        <v>26</v>
      </c>
      <c r="CR80" s="69" cm="1">
        <f t="array" ref="CR80">[1]!FractionalCallCapacity(BQ80,BZ80,20,T24)</f>
        <v>25</v>
      </c>
      <c r="CT80" s="6">
        <v>0.35416666666666657</v>
      </c>
      <c r="CU80" s="72">
        <f t="shared" si="55"/>
        <v>1.5</v>
      </c>
      <c r="CV80" s="72">
        <f t="shared" si="56"/>
        <v>5.5</v>
      </c>
      <c r="CW80" s="72">
        <f t="shared" si="57"/>
        <v>0.75</v>
      </c>
      <c r="CX80" s="72">
        <f t="shared" si="58"/>
        <v>1.25</v>
      </c>
      <c r="CY80" s="72">
        <f t="shared" si="59"/>
        <v>2.40625</v>
      </c>
      <c r="CZ80" s="72">
        <f t="shared" si="60"/>
        <v>0.625</v>
      </c>
      <c r="DA80" s="72">
        <f t="shared" si="61"/>
        <v>6.25E-2</v>
      </c>
      <c r="DC80" s="6">
        <v>0.35416666666666657</v>
      </c>
      <c r="DD80" s="72">
        <f>'linear calc'!BF22 -'linear calc'!AN22</f>
        <v>-0.34705004848213683</v>
      </c>
      <c r="DE80" s="72">
        <f>'linear calc'!BG22 -'linear calc'!AO22</f>
        <v>-1.0821268501146566</v>
      </c>
      <c r="DF80" s="72">
        <f>'linear calc'!BH22 -'linear calc'!AP22</f>
        <v>3.4933497761943908</v>
      </c>
      <c r="DG80" s="72">
        <f>'linear calc'!BI22 -'linear calc'!AQ22</f>
        <v>3.6463442287484096</v>
      </c>
      <c r="DH80" s="72">
        <f>'linear calc'!BJ22 -'linear calc'!AR22</f>
        <v>1.0749384649809794</v>
      </c>
      <c r="DI80" s="72">
        <f>'linear calc'!BK22 -'linear calc'!AS22</f>
        <v>-3.1287347560975629</v>
      </c>
      <c r="DJ80" s="72">
        <f>'linear calc'!BL22 -'linear calc'!AT22</f>
        <v>4.1813792611610321</v>
      </c>
      <c r="DL80" s="6">
        <v>0.35416666666666657</v>
      </c>
      <c r="DM80" s="75" cm="1">
        <f t="array" ref="DM80">[1]!asa(CR25,E24,N24)</f>
        <v>0</v>
      </c>
      <c r="DN80" s="75" cm="1">
        <f t="array" ref="DN80">[1]!asa(CS25,F24,O24)</f>
        <v>0</v>
      </c>
      <c r="DO80" s="75" cm="1">
        <f t="array" ref="DO80">[1]!asa(CT25,G24,P24)</f>
        <v>0</v>
      </c>
      <c r="DP80" s="75" cm="1">
        <f t="array" ref="DP80">[1]!asa(CU25,H24,Q24)</f>
        <v>0</v>
      </c>
      <c r="DQ80" s="75" cm="1">
        <f t="array" ref="DQ80">[1]!asa(CV25,I24,R24)</f>
        <v>0</v>
      </c>
      <c r="DR80" s="75" cm="1">
        <f t="array" ref="DR80">[1]!asa(CW25,J24,S24)</f>
        <v>0</v>
      </c>
      <c r="DS80" s="75" cm="1">
        <f t="array" ref="DS80">[1]!asa(CX25,K24,T24)</f>
        <v>0</v>
      </c>
      <c r="DU80" s="6">
        <v>0.35416666666666657</v>
      </c>
      <c r="DV80" s="8" cm="1">
        <f t="array" ref="DV80">[1]!Abandon(CR25,300,E24,N24)</f>
        <v>6.7994494656886673E-7</v>
      </c>
      <c r="DW80" s="8" cm="1">
        <f t="array" ref="DW80">[1]!Abandon(CS25,300,F24,O24)</f>
        <v>2.5058815822376346E-7</v>
      </c>
      <c r="DX80" s="8" cm="1">
        <f t="array" ref="DX80">[1]!Abandon(CT25,300,G24,P24)</f>
        <v>2.6738722347374733E-10</v>
      </c>
      <c r="DY80" s="8" cm="1">
        <f t="array" ref="DY80">[1]!Abandon(CU25,300,H24,Q24)</f>
        <v>6.6886760019535529E-11</v>
      </c>
      <c r="DZ80" s="8" cm="1">
        <f t="array" ref="DZ80">[1]!Abandon(CV25,300,I24,R24)</f>
        <v>1.3811104793148843E-7</v>
      </c>
      <c r="EA80" s="8" cm="1">
        <f t="array" ref="EA80">[1]!Abandon(CW25,300,J24,S24)</f>
        <v>5.5895651485116105E-7</v>
      </c>
      <c r="EB80" s="8" cm="1">
        <f t="array" ref="EB80">[1]!Abandon(CX25,300,K24,T24)</f>
        <v>3.5280955934524627E-9</v>
      </c>
      <c r="ED80" s="6">
        <v>0.35416666666666657</v>
      </c>
      <c r="EE80" s="8">
        <f>1-ABS((('linear calc'!AN22 -'linear calc'!AW22) /'linear calc'!AN22))</f>
        <v>0.62028866191566534</v>
      </c>
      <c r="EF80" s="8">
        <f>1-ABS((('linear calc'!AO22 -'linear calc'!AX22) /'linear calc'!AO22))</f>
        <v>0.7134867849980544</v>
      </c>
      <c r="EG80" s="8">
        <f>1-ABS((('linear calc'!AP22 -'linear calc'!AY22) /'linear calc'!AP22))</f>
        <v>2.3422492614642354E-2</v>
      </c>
      <c r="EH80" s="8">
        <f>1-ABS((('linear calc'!AQ22 -'linear calc'!AZ22) /'linear calc'!AQ22))</f>
        <v>3.1833695937071527E-2</v>
      </c>
      <c r="EI80" s="8">
        <f>1-ABS((('linear calc'!AR22 -'linear calc'!BA22) /'linear calc'!AR22))</f>
        <v>0.38007472674548304</v>
      </c>
      <c r="EJ80" s="8">
        <f>1-ABS((('linear calc'!AS22 -'linear calc'!BB22) /'linear calc'!AS22))</f>
        <v>0.9171407516580693</v>
      </c>
      <c r="EK80" s="8">
        <f>1-ABS((('linear calc'!AT22 -'linear calc'!BC22) /'linear calc'!AT22))</f>
        <v>-0.202466033142229</v>
      </c>
    </row>
    <row r="81" spans="3:141" x14ac:dyDescent="0.3">
      <c r="C81" s="6">
        <v>0.22916666666666669</v>
      </c>
      <c r="D81" s="7">
        <v>44</v>
      </c>
      <c r="E81" s="7">
        <v>60</v>
      </c>
      <c r="F81" s="7">
        <v>55</v>
      </c>
      <c r="G81" s="7">
        <v>36</v>
      </c>
      <c r="H81" s="7">
        <v>36</v>
      </c>
      <c r="I81" s="7">
        <v>31</v>
      </c>
      <c r="J81" s="7">
        <v>60</v>
      </c>
      <c r="AE81" s="6">
        <v>0.20833333333333334</v>
      </c>
      <c r="AF81" s="7">
        <f t="shared" si="64"/>
        <v>9.742984526619459</v>
      </c>
      <c r="AG81" s="7">
        <f t="shared" si="65"/>
        <v>7.9338489617235259</v>
      </c>
      <c r="AH81" s="7">
        <f t="shared" si="66"/>
        <v>6.7515897931256541</v>
      </c>
      <c r="AI81" s="7">
        <f t="shared" si="67"/>
        <v>5.9160563179975814</v>
      </c>
      <c r="AJ81" s="7">
        <f t="shared" si="68"/>
        <v>7.1831940924928732</v>
      </c>
      <c r="AK81" s="7">
        <f t="shared" si="69"/>
        <v>7.1204853045554257</v>
      </c>
      <c r="AL81" s="7">
        <f t="shared" si="70"/>
        <v>6.5945454655439413</v>
      </c>
      <c r="AW81" s="6">
        <v>0.45833333333333315</v>
      </c>
      <c r="AX81" s="10">
        <v>9.7999999999999989</v>
      </c>
      <c r="AY81" s="10">
        <v>9.7999999999999989</v>
      </c>
      <c r="AZ81" s="10">
        <v>12.6</v>
      </c>
      <c r="BA81" s="10">
        <v>13.299999999999999</v>
      </c>
      <c r="BB81" s="10">
        <v>9.1</v>
      </c>
      <c r="BC81" s="10">
        <v>9.7999999999999989</v>
      </c>
      <c r="BD81" s="10">
        <v>11.899999999999999</v>
      </c>
      <c r="BJ81" s="6">
        <v>0.37499999999999989</v>
      </c>
      <c r="BK81" s="68" cm="1">
        <f t="array" ref="BK81">[1]!FractionalAgents(82%,20,E25,N25)</f>
        <v>3.8025882244110107</v>
      </c>
      <c r="BL81" s="68" cm="1">
        <f t="array" ref="BL81">[1]!FractionalAgents(82%,20,F25,O25)</f>
        <v>4.3034634590148926</v>
      </c>
      <c r="BM81" s="68" cm="1">
        <f t="array" ref="BM81">[1]!FractionalAgents(82%,20,G25,P25)</f>
        <v>3.9089093208312988</v>
      </c>
      <c r="BN81" s="68" cm="1">
        <f t="array" ref="BN81">[1]!FractionalAgents(82%,20,H25,Q25)</f>
        <v>4.3110132217407227</v>
      </c>
      <c r="BO81" s="68" cm="1">
        <f t="array" ref="BO81">[1]!FractionalAgents(82%,20,I25,R25)</f>
        <v>3.6920747756958008</v>
      </c>
      <c r="BP81" s="68" cm="1">
        <f t="array" ref="BP81">[1]!FractionalAgents(82%,20,J25,S25)</f>
        <v>6.203376293182373</v>
      </c>
      <c r="BQ81" s="68" cm="1">
        <f t="array" ref="BQ81">[1]!FractionalAgents(82%,20,K25,T25)</f>
        <v>6.9212532043457031</v>
      </c>
      <c r="BS81" s="6">
        <v>0.37499999999999989</v>
      </c>
      <c r="BT81" s="8" cm="1">
        <f t="array" ref="BT81">[1]!SLA(BK81,20,E25,N25)</f>
        <v>0.7086215615272522</v>
      </c>
      <c r="BU81" s="8" cm="1">
        <f t="array" ref="BU81">[1]!SLA(BL81,20,F25,O25)</f>
        <v>0.79475122690200806</v>
      </c>
      <c r="BV81" s="8" cm="1">
        <f t="array" ref="BV81">[1]!SLA(BM81,20,G25,P25)</f>
        <v>0.68327009677886963</v>
      </c>
      <c r="BW81" s="8" cm="1">
        <f t="array" ref="BW81">[1]!SLA(BN81,20,H25,Q25)</f>
        <v>0.79416823387145996</v>
      </c>
      <c r="BX81" s="8" cm="1">
        <f t="array" ref="BX81">[1]!SLA(BO81,20,I25,R25)</f>
        <v>0.73154819011688232</v>
      </c>
      <c r="BY81" s="8" cm="1">
        <f t="array" ref="BY81">[1]!SLA(BP81,20,J25,S25)</f>
        <v>0.80715471506118774</v>
      </c>
      <c r="BZ81" s="8" cm="1">
        <f t="array" ref="BZ81">[1]!SLA(BQ81,20,K25,T25)</f>
        <v>0.72993940114974976</v>
      </c>
      <c r="CB81" s="6">
        <v>0.37499999999999989</v>
      </c>
      <c r="CC81" s="8" cm="1">
        <f t="array" ref="CC81">[1]!Utilisation(BK81,E25,N25)</f>
        <v>0.50009799003601074</v>
      </c>
      <c r="CD81" s="8" cm="1">
        <f t="array" ref="CD81">[1]!Utilisation(BL81,F25,O25)</f>
        <v>0.52819216251373291</v>
      </c>
      <c r="CE81" s="8" cm="1">
        <f t="array" ref="CE81">[1]!Utilisation(BM81,G25,P25)</f>
        <v>0.51387238502502441</v>
      </c>
      <c r="CF81" s="8" cm="1">
        <f t="array" ref="CF81">[1]!Utilisation(BN81,H25,Q25)</f>
        <v>0.52928072214126587</v>
      </c>
      <c r="CG81" s="8" cm="1">
        <f t="array" ref="CG81">[1]!Utilisation(BO81,I25,R25)</f>
        <v>0.48807662725448608</v>
      </c>
      <c r="CH81" s="8" cm="1">
        <f t="array" ref="CH81">[1]!Utilisation(BP81,J25,S25)</f>
        <v>0.60987174510955811</v>
      </c>
      <c r="CI81" s="8" cm="1">
        <f t="array" ref="CI81">[1]!Utilisation(BQ81,K25,T25)</f>
        <v>0.63145631551742554</v>
      </c>
      <c r="CK81" s="6">
        <v>0.37499999999999989</v>
      </c>
      <c r="CL81" s="69" cm="1">
        <f t="array" ref="CL81">[1]!FractionalCallCapacity(BK81,BT81,20,N25)</f>
        <v>25</v>
      </c>
      <c r="CM81" s="69" cm="1">
        <f t="array" ref="CM81">[1]!FractionalCallCapacity(BL81,BU81,20,O25)</f>
        <v>25</v>
      </c>
      <c r="CN81" s="69" cm="1">
        <f t="array" ref="CN81">[1]!FractionalCallCapacity(BM81,BV81,20,P25)</f>
        <v>27</v>
      </c>
      <c r="CO81" s="69" cm="1">
        <f t="array" ref="CO81">[1]!FractionalCallCapacity(BN81,BW81,20,Q25)</f>
        <v>26</v>
      </c>
      <c r="CP81" s="69" cm="1">
        <f t="array" ref="CP81">[1]!FractionalCallCapacity(BO81,BX81,20,R25)</f>
        <v>22</v>
      </c>
      <c r="CQ81" s="69" cm="1">
        <f t="array" ref="CQ81">[1]!FractionalCallCapacity(BP81,BY81,20,S25)</f>
        <v>44</v>
      </c>
      <c r="CR81" s="69" cm="1">
        <f t="array" ref="CR81">[1]!FractionalCallCapacity(BQ81,BZ81,20,T25)</f>
        <v>51</v>
      </c>
      <c r="CT81" s="6">
        <v>0.37499999999999989</v>
      </c>
      <c r="CU81" s="72">
        <f t="shared" si="55"/>
        <v>4</v>
      </c>
      <c r="CV81" s="72">
        <f t="shared" si="56"/>
        <v>0.5</v>
      </c>
      <c r="CW81" s="72">
        <f t="shared" si="57"/>
        <v>4.75</v>
      </c>
      <c r="CX81" s="72">
        <f t="shared" si="58"/>
        <v>0.25</v>
      </c>
      <c r="CY81" s="72">
        <f t="shared" si="59"/>
        <v>2.4010416666666679</v>
      </c>
      <c r="CZ81" s="72">
        <f t="shared" si="60"/>
        <v>0.625</v>
      </c>
      <c r="DA81" s="72">
        <f t="shared" si="61"/>
        <v>4.3125</v>
      </c>
      <c r="DC81" s="6">
        <v>0.37499999999999989</v>
      </c>
      <c r="DD81" s="72">
        <f>'linear calc'!BF23 -'linear calc'!AN23</f>
        <v>-0.59356159025507971</v>
      </c>
      <c r="DE81" s="72">
        <f>'linear calc'!BG23 -'linear calc'!AO23</f>
        <v>-1.5225527859674202</v>
      </c>
      <c r="DF81" s="72">
        <f>'linear calc'!BH23 -'linear calc'!AP23</f>
        <v>3.1361991236734799</v>
      </c>
      <c r="DG81" s="72">
        <f>'linear calc'!BI23 -'linear calc'!AQ23</f>
        <v>6.6090457419725706</v>
      </c>
      <c r="DH81" s="72">
        <f>'linear calc'!BJ23 -'linear calc'!AR23</f>
        <v>1.0374230105937414</v>
      </c>
      <c r="DI81" s="72">
        <f>'linear calc'!BK23 -'linear calc'!AS23</f>
        <v>-2.9573854946470259</v>
      </c>
      <c r="DJ81" s="72">
        <f>'linear calc'!BL23 -'linear calc'!AT23</f>
        <v>-0.67027330911606953</v>
      </c>
      <c r="DL81" s="6">
        <v>0.37499999999999989</v>
      </c>
      <c r="DM81" s="75" cm="1">
        <f t="array" ref="DM81">[1]!asa(CR26,E25,N25)</f>
        <v>0</v>
      </c>
      <c r="DN81" s="75" cm="1">
        <f t="array" ref="DN81">[1]!asa(CS26,F25,O25)</f>
        <v>0</v>
      </c>
      <c r="DO81" s="75" cm="1">
        <f t="array" ref="DO81">[1]!asa(CT26,G25,P25)</f>
        <v>0</v>
      </c>
      <c r="DP81" s="75" cm="1">
        <f t="array" ref="DP81">[1]!asa(CU26,H25,Q25)</f>
        <v>0</v>
      </c>
      <c r="DQ81" s="75" cm="1">
        <f t="array" ref="DQ81">[1]!asa(CV26,I25,R25)</f>
        <v>0</v>
      </c>
      <c r="DR81" s="75" cm="1">
        <f t="array" ref="DR81">[1]!asa(CW26,J25,S25)</f>
        <v>1</v>
      </c>
      <c r="DS81" s="75" cm="1">
        <f t="array" ref="DS81">[1]!asa(CX26,K25,T25)</f>
        <v>0</v>
      </c>
      <c r="DU81" s="6">
        <v>0.37499999999999989</v>
      </c>
      <c r="DV81" s="8" cm="1">
        <f t="array" ref="DV81">[1]!Abandon(CR26,300,E25,N25)</f>
        <v>1.157776807758637E-7</v>
      </c>
      <c r="DW81" s="8" cm="1">
        <f t="array" ref="DW81">[1]!Abandon(CS26,300,F25,O25)</f>
        <v>6.9343974473667913E-7</v>
      </c>
      <c r="DX81" s="8" cm="1">
        <f t="array" ref="DX81">[1]!Abandon(CT26,300,G25,P25)</f>
        <v>8.1607588742205195E-11</v>
      </c>
      <c r="DY81" s="8" cm="1">
        <f t="array" ref="DY81">[1]!Abandon(CU26,300,H25,Q25)</f>
        <v>2.8431654600091782E-11</v>
      </c>
      <c r="DZ81" s="8" cm="1">
        <f t="array" ref="DZ81">[1]!Abandon(CV26,300,I25,R25)</f>
        <v>1.5228590655169683E-7</v>
      </c>
      <c r="EA81" s="8" cm="1">
        <f t="array" ref="EA81">[1]!Abandon(CW26,300,J25,S25)</f>
        <v>5.1647337386384606E-5</v>
      </c>
      <c r="EB81" s="8" cm="1">
        <f t="array" ref="EB81">[1]!Abandon(CX26,300,K25,T25)</f>
        <v>6.8279518927738536E-6</v>
      </c>
      <c r="ED81" s="6">
        <v>0.37499999999999989</v>
      </c>
      <c r="EE81" s="8">
        <f>1-ABS((('linear calc'!AN23 -'linear calc'!AW23) /'linear calc'!AN23))</f>
        <v>0.6530122635607134</v>
      </c>
      <c r="EF81" s="8">
        <f>1-ABS((('linear calc'!AO23 -'linear calc'!AX23) /'linear calc'!AO23))</f>
        <v>0.76352972119936868</v>
      </c>
      <c r="EG81" s="8">
        <f>1-ABS((('linear calc'!AP23 -'linear calc'!AY23) /'linear calc'!AP23))</f>
        <v>9.8015772391557232E-2</v>
      </c>
      <c r="EH81" s="8">
        <f>1-ABS((('linear calc'!AQ23 -'linear calc'!AZ23) /'linear calc'!AQ23))</f>
        <v>-0.8396547438961901</v>
      </c>
      <c r="EI81" s="8">
        <f>1-ABS((('linear calc'!AR23 -'linear calc'!BA23) /'linear calc'!AR23))</f>
        <v>0.3876122960337347</v>
      </c>
      <c r="EJ81" s="8">
        <f>1-ABS((('linear calc'!AS23 -'linear calc'!BB23) /'linear calc'!AS23))</f>
        <v>0.90259646023282958</v>
      </c>
      <c r="EK81" s="8">
        <f>1-ABS((('linear calc'!AT23 -'linear calc'!BC23) /'linear calc'!AT23))</f>
        <v>0.64760299303345636</v>
      </c>
    </row>
    <row r="82" spans="3:141" x14ac:dyDescent="0.3">
      <c r="C82" s="6">
        <v>0.25</v>
      </c>
      <c r="D82" s="7">
        <v>31</v>
      </c>
      <c r="E82" s="7">
        <v>51</v>
      </c>
      <c r="F82" s="7">
        <v>47</v>
      </c>
      <c r="G82" s="7">
        <v>35</v>
      </c>
      <c r="H82" s="7">
        <v>44</v>
      </c>
      <c r="I82" s="7">
        <v>45</v>
      </c>
      <c r="J82" s="7">
        <v>56</v>
      </c>
      <c r="AE82" s="6">
        <v>0.22916666666666669</v>
      </c>
      <c r="AF82" s="7">
        <f t="shared" si="64"/>
        <v>6.9792295780100648</v>
      </c>
      <c r="AG82" s="7">
        <f t="shared" si="65"/>
        <v>9.4568254734881148</v>
      </c>
      <c r="AH82" s="7">
        <f t="shared" si="66"/>
        <v>8.8177917661925935</v>
      </c>
      <c r="AI82" s="7">
        <f t="shared" si="67"/>
        <v>5.4871149135819497</v>
      </c>
      <c r="AJ82" s="7">
        <f t="shared" si="68"/>
        <v>5.6712441073990565</v>
      </c>
      <c r="AK82" s="7">
        <f t="shared" si="69"/>
        <v>4.9018027034373688</v>
      </c>
      <c r="AL82" s="7">
        <f t="shared" si="70"/>
        <v>9.3239918574300944</v>
      </c>
      <c r="AW82" s="6">
        <v>0.47916666666666646</v>
      </c>
      <c r="AX82" s="10">
        <v>9.7999999999999989</v>
      </c>
      <c r="AY82" s="10">
        <v>9.7999999999999989</v>
      </c>
      <c r="AZ82" s="10">
        <v>12.6</v>
      </c>
      <c r="BA82" s="10">
        <v>13.299999999999999</v>
      </c>
      <c r="BB82" s="10">
        <v>9.1</v>
      </c>
      <c r="BC82" s="10">
        <v>9.7999999999999989</v>
      </c>
      <c r="BD82" s="10">
        <v>11.899999999999999</v>
      </c>
      <c r="BJ82" s="6">
        <v>0.3958333333333332</v>
      </c>
      <c r="BK82" s="68" cm="1">
        <f t="array" ref="BK82">[1]!FractionalAgents(82%,20,E26,N26)</f>
        <v>12.21839714050293</v>
      </c>
      <c r="BL82" s="68" cm="1">
        <f t="array" ref="BL82">[1]!FractionalAgents(82%,20,F26,O26)</f>
        <v>12.441130638122559</v>
      </c>
      <c r="BM82" s="68" cm="1">
        <f t="array" ref="BM82">[1]!FractionalAgents(82%,20,G26,P26)</f>
        <v>12.543543815612793</v>
      </c>
      <c r="BN82" s="68" cm="1">
        <f t="array" ref="BN82">[1]!FractionalAgents(82%,20,H26,Q26)</f>
        <v>12.521193504333496</v>
      </c>
      <c r="BO82" s="68" cm="1">
        <f t="array" ref="BO82">[1]!FractionalAgents(82%,20,I26,R26)</f>
        <v>9.9247159957885742</v>
      </c>
      <c r="BP82" s="68" cm="1">
        <f t="array" ref="BP82">[1]!FractionalAgents(82%,20,J26,S26)</f>
        <v>12.228997230529785</v>
      </c>
      <c r="BQ82" s="68" cm="1">
        <f t="array" ref="BQ82">[1]!FractionalAgents(82%,20,K26,T26)</f>
        <v>12.621356010437012</v>
      </c>
      <c r="BS82" s="6">
        <v>0.3958333333333332</v>
      </c>
      <c r="BT82" s="8" cm="1">
        <f t="array" ref="BT82">[1]!SLA(BK82,20,E26,N26)</f>
        <v>0.8102867603302002</v>
      </c>
      <c r="BU82" s="8" cm="1">
        <f t="array" ref="BU82">[1]!SLA(BL82,20,F26,O26)</f>
        <v>0.7982143759727478</v>
      </c>
      <c r="BV82" s="8" cm="1">
        <f t="array" ref="BV82">[1]!SLA(BM82,20,G26,P26)</f>
        <v>0.79178702831268311</v>
      </c>
      <c r="BW82" s="8" cm="1">
        <f t="array" ref="BW82">[1]!SLA(BN82,20,H26,Q26)</f>
        <v>0.79348647594451904</v>
      </c>
      <c r="BX82" s="8" cm="1">
        <f t="array" ref="BX82">[1]!SLA(BO82,20,I26,R26)</f>
        <v>0.75032335519790649</v>
      </c>
      <c r="BY82" s="8" cm="1">
        <f t="array" ref="BY82">[1]!SLA(BP82,20,J26,S26)</f>
        <v>0.80975174903869629</v>
      </c>
      <c r="BZ82" s="8" cm="1">
        <f t="array" ref="BZ82">[1]!SLA(BQ82,20,K26,T26)</f>
        <v>0.78650194406509399</v>
      </c>
      <c r="CB82" s="6">
        <v>0.3958333333333332</v>
      </c>
      <c r="CC82" s="8" cm="1">
        <f t="array" ref="CC82">[1]!Utilisation(BK82,E26,N26)</f>
        <v>0.72428345680236816</v>
      </c>
      <c r="CD82" s="8" cm="1">
        <f t="array" ref="CD82">[1]!Utilisation(BL82,F26,O26)</f>
        <v>0.72519314289093018</v>
      </c>
      <c r="CE82" s="8" cm="1">
        <f t="array" ref="CE82">[1]!Utilisation(BM82,G26,P26)</f>
        <v>0.72601538896560669</v>
      </c>
      <c r="CF82" s="8" cm="1">
        <f t="array" ref="CF82">[1]!Utilisation(BN82,H26,Q26)</f>
        <v>0.72703957557678223</v>
      </c>
      <c r="CG82" s="8" cm="1">
        <f t="array" ref="CG82">[1]!Utilisation(BO82,I26,R26)</f>
        <v>0.69323509931564331</v>
      </c>
      <c r="CH82" s="8" cm="1">
        <f t="array" ref="CH82">[1]!Utilisation(BP82,J26,S26)</f>
        <v>0.72414547204971313</v>
      </c>
      <c r="CI82" s="8" cm="1">
        <f t="array" ref="CI82">[1]!Utilisation(BQ82,K26,T26)</f>
        <v>0.72690117359161377</v>
      </c>
      <c r="CK82" s="6">
        <v>0.3958333333333332</v>
      </c>
      <c r="CL82" s="69" cm="1">
        <f t="array" ref="CL82">[1]!FractionalCallCapacity(BK82,BT82,20,N26)</f>
        <v>101</v>
      </c>
      <c r="CM82" s="69" cm="1">
        <f t="array" ref="CM82">[1]!FractionalCallCapacity(BL82,BU82,20,O26)</f>
        <v>103</v>
      </c>
      <c r="CN82" s="69" cm="1">
        <f t="array" ref="CN82">[1]!FractionalCallCapacity(BM82,BV82,20,P26)</f>
        <v>104</v>
      </c>
      <c r="CO82" s="69" cm="1">
        <f t="array" ref="CO82">[1]!FractionalCallCapacity(BN82,BW82,20,Q26)</f>
        <v>109</v>
      </c>
      <c r="CP82" s="69" cm="1">
        <f t="array" ref="CP82">[1]!FractionalCallCapacity(BO82,BX82,20,R26)</f>
        <v>79</v>
      </c>
      <c r="CQ82" s="69" cm="1">
        <f t="array" ref="CQ82">[1]!FractionalCallCapacity(BP82,BY82,20,S26)</f>
        <v>100</v>
      </c>
      <c r="CR82" s="69" cm="1">
        <f t="array" ref="CR82">[1]!FractionalCallCapacity(BQ82,BZ82,20,T26)</f>
        <v>104</v>
      </c>
      <c r="CT82" s="6">
        <v>0.3958333333333332</v>
      </c>
      <c r="CU82" s="72">
        <f t="shared" si="55"/>
        <v>0.5</v>
      </c>
      <c r="CV82" s="72">
        <f t="shared" si="56"/>
        <v>1.5</v>
      </c>
      <c r="CW82" s="72">
        <f t="shared" si="57"/>
        <v>2.5</v>
      </c>
      <c r="CX82" s="72">
        <f t="shared" si="58"/>
        <v>2.25</v>
      </c>
      <c r="CY82" s="72">
        <f t="shared" si="59"/>
        <v>4.3958333333333286</v>
      </c>
      <c r="CZ82" s="72">
        <f t="shared" si="60"/>
        <v>6.25E-2</v>
      </c>
      <c r="DA82" s="72">
        <f t="shared" si="61"/>
        <v>2.375</v>
      </c>
      <c r="DC82" s="6">
        <v>0.3958333333333332</v>
      </c>
      <c r="DD82" s="72">
        <f>'linear calc'!BF24 -'linear calc'!AN24</f>
        <v>0.34929898788783653</v>
      </c>
      <c r="DE82" s="72">
        <f>'linear calc'!BG24 -'linear calc'!AO24</f>
        <v>2.6541275797373345</v>
      </c>
      <c r="DF82" s="72">
        <f>'linear calc'!BH24 -'linear calc'!AP24</f>
        <v>4.074153272638716</v>
      </c>
      <c r="DG82" s="72">
        <f>'linear calc'!BI24 -'linear calc'!AQ24</f>
        <v>5.6154879546033021</v>
      </c>
      <c r="DH82" s="72">
        <f>'linear calc'!BJ24 -'linear calc'!AR24</f>
        <v>0.31462236361494078</v>
      </c>
      <c r="DI82" s="72">
        <f>'linear calc'!BK24 -'linear calc'!AS24</f>
        <v>1.8092457582184513</v>
      </c>
      <c r="DJ82" s="72">
        <f>'linear calc'!BL24 -'linear calc'!AT24</f>
        <v>3.1029810298102962</v>
      </c>
      <c r="DL82" s="6">
        <v>0.3958333333333332</v>
      </c>
      <c r="DM82" s="75" cm="1">
        <f t="array" ref="DM82">[1]!asa(CR27,E26,N26)</f>
        <v>247</v>
      </c>
      <c r="DN82" s="75" cm="1">
        <f t="array" ref="DN82">[1]!asa(CS27,F26,O26)</f>
        <v>323</v>
      </c>
      <c r="DO82" s="75" cm="1">
        <f t="array" ref="DO82">[1]!asa(CT27,G26,P26)</f>
        <v>24</v>
      </c>
      <c r="DP82" s="75" cm="1">
        <f t="array" ref="DP82">[1]!asa(CU27,H26,Q26)</f>
        <v>12</v>
      </c>
      <c r="DQ82" s="75" cm="1">
        <f t="array" ref="DQ82">[1]!asa(CV27,I26,R26)</f>
        <v>52</v>
      </c>
      <c r="DR82" s="75" cm="1">
        <f t="array" ref="DR82">[1]!asa(CW27,J26,S26)</f>
        <v>251</v>
      </c>
      <c r="DS82" s="75" cm="1">
        <f t="array" ref="DS82">[1]!asa(CX27,K26,T26)</f>
        <v>47</v>
      </c>
      <c r="DU82" s="6">
        <v>0.3958333333333332</v>
      </c>
      <c r="DV82" s="8" cm="1">
        <f t="array" ref="DV82">[1]!Abandon(CR27,300,E26,N26)</f>
        <v>0.3012077808380127</v>
      </c>
      <c r="DW82" s="8" cm="1">
        <f t="array" ref="DW82">[1]!Abandon(CS27,300,F26,O26)</f>
        <v>0.37896201014518738</v>
      </c>
      <c r="DX82" s="8" cm="1">
        <f t="array" ref="DX82">[1]!Abandon(CT27,300,G26,P26)</f>
        <v>9.9555822089314461E-3</v>
      </c>
      <c r="DY82" s="8" cm="1">
        <f t="array" ref="DY82">[1]!Abandon(CU27,300,H26,Q26)</f>
        <v>2.6715572457760572E-3</v>
      </c>
      <c r="DZ82" s="8" cm="1">
        <f t="array" ref="DZ82">[1]!Abandon(CV27,300,I26,R26)</f>
        <v>4.7108374536037445E-2</v>
      </c>
      <c r="EA82" s="8" cm="1">
        <f t="array" ref="EA82">[1]!Abandon(CW27,300,J26,S26)</f>
        <v>0.30526220798492432</v>
      </c>
      <c r="EB82" s="8" cm="1">
        <f t="array" ref="EB82">[1]!Abandon(CX27,300,K26,T26)</f>
        <v>3.1571965664625168E-2</v>
      </c>
      <c r="ED82" s="6">
        <v>0.3958333333333332</v>
      </c>
      <c r="EE82" s="8">
        <f>1-ABS((('linear calc'!AN24 -'linear calc'!AW24) /'linear calc'!AN24))</f>
        <v>0.51862840840511337</v>
      </c>
      <c r="EF82" s="8">
        <f>1-ABS((('linear calc'!AO24 -'linear calc'!AX24) /'linear calc'!AO24))</f>
        <v>4.082704299310802E-2</v>
      </c>
      <c r="EG82" s="8">
        <f>1-ABS((('linear calc'!AP24 -'linear calc'!AY24) /'linear calc'!AP24))</f>
        <v>-0.1112272570223567</v>
      </c>
      <c r="EH82" s="8">
        <f>1-ABS((('linear calc'!AQ24 -'linear calc'!AZ24) /'linear calc'!AQ24))</f>
        <v>-0.47250572160683801</v>
      </c>
      <c r="EI82" s="8">
        <f>1-ABS((('linear calc'!AR24 -'linear calc'!BA24) /'linear calc'!AR24))</f>
        <v>0.52026850318193696</v>
      </c>
      <c r="EJ82" s="8">
        <f>1-ABS((('linear calc'!AS24 -'linear calc'!BB24) /'linear calc'!AS24))</f>
        <v>0.2479751502307892</v>
      </c>
      <c r="EK82" s="8">
        <f>1-ABS((('linear calc'!AT24 -'linear calc'!BC24) /'linear calc'!AT24))</f>
        <v>6.7527186469917844E-2</v>
      </c>
    </row>
    <row r="83" spans="3:141" x14ac:dyDescent="0.3">
      <c r="C83" s="6">
        <v>0.27083333333333331</v>
      </c>
      <c r="D83" s="7">
        <v>60</v>
      </c>
      <c r="E83" s="7">
        <v>33</v>
      </c>
      <c r="F83" s="7">
        <v>36</v>
      </c>
      <c r="G83" s="7">
        <v>47</v>
      </c>
      <c r="H83" s="7">
        <v>39</v>
      </c>
      <c r="I83" s="7">
        <v>52</v>
      </c>
      <c r="J83" s="7">
        <v>48</v>
      </c>
      <c r="AE83" s="6">
        <v>0.25</v>
      </c>
      <c r="AF83" s="7">
        <f t="shared" si="64"/>
        <v>5.038444239484412</v>
      </c>
      <c r="AG83" s="7">
        <f t="shared" si="65"/>
        <v>7.696165278844072</v>
      </c>
      <c r="AH83" s="7">
        <f t="shared" si="66"/>
        <v>7.3968034828596263</v>
      </c>
      <c r="AI83" s="7">
        <f t="shared" si="67"/>
        <v>5.3941857600394192</v>
      </c>
      <c r="AJ83" s="7">
        <f t="shared" si="68"/>
        <v>6.8899151929524685</v>
      </c>
      <c r="AK83" s="7">
        <f t="shared" si="69"/>
        <v>7.5244083914053421</v>
      </c>
      <c r="AL83" s="7">
        <f t="shared" si="70"/>
        <v>8.6214654599376175</v>
      </c>
      <c r="AW83" s="14">
        <v>0.49999999999999978</v>
      </c>
      <c r="AX83" s="10">
        <v>9.7999999999999989</v>
      </c>
      <c r="AY83" s="10">
        <v>9.7999999999999989</v>
      </c>
      <c r="AZ83" s="10">
        <v>12.6</v>
      </c>
      <c r="BA83" s="10">
        <v>13.299999999999999</v>
      </c>
      <c r="BB83" s="10">
        <v>9.1</v>
      </c>
      <c r="BC83" s="10">
        <v>9.7999999999999989</v>
      </c>
      <c r="BD83" s="10">
        <v>11.899999999999999</v>
      </c>
      <c r="BJ83" s="6">
        <v>0.41666666666666652</v>
      </c>
      <c r="BK83" s="68" cm="1">
        <f t="array" ref="BK83">[1]!FractionalAgents(82%,20,E27,N27)</f>
        <v>11.821489334106445</v>
      </c>
      <c r="BL83" s="68" cm="1">
        <f t="array" ref="BL83">[1]!FractionalAgents(82%,20,F27,O27)</f>
        <v>11.89415168762207</v>
      </c>
      <c r="BM83" s="68" cm="1">
        <f t="array" ref="BM83">[1]!FractionalAgents(82%,20,G27,P27)</f>
        <v>11.751715660095215</v>
      </c>
      <c r="BN83" s="68" cm="1">
        <f t="array" ref="BN83">[1]!FractionalAgents(82%,20,H27,Q27)</f>
        <v>12.096986770629883</v>
      </c>
      <c r="BO83" s="68" cm="1">
        <f t="array" ref="BO83">[1]!FractionalAgents(82%,20,I27,R27)</f>
        <v>8.9682102203369141</v>
      </c>
      <c r="BP83" s="68" cm="1">
        <f t="array" ref="BP83">[1]!FractionalAgents(82%,20,J27,S27)</f>
        <v>11.749565124511719</v>
      </c>
      <c r="BQ83" s="68" cm="1">
        <f t="array" ref="BQ83">[1]!FractionalAgents(82%,20,K27,T27)</f>
        <v>12.986847877502441</v>
      </c>
      <c r="BS83" s="6">
        <v>0.41666666666666652</v>
      </c>
      <c r="BT83" s="8" cm="1">
        <f t="array" ref="BT83">[1]!SLA(BK83,20,E27,N27)</f>
        <v>0.76891714334487915</v>
      </c>
      <c r="BU83" s="8" cm="1">
        <f t="array" ref="BU83">[1]!SLA(BL83,20,F27,O27)</f>
        <v>0.76208192110061646</v>
      </c>
      <c r="BV83" s="8" cm="1">
        <f t="array" ref="BV83">[1]!SLA(BM83,20,G27,P27)</f>
        <v>0.77455908060073853</v>
      </c>
      <c r="BW83" s="8" cm="1">
        <f t="array" ref="BW83">[1]!SLA(BN83,20,H27,Q27)</f>
        <v>0.81591814756393433</v>
      </c>
      <c r="BX83" s="8" cm="1">
        <f t="array" ref="BX83">[1]!SLA(BO83,20,I27,R27)</f>
        <v>0.73939812183380127</v>
      </c>
      <c r="BY83" s="8" cm="1">
        <f t="array" ref="BY83">[1]!SLA(BP83,20,J27,S27)</f>
        <v>0.77469420433044434</v>
      </c>
      <c r="BZ83" s="8" cm="1">
        <f t="array" ref="BZ83">[1]!SLA(BQ83,20,K27,T27)</f>
        <v>0.75633293390274048</v>
      </c>
      <c r="CB83" s="6">
        <v>0.41666666666666652</v>
      </c>
      <c r="CC83" s="8" cm="1">
        <f t="array" ref="CC83">[1]!Utilisation(BK83,E27,N27)</f>
        <v>0.72011047601699829</v>
      </c>
      <c r="CD83" s="8" cm="1">
        <f t="array" ref="CD83">[1]!Utilisation(BL83,F27,O27)</f>
        <v>0.72138625383377075</v>
      </c>
      <c r="CE83" s="8" cm="1">
        <f t="array" ref="CE83">[1]!Utilisation(BM83,G27,P27)</f>
        <v>0.71735388040542603</v>
      </c>
      <c r="CF83" s="8" cm="1">
        <f t="array" ref="CF83">[1]!Utilisation(BN83,H27,Q27)</f>
        <v>0.72427350282669067</v>
      </c>
      <c r="CG83" s="8" cm="1">
        <f t="array" ref="CG83">[1]!Utilisation(BO83,I27,R27)</f>
        <v>0.67827832698822021</v>
      </c>
      <c r="CH83" s="8" cm="1">
        <f t="array" ref="CH83">[1]!Utilisation(BP83,J27,S27)</f>
        <v>0.71715426445007324</v>
      </c>
      <c r="CI83" s="8" cm="1">
        <f t="array" ref="CI83">[1]!Utilisation(BQ83,K27,T27)</f>
        <v>0.73449039459228516</v>
      </c>
      <c r="CK83" s="6">
        <v>0.41666666666666652</v>
      </c>
      <c r="CL83" s="69" cm="1">
        <f t="array" ref="CL83">[1]!FractionalCallCapacity(BK83,BT83,20,N27)</f>
        <v>103</v>
      </c>
      <c r="CM83" s="69" cm="1">
        <f t="array" ref="CM83">[1]!FractionalCallCapacity(BL83,BU83,20,O27)</f>
        <v>102</v>
      </c>
      <c r="CN83" s="69" cm="1">
        <f t="array" ref="CN83">[1]!FractionalCallCapacity(BM83,BV83,20,P27)</f>
        <v>98</v>
      </c>
      <c r="CO83" s="69" cm="1">
        <f t="array" ref="CO83">[1]!FractionalCallCapacity(BN83,BW83,20,Q27)</f>
        <v>99</v>
      </c>
      <c r="CP83" s="69" cm="1">
        <f t="array" ref="CP83">[1]!FractionalCallCapacity(BO83,BX83,20,R27)</f>
        <v>71</v>
      </c>
      <c r="CQ83" s="69" cm="1">
        <f t="array" ref="CQ83">[1]!FractionalCallCapacity(BP83,BY83,20,S27)</f>
        <v>97</v>
      </c>
      <c r="CR83" s="69" cm="1">
        <f t="array" ref="CR83">[1]!FractionalCallCapacity(BQ83,BZ83,20,T27)</f>
        <v>109</v>
      </c>
      <c r="CT83" s="6">
        <v>0.41666666666666652</v>
      </c>
      <c r="CU83" s="72">
        <f t="shared" si="55"/>
        <v>3.5</v>
      </c>
      <c r="CV83" s="72">
        <f t="shared" si="56"/>
        <v>4.25</v>
      </c>
      <c r="CW83" s="72">
        <f t="shared" si="57"/>
        <v>3.75</v>
      </c>
      <c r="CX83" s="72">
        <f t="shared" si="58"/>
        <v>-0.5</v>
      </c>
      <c r="CY83" s="72">
        <f t="shared" si="59"/>
        <v>4.640625</v>
      </c>
      <c r="CZ83" s="72">
        <f t="shared" si="60"/>
        <v>3.375</v>
      </c>
      <c r="DA83" s="72">
        <f t="shared" si="61"/>
        <v>4.625</v>
      </c>
      <c r="DC83" s="6">
        <v>0.41666666666666652</v>
      </c>
      <c r="DD83" s="72">
        <f>'linear calc'!BF25 -'linear calc'!AN25</f>
        <v>1.2397889509621347</v>
      </c>
      <c r="DE83" s="72">
        <f>'linear calc'!BG25 -'linear calc'!AO25</f>
        <v>-0.4630582470208271</v>
      </c>
      <c r="DF83" s="72">
        <f>'linear calc'!BH25 -'linear calc'!AP25</f>
        <v>1.0406931964056483</v>
      </c>
      <c r="DG83" s="72">
        <f>'linear calc'!BI25 -'linear calc'!AQ25</f>
        <v>2.1161944243204793</v>
      </c>
      <c r="DH83" s="72">
        <f>'linear calc'!BJ25 -'linear calc'!AR25</f>
        <v>-4.0726303787428133</v>
      </c>
      <c r="DI83" s="72">
        <f>'linear calc'!BK25 -'linear calc'!AS25</f>
        <v>1.8888589287902917</v>
      </c>
      <c r="DJ83" s="72">
        <f>'linear calc'!BL25 -'linear calc'!AT25</f>
        <v>5.2082134667500517</v>
      </c>
      <c r="DL83" s="6">
        <v>0.41666666666666652</v>
      </c>
      <c r="DM83" s="75" cm="1">
        <f t="array" ref="DM83">[1]!asa(CR28,E27,N27)</f>
        <v>157</v>
      </c>
      <c r="DN83" s="75" cm="1">
        <f t="array" ref="DN83">[1]!asa(CS28,F27,O27)</f>
        <v>174</v>
      </c>
      <c r="DO83" s="75" cm="1">
        <f t="array" ref="DO83">[1]!asa(CT28,G27,P27)</f>
        <v>13</v>
      </c>
      <c r="DP83" s="75" cm="1">
        <f t="array" ref="DP83">[1]!asa(CU28,H27,Q27)</f>
        <v>9</v>
      </c>
      <c r="DQ83" s="75" cm="1">
        <f t="array" ref="DQ83">[1]!asa(CV28,I27,R27)</f>
        <v>22</v>
      </c>
      <c r="DR83" s="75" cm="1">
        <f t="array" ref="DR83">[1]!asa(CW28,J27,S27)</f>
        <v>149</v>
      </c>
      <c r="DS83" s="75" cm="1">
        <f t="array" ref="DS83">[1]!asa(CX28,K27,T27)</f>
        <v>64</v>
      </c>
      <c r="DU83" s="6">
        <v>0.41666666666666652</v>
      </c>
      <c r="DV83" s="8" cm="1">
        <f t="array" ref="DV83">[1]!Abandon(CR28,300,E27,N27)</f>
        <v>0.18692870438098907</v>
      </c>
      <c r="DW83" s="8" cm="1">
        <f t="array" ref="DW83">[1]!Abandon(CS28,300,F27,O27)</f>
        <v>0.21101251244544983</v>
      </c>
      <c r="DX83" s="8" cm="1">
        <f t="array" ref="DX83">[1]!Abandon(CT28,300,G27,P27)</f>
        <v>3.5311549436300993E-3</v>
      </c>
      <c r="DY83" s="8" cm="1">
        <f t="array" ref="DY83">[1]!Abandon(CU28,300,H27,Q27)</f>
        <v>1.7588625196367502E-3</v>
      </c>
      <c r="DZ83" s="8" cm="1">
        <f t="array" ref="DZ83">[1]!Abandon(CV28,300,I27,R27)</f>
        <v>1.3200443238019943E-2</v>
      </c>
      <c r="EA83" s="8" cm="1">
        <f t="array" ref="EA83">[1]!Abandon(CW28,300,J27,S27)</f>
        <v>0.17757900059223175</v>
      </c>
      <c r="EB83" s="8" cm="1">
        <f t="array" ref="EB83">[1]!Abandon(CX28,300,K27,T27)</f>
        <v>5.3156003355979919E-2</v>
      </c>
      <c r="ED83" s="6">
        <v>0.41666666666666652</v>
      </c>
      <c r="EE83" s="8">
        <f>1-ABS((('linear calc'!AN25 -'linear calc'!AW25) /'linear calc'!AN25))</f>
        <v>0.36452630433994404</v>
      </c>
      <c r="EF83" s="8">
        <f>1-ABS((('linear calc'!AO25 -'linear calc'!AX25) /'linear calc'!AO25))</f>
        <v>0.63588419133605345</v>
      </c>
      <c r="EG83" s="8">
        <f>1-ABS((('linear calc'!AP25 -'linear calc'!AY25) /'linear calc'!AP25))</f>
        <v>0.44281319755238924</v>
      </c>
      <c r="EH83" s="8">
        <f>1-ABS((('linear calc'!AQ25 -'linear calc'!AZ25) /'linear calc'!AQ25))</f>
        <v>0.30111495846121461</v>
      </c>
      <c r="EI83" s="8">
        <f>1-ABS((('linear calc'!AR25 -'linear calc'!BA25) /'linear calc'!AR25))</f>
        <v>0.98689476788011954</v>
      </c>
      <c r="EJ83" s="8">
        <f>1-ABS((('linear calc'!AS25 -'linear calc'!BB25) /'linear calc'!AS25))</f>
        <v>0.23034378050103033</v>
      </c>
      <c r="EK83" s="8">
        <f>1-ABS((('linear calc'!AT25 -'linear calc'!BC25) /'linear calc'!AT25))</f>
        <v>-0.54042771919440558</v>
      </c>
    </row>
    <row r="84" spans="3:141" x14ac:dyDescent="0.3">
      <c r="C84" s="6">
        <v>0.29166666666666663</v>
      </c>
      <c r="D84" s="7">
        <v>60</v>
      </c>
      <c r="E84" s="7">
        <v>49</v>
      </c>
      <c r="F84" s="7">
        <v>50</v>
      </c>
      <c r="G84" s="7">
        <v>49</v>
      </c>
      <c r="H84" s="7">
        <v>56</v>
      </c>
      <c r="I84" s="7">
        <v>32</v>
      </c>
      <c r="J84" s="7">
        <v>54</v>
      </c>
      <c r="AE84" s="6">
        <v>0.27083333333333331</v>
      </c>
      <c r="AF84" s="7">
        <f t="shared" si="64"/>
        <v>9.25025979583104</v>
      </c>
      <c r="AG84" s="7">
        <f t="shared" si="65"/>
        <v>5.3810086752471022</v>
      </c>
      <c r="AH84" s="7">
        <f t="shared" si="66"/>
        <v>5.6315789473684212</v>
      </c>
      <c r="AI84" s="7">
        <f t="shared" si="67"/>
        <v>7.3734932919384137</v>
      </c>
      <c r="AJ84" s="7">
        <f t="shared" si="68"/>
        <v>6.0210596433695427</v>
      </c>
      <c r="AK84" s="7">
        <f t="shared" si="69"/>
        <v>7.8373553576805604</v>
      </c>
      <c r="AL84" s="7">
        <f t="shared" si="70"/>
        <v>7.4135141861622689</v>
      </c>
      <c r="AW84" s="15">
        <v>0.52083333333333315</v>
      </c>
      <c r="AX84" s="10">
        <v>9.7999999999999989</v>
      </c>
      <c r="AY84" s="10">
        <v>9.7999999999999989</v>
      </c>
      <c r="AZ84" s="10">
        <v>12.6</v>
      </c>
      <c r="BA84" s="10">
        <v>13.299999999999999</v>
      </c>
      <c r="BB84" s="10">
        <v>9.1</v>
      </c>
      <c r="BC84" s="10">
        <v>9.7999999999999989</v>
      </c>
      <c r="BD84" s="10">
        <v>11.899999999999999</v>
      </c>
      <c r="BJ84" s="6">
        <v>0.43749999999999983</v>
      </c>
      <c r="BK84" s="68" cm="1">
        <f t="array" ref="BK84">[1]!FractionalAgents(82%,20,E28,N28)</f>
        <v>13.009465217590332</v>
      </c>
      <c r="BL84" s="68" cm="1">
        <f t="array" ref="BL84">[1]!FractionalAgents(82%,20,F28,O28)</f>
        <v>10.87125301361084</v>
      </c>
      <c r="BM84" s="68" cm="1">
        <f t="array" ref="BM84">[1]!FractionalAgents(82%,20,G28,P28)</f>
        <v>12.827784538269043</v>
      </c>
      <c r="BN84" s="68" cm="1">
        <f t="array" ref="BN84">[1]!FractionalAgents(82%,20,H28,Q28)</f>
        <v>12.766639709472656</v>
      </c>
      <c r="BO84" s="68" cm="1">
        <f t="array" ref="BO84">[1]!FractionalAgents(82%,20,I28,R28)</f>
        <v>10.155770301818848</v>
      </c>
      <c r="BP84" s="68" cm="1">
        <f t="array" ref="BP84">[1]!FractionalAgents(82%,20,J28,S28)</f>
        <v>11.48898983001709</v>
      </c>
      <c r="BQ84" s="68" cm="1">
        <f t="array" ref="BQ84">[1]!FractionalAgents(82%,20,K28,T28)</f>
        <v>13.344809532165527</v>
      </c>
      <c r="BS84" s="6">
        <v>0.43749999999999983</v>
      </c>
      <c r="BT84" s="8" cm="1">
        <f t="array" ref="BT84">[1]!SLA(BK84,20,E28,N28)</f>
        <v>0.81963175535202026</v>
      </c>
      <c r="BU84" s="8" cm="1">
        <f t="array" ref="BU84">[1]!SLA(BL84,20,F28,O28)</f>
        <v>0.7608182430267334</v>
      </c>
      <c r="BV84" s="8" cm="1">
        <f t="array" ref="BV84">[1]!SLA(BM84,20,G28,P28)</f>
        <v>0.77068501710891724</v>
      </c>
      <c r="BW84" s="8" cm="1">
        <f t="array" ref="BW84">[1]!SLA(BN84,20,H28,Q28)</f>
        <v>0.77583855390548706</v>
      </c>
      <c r="BX84" s="8" cm="1">
        <f t="array" ref="BX84">[1]!SLA(BO84,20,I28,R28)</f>
        <v>0.81257951259613037</v>
      </c>
      <c r="BY84" s="8" cm="1">
        <f t="array" ref="BY84">[1]!SLA(BP84,20,J28,S28)</f>
        <v>0.79398220777511597</v>
      </c>
      <c r="BZ84" s="8" cm="1">
        <f t="array" ref="BZ84">[1]!SLA(BQ84,20,K28,T28)</f>
        <v>0.80429369211196899</v>
      </c>
      <c r="CB84" s="6">
        <v>0.43749999999999983</v>
      </c>
      <c r="CC84" s="8" cm="1">
        <f t="array" ref="CC84">[1]!Utilisation(BK84,E28,N28)</f>
        <v>0.7356182336807251</v>
      </c>
      <c r="CD84" s="8" cm="1">
        <f t="array" ref="CD84">[1]!Utilisation(BL84,F28,O28)</f>
        <v>0.70779174566268921</v>
      </c>
      <c r="CE84" s="8" cm="1">
        <f t="array" ref="CE84">[1]!Utilisation(BM84,G28,P28)</f>
        <v>0.73064053058624268</v>
      </c>
      <c r="CF84" s="8" cm="1">
        <f t="array" ref="CF84">[1]!Utilisation(BN84,H28,Q28)</f>
        <v>0.72996234893798828</v>
      </c>
      <c r="CG84" s="8" cm="1">
        <f t="array" ref="CG84">[1]!Utilisation(BO84,I28,R28)</f>
        <v>0.6968306303024292</v>
      </c>
      <c r="CH84" s="8" cm="1">
        <f t="array" ref="CH84">[1]!Utilisation(BP84,J28,S28)</f>
        <v>0.7128564715385437</v>
      </c>
      <c r="CI84" s="8" cm="1">
        <f t="array" ref="CI84">[1]!Utilisation(BQ84,K28,T28)</f>
        <v>0.73474252223968506</v>
      </c>
      <c r="CK84" s="6">
        <v>0.43749999999999983</v>
      </c>
      <c r="CL84" s="69" cm="1">
        <f t="array" ref="CL84">[1]!FractionalCallCapacity(BK84,BT84,20,N28)</f>
        <v>108</v>
      </c>
      <c r="CM84" s="69" cm="1">
        <f t="array" ref="CM84">[1]!FractionalCallCapacity(BL84,BU84,20,O28)</f>
        <v>93</v>
      </c>
      <c r="CN84" s="69" cm="1">
        <f t="array" ref="CN84">[1]!FractionalCallCapacity(BM84,BV84,20,P28)</f>
        <v>107</v>
      </c>
      <c r="CO84" s="69" cm="1">
        <f t="array" ref="CO84">[1]!FractionalCallCapacity(BN84,BW84,20,Q28)</f>
        <v>109</v>
      </c>
      <c r="CP84" s="69" cm="1">
        <f t="array" ref="CP84">[1]!FractionalCallCapacity(BO84,BX84,20,R28)</f>
        <v>80</v>
      </c>
      <c r="CQ84" s="69" cm="1">
        <f t="array" ref="CQ84">[1]!FractionalCallCapacity(BP84,BY84,20,S28)</f>
        <v>93</v>
      </c>
      <c r="CR84" s="69" cm="1">
        <f t="array" ref="CR84">[1]!FractionalCallCapacity(BQ84,BZ84,20,T28)</f>
        <v>107</v>
      </c>
      <c r="CT84" s="6">
        <v>0.43749999999999983</v>
      </c>
      <c r="CU84" s="72">
        <f t="shared" si="55"/>
        <v>0</v>
      </c>
      <c r="CV84" s="72">
        <f t="shared" si="56"/>
        <v>4.5</v>
      </c>
      <c r="CW84" s="72">
        <f t="shared" si="57"/>
        <v>3.5</v>
      </c>
      <c r="CX84" s="72">
        <f t="shared" si="58"/>
        <v>3.5</v>
      </c>
      <c r="CY84" s="72">
        <f t="shared" si="59"/>
        <v>0.3854166666666714</v>
      </c>
      <c r="CZ84" s="72">
        <f t="shared" si="60"/>
        <v>2</v>
      </c>
      <c r="DA84" s="72">
        <f t="shared" si="61"/>
        <v>1</v>
      </c>
      <c r="DC84" s="6">
        <v>0.43749999999999983</v>
      </c>
      <c r="DD84" s="72">
        <f>'linear calc'!BF26 -'linear calc'!AN26</f>
        <v>-0.15648307187297306</v>
      </c>
      <c r="DE84" s="72">
        <f>'linear calc'!BG26 -'linear calc'!AO26</f>
        <v>1.0995169082125607</v>
      </c>
      <c r="DF84" s="72">
        <f>'linear calc'!BH26 -'linear calc'!AP26</f>
        <v>4.645315207250432</v>
      </c>
      <c r="DG84" s="72">
        <f>'linear calc'!BI26 -'linear calc'!AQ26</f>
        <v>4.8895771187927703</v>
      </c>
      <c r="DH84" s="72">
        <f>'linear calc'!BJ26 -'linear calc'!AR26</f>
        <v>-2.3805357614146239</v>
      </c>
      <c r="DI84" s="72">
        <f>'linear calc'!BK26 -'linear calc'!AS26</f>
        <v>1.6702338941854631</v>
      </c>
      <c r="DJ84" s="72">
        <f>'linear calc'!BL26 -'linear calc'!AT26</f>
        <v>1.5175685975609738</v>
      </c>
      <c r="DL84" s="6">
        <v>0.43749999999999983</v>
      </c>
      <c r="DM84" s="75" cm="1">
        <f t="array" ref="DM84">[1]!asa(CR29,E28,N28)</f>
        <v>1297</v>
      </c>
      <c r="DN84" s="75" cm="1">
        <f t="array" ref="DN84">[1]!asa(CS29,F28,O28)</f>
        <v>69</v>
      </c>
      <c r="DO84" s="75" cm="1">
        <f t="array" ref="DO84">[1]!asa(CT29,G28,P28)</f>
        <v>30</v>
      </c>
      <c r="DP84" s="75" cm="1">
        <f t="array" ref="DP84">[1]!asa(CU29,H28,Q28)</f>
        <v>15</v>
      </c>
      <c r="DQ84" s="75" cm="1">
        <f t="array" ref="DQ84">[1]!asa(CV29,I28,R28)</f>
        <v>62</v>
      </c>
      <c r="DR84" s="75" cm="1">
        <f t="array" ref="DR84">[1]!asa(CW29,J28,S28)</f>
        <v>116</v>
      </c>
      <c r="DS84" s="75" cm="1">
        <f t="array" ref="DS84">[1]!asa(CX29,K28,T28)</f>
        <v>81</v>
      </c>
      <c r="DU84" s="6">
        <v>0.43749999999999983</v>
      </c>
      <c r="DV84" s="8" cm="1">
        <f t="array" ref="DV84">[1]!Abandon(CR29,300,E28,N28)</f>
        <v>0.75317633152008057</v>
      </c>
      <c r="DW84" s="8" cm="1">
        <f t="array" ref="DW84">[1]!Abandon(CS29,300,F28,O28)</f>
        <v>6.1820559203624725E-2</v>
      </c>
      <c r="DX84" s="8" cm="1">
        <f t="array" ref="DX84">[1]!Abandon(CT29,300,G28,P28)</f>
        <v>1.5070714987814426E-2</v>
      </c>
      <c r="DY84" s="8" cm="1">
        <f t="array" ref="DY84">[1]!Abandon(CU29,300,H28,Q28)</f>
        <v>4.3116905726492405E-3</v>
      </c>
      <c r="DZ84" s="8" cm="1">
        <f t="array" ref="DZ84">[1]!Abandon(CV29,300,I28,R28)</f>
        <v>5.9010129421949387E-2</v>
      </c>
      <c r="EA84" s="8" cm="1">
        <f t="array" ref="EA84">[1]!Abandon(CW29,300,J28,S28)</f>
        <v>0.12989741563796997</v>
      </c>
      <c r="EB84" s="8" cm="1">
        <f t="array" ref="EB84">[1]!Abandon(CX29,300,K28,T28)</f>
        <v>7.7248997986316681E-2</v>
      </c>
      <c r="ED84" s="6">
        <v>0.43749999999999983</v>
      </c>
      <c r="EE84" s="8">
        <f>1-ABS((('linear calc'!AN26 -'linear calc'!AW26) /'linear calc'!AN26))</f>
        <v>0.5938810020628722</v>
      </c>
      <c r="EF84" s="8">
        <f>1-ABS((('linear calc'!AO26 -'linear calc'!AX26) /'linear calc'!AO26))</f>
        <v>0.39089394780677378</v>
      </c>
      <c r="EG84" s="8">
        <f>1-ABS((('linear calc'!AP26 -'linear calc'!AY26) /'linear calc'!AP26))</f>
        <v>-0.26281750552911975</v>
      </c>
      <c r="EH84" s="8">
        <f>1-ABS((('linear calc'!AQ26 -'linear calc'!AZ26) /'linear calc'!AQ26))</f>
        <v>-0.25910162525296809</v>
      </c>
      <c r="EI84" s="8">
        <f>1-ABS((('linear calc'!AR26 -'linear calc'!BA26) /'linear calc'!AR26))</f>
        <v>0.86764866464749824</v>
      </c>
      <c r="EJ84" s="8">
        <f>1-ABS((('linear calc'!AS26 -'linear calc'!BB26) /'linear calc'!AS26))</f>
        <v>0.27793323721982832</v>
      </c>
      <c r="EK84" s="8">
        <f>1-ABS((('linear calc'!AT26 -'linear calc'!BC26) /'linear calc'!AT26))</f>
        <v>0.36261860627305598</v>
      </c>
    </row>
    <row r="85" spans="3:141" x14ac:dyDescent="0.3">
      <c r="C85" s="6">
        <v>0.31249999999999994</v>
      </c>
      <c r="D85" s="7">
        <v>31</v>
      </c>
      <c r="E85" s="7">
        <v>48</v>
      </c>
      <c r="F85" s="7">
        <v>35</v>
      </c>
      <c r="G85" s="7">
        <v>57</v>
      </c>
      <c r="H85" s="7">
        <v>50</v>
      </c>
      <c r="I85" s="7">
        <v>57</v>
      </c>
      <c r="J85" s="7">
        <v>59</v>
      </c>
      <c r="AE85" s="6">
        <v>0.29166666666666663</v>
      </c>
      <c r="AF85" s="7">
        <f t="shared" si="64"/>
        <v>9.2462502966043481</v>
      </c>
      <c r="AG85" s="7">
        <f t="shared" si="65"/>
        <v>7.8931797651309843</v>
      </c>
      <c r="AH85" s="7">
        <f t="shared" si="66"/>
        <v>7.7516453735965927</v>
      </c>
      <c r="AI85" s="7">
        <f t="shared" si="67"/>
        <v>7.8075448307674558</v>
      </c>
      <c r="AJ85" s="7">
        <f t="shared" si="68"/>
        <v>8.742314304863477</v>
      </c>
      <c r="AK85" s="7">
        <f t="shared" si="69"/>
        <v>5.1986766620912954</v>
      </c>
      <c r="AL85" s="7">
        <f t="shared" si="70"/>
        <v>8.4328132101196775</v>
      </c>
      <c r="AW85" s="15">
        <v>0.54166666666666652</v>
      </c>
      <c r="AX85" s="10">
        <v>9.7999999999999989</v>
      </c>
      <c r="AY85" s="10">
        <v>9.7999999999999989</v>
      </c>
      <c r="AZ85" s="10">
        <v>12.6</v>
      </c>
      <c r="BA85" s="10">
        <v>13.299999999999999</v>
      </c>
      <c r="BB85" s="10">
        <v>9.1</v>
      </c>
      <c r="BC85" s="10">
        <v>9.7999999999999989</v>
      </c>
      <c r="BD85" s="10">
        <v>11.899999999999999</v>
      </c>
      <c r="BJ85" s="6">
        <v>0.45833333333333315</v>
      </c>
      <c r="BK85" s="68" cm="1">
        <f t="array" ref="BK85">[1]!FractionalAgents(82%,20,E29,N29)</f>
        <v>13.204610824584961</v>
      </c>
      <c r="BL85" s="68" cm="1">
        <f t="array" ref="BL85">[1]!FractionalAgents(82%,20,F29,O29)</f>
        <v>11.827354431152344</v>
      </c>
      <c r="BM85" s="68" cm="1">
        <f t="array" ref="BM85">[1]!FractionalAgents(82%,20,G29,P29)</f>
        <v>12.623096466064453</v>
      </c>
      <c r="BN85" s="68" cm="1">
        <f t="array" ref="BN85">[1]!FractionalAgents(82%,20,H29,Q29)</f>
        <v>12.424032211303711</v>
      </c>
      <c r="BO85" s="68" cm="1">
        <f t="array" ref="BO85">[1]!FractionalAgents(82%,20,I29,R29)</f>
        <v>9.847508430480957</v>
      </c>
      <c r="BP85" s="68" cm="1">
        <f t="array" ref="BP85">[1]!FractionalAgents(82%,20,J29,S29)</f>
        <v>13.135330200195313</v>
      </c>
      <c r="BQ85" s="68" cm="1">
        <f t="array" ref="BQ85">[1]!FractionalAgents(82%,20,K29,T29)</f>
        <v>12.270132064819336</v>
      </c>
      <c r="BS85" s="6">
        <v>0.45833333333333315</v>
      </c>
      <c r="BT85" s="8" cm="1">
        <f t="array" ref="BT85">[1]!SLA(BK85,20,E29,N29)</f>
        <v>0.81123489141464233</v>
      </c>
      <c r="BU85" s="8" cm="1">
        <f t="array" ref="BU85">[1]!SLA(BL85,20,F29,O29)</f>
        <v>0.76789170503616333</v>
      </c>
      <c r="BV85" s="8" cm="1">
        <f t="array" ref="BV85">[1]!SLA(BM85,20,G29,P29)</f>
        <v>0.78634494543075562</v>
      </c>
      <c r="BW85" s="8" cm="1">
        <f t="array" ref="BW85">[1]!SLA(BN85,20,H29,Q29)</f>
        <v>0.79925072193145752</v>
      </c>
      <c r="BX85" s="8" cm="1">
        <f t="array" ref="BX85">[1]!SLA(BO85,20,I29,R29)</f>
        <v>0.75892192125320435</v>
      </c>
      <c r="BY85" s="8" cm="1">
        <f t="array" ref="BY85">[1]!SLA(BP85,20,J29,S29)</f>
        <v>0.81434661149978638</v>
      </c>
      <c r="BZ85" s="8" cm="1">
        <f t="array" ref="BZ85">[1]!SLA(BQ85,20,K29,T29)</f>
        <v>0.8076244592666626</v>
      </c>
      <c r="CB85" s="6">
        <v>0.45833333333333315</v>
      </c>
      <c r="CC85" s="8" cm="1">
        <f t="array" ref="CC85">[1]!Utilisation(BK85,E29,N29)</f>
        <v>0.73423421382904053</v>
      </c>
      <c r="CD85" s="8" cm="1">
        <f t="array" ref="CD85">[1]!Utilisation(BL85,F29,O29)</f>
        <v>0.71860247850418091</v>
      </c>
      <c r="CE85" s="8" cm="1">
        <f t="array" ref="CE85">[1]!Utilisation(BM85,G29,P29)</f>
        <v>0.72677624225616455</v>
      </c>
      <c r="CF85" s="8" cm="1">
        <f t="array" ref="CF85">[1]!Utilisation(BN85,H29,Q29)</f>
        <v>0.72520738840103149</v>
      </c>
      <c r="CG85" s="8" cm="1">
        <f t="array" ref="CG85">[1]!Utilisation(BO85,I29,R29)</f>
        <v>0.69095820188522339</v>
      </c>
      <c r="CH85" s="8" cm="1">
        <f t="array" ref="CH85">[1]!Utilisation(BP85,J29,S29)</f>
        <v>0.73363685607910156</v>
      </c>
      <c r="CI85" s="8" cm="1">
        <f t="array" ref="CI85">[1]!Utilisation(BQ85,K29,T29)</f>
        <v>0.7237170934677124</v>
      </c>
      <c r="CK85" s="6">
        <v>0.45833333333333315</v>
      </c>
      <c r="CL85" s="69" cm="1">
        <f t="array" ref="CL85">[1]!FractionalCallCapacity(BK85,BT85,20,N29)</f>
        <v>105</v>
      </c>
      <c r="CM85" s="69" cm="1">
        <f t="array" ref="CM85">[1]!FractionalCallCapacity(BL85,BU85,20,O29)</f>
        <v>97</v>
      </c>
      <c r="CN85" s="69" cm="1">
        <f t="array" ref="CN85">[1]!FractionalCallCapacity(BM85,BV85,20,P29)</f>
        <v>103</v>
      </c>
      <c r="CO85" s="69" cm="1">
        <f t="array" ref="CO85">[1]!FractionalCallCapacity(BN85,BW85,20,Q29)</f>
        <v>103</v>
      </c>
      <c r="CP85" s="69" cm="1">
        <f t="array" ref="CP85">[1]!FractionalCallCapacity(BO85,BX85,20,R29)</f>
        <v>79</v>
      </c>
      <c r="CQ85" s="69" cm="1">
        <f t="array" ref="CQ85">[1]!FractionalCallCapacity(BP85,BY85,20,S29)</f>
        <v>101</v>
      </c>
      <c r="CR85" s="69" cm="1">
        <f t="array" ref="CR85">[1]!FractionalCallCapacity(BQ85,BZ85,20,T29)</f>
        <v>99</v>
      </c>
      <c r="CT85" s="6">
        <v>0.45833333333333315</v>
      </c>
      <c r="CU85" s="72">
        <f t="shared" si="55"/>
        <v>0.5</v>
      </c>
      <c r="CV85" s="72">
        <f t="shared" si="56"/>
        <v>4</v>
      </c>
      <c r="CW85" s="72">
        <f t="shared" si="57"/>
        <v>2</v>
      </c>
      <c r="CX85" s="72">
        <f t="shared" si="58"/>
        <v>1</v>
      </c>
      <c r="CY85" s="72">
        <f t="shared" si="59"/>
        <v>3.6302083333333286</v>
      </c>
      <c r="CZ85" s="72">
        <f t="shared" si="60"/>
        <v>-0.4375</v>
      </c>
      <c r="DA85" s="72">
        <f t="shared" si="61"/>
        <v>0.9375</v>
      </c>
      <c r="DC85" s="6">
        <v>0.45833333333333315</v>
      </c>
      <c r="DD85" s="72">
        <f>'linear calc'!BF27 -'linear calc'!AN27</f>
        <v>-0.38382113821138297</v>
      </c>
      <c r="DE85" s="72">
        <f>'linear calc'!BG27 -'linear calc'!AO27</f>
        <v>2.4408376123234907</v>
      </c>
      <c r="DF85" s="72">
        <f>'linear calc'!BH27 -'linear calc'!AP27</f>
        <v>4.6358174110708354</v>
      </c>
      <c r="DG85" s="72">
        <f>'linear calc'!BI27 -'linear calc'!AQ27</f>
        <v>4.4572131572131557</v>
      </c>
      <c r="DH85" s="72">
        <f>'linear calc'!BJ27 -'linear calc'!AR27</f>
        <v>0.73883803486945254</v>
      </c>
      <c r="DI85" s="72">
        <f>'linear calc'!BK27 -'linear calc'!AS27</f>
        <v>-1.3057332910991448</v>
      </c>
      <c r="DJ85" s="72">
        <f>'linear calc'!BL27 -'linear calc'!AT27</f>
        <v>3.5143763173742837</v>
      </c>
      <c r="DL85" s="6">
        <v>0.45833333333333315</v>
      </c>
      <c r="DM85" s="75" cm="1">
        <f t="array" ref="DM85">[1]!asa(CR30,E29,N29)</f>
        <v>3095</v>
      </c>
      <c r="DN85" s="75" cm="1">
        <f t="array" ref="DN85">[1]!asa(CS30,F29,O29)</f>
        <v>165</v>
      </c>
      <c r="DO85" s="75" cm="1">
        <f t="array" ref="DO85">[1]!asa(CT30,G29,P29)</f>
        <v>25</v>
      </c>
      <c r="DP85" s="75" cm="1">
        <f t="array" ref="DP85">[1]!asa(CU30,H29,Q29)</f>
        <v>11</v>
      </c>
      <c r="DQ85" s="75" cm="1">
        <f t="array" ref="DQ85">[1]!asa(CV30,I29,R29)</f>
        <v>47</v>
      </c>
      <c r="DR85" s="75" cm="1">
        <f t="array" ref="DR85">[1]!asa(CW30,J29,S29)</f>
        <v>1996</v>
      </c>
      <c r="DS85" s="75" cm="1">
        <f t="array" ref="DS85">[1]!asa(CX30,K29,T29)</f>
        <v>37</v>
      </c>
      <c r="DU85" s="6">
        <v>0.45833333333333315</v>
      </c>
      <c r="DV85" s="8" cm="1">
        <f t="array" ref="DV85">[1]!Abandon(CR30,300,E29,N29)</f>
        <v>0.88317275047302246</v>
      </c>
      <c r="DW85" s="8" cm="1">
        <f t="array" ref="DW85">[1]!Abandon(CS30,300,F29,O29)</f>
        <v>0.19897522032260895</v>
      </c>
      <c r="DX85" s="8" cm="1">
        <f t="array" ref="DX85">[1]!Abandon(CT30,300,G29,P29)</f>
        <v>1.1426505632698536E-2</v>
      </c>
      <c r="DY85" s="8" cm="1">
        <f t="array" ref="DY85">[1]!Abandon(CU30,300,H29,Q29)</f>
        <v>2.6560444384813309E-3</v>
      </c>
      <c r="DZ85" s="8" cm="1">
        <f t="array" ref="DZ85">[1]!Abandon(CV30,300,I29,R29)</f>
        <v>4.0156304836273193E-2</v>
      </c>
      <c r="EA85" s="8" cm="1">
        <f t="array" ref="EA85">[1]!Abandon(CW30,300,J29,S29)</f>
        <v>0.82634007930755615</v>
      </c>
      <c r="EB85" s="8" cm="1">
        <f t="array" ref="EB85">[1]!Abandon(CX30,300,K29,T29)</f>
        <v>2.1148094907402992E-2</v>
      </c>
      <c r="ED85" s="6">
        <v>0.45833333333333315</v>
      </c>
      <c r="EE85" s="8">
        <f>1-ABS((('linear calc'!AN27 -'linear calc'!AW27) /'linear calc'!AN27))</f>
        <v>0.62527043533102877</v>
      </c>
      <c r="EF85" s="8">
        <f>1-ABS((('linear calc'!AO27 -'linear calc'!AX27) /'linear calc'!AO27))</f>
        <v>9.760958347051929E-2</v>
      </c>
      <c r="EG85" s="8">
        <f>1-ABS((('linear calc'!AP27 -'linear calc'!AY27) /'linear calc'!AP27))</f>
        <v>-0.26011895119298312</v>
      </c>
      <c r="EH85" s="8">
        <f>1-ABS((('linear calc'!AQ27 -'linear calc'!AZ27) /'linear calc'!AQ27))</f>
        <v>-0.14864389901001696</v>
      </c>
      <c r="EI85" s="8">
        <f>1-ABS((('linear calc'!AR27 -'linear calc'!BA27) /'linear calc'!AR27))</f>
        <v>0.445192180917521</v>
      </c>
      <c r="EJ85" s="8">
        <f>1-ABS((('linear calc'!AS27 -'linear calc'!BB27) /'linear calc'!AS27))</f>
        <v>0.73938985990051553</v>
      </c>
      <c r="EK85" s="8">
        <f>1-ABS((('linear calc'!AT27 -'linear calc'!BC27) /'linear calc'!AT27))</f>
        <v>-2.7279143854562093E-2</v>
      </c>
    </row>
    <row r="86" spans="3:141" x14ac:dyDescent="0.3">
      <c r="C86" s="6">
        <v>0.33333333333333326</v>
      </c>
      <c r="D86" s="7">
        <v>39</v>
      </c>
      <c r="E86" s="7">
        <v>47</v>
      </c>
      <c r="F86" s="7">
        <v>48</v>
      </c>
      <c r="G86" s="7">
        <v>56</v>
      </c>
      <c r="H86" s="7">
        <v>52</v>
      </c>
      <c r="I86" s="7">
        <v>48</v>
      </c>
      <c r="J86" s="7">
        <v>39</v>
      </c>
      <c r="AE86" s="6">
        <v>0.31249999999999994</v>
      </c>
      <c r="AF86" s="7">
        <f t="shared" si="64"/>
        <v>4.6514655737216719</v>
      </c>
      <c r="AG86" s="7">
        <f t="shared" si="65"/>
        <v>7.7162477588714857</v>
      </c>
      <c r="AH86" s="7">
        <f t="shared" si="66"/>
        <v>5.6350452118382561</v>
      </c>
      <c r="AI86" s="7">
        <f t="shared" si="67"/>
        <v>8.7331591173054584</v>
      </c>
      <c r="AJ86" s="7">
        <f t="shared" si="68"/>
        <v>7.6611498257839719</v>
      </c>
      <c r="AK86" s="7">
        <f t="shared" si="69"/>
        <v>8.8768596869642149</v>
      </c>
      <c r="AL86" s="7">
        <f t="shared" si="70"/>
        <v>9.1182229158601125</v>
      </c>
      <c r="AW86" s="15">
        <v>0.56249999999999989</v>
      </c>
      <c r="AX86" s="10">
        <v>9.7999999999999989</v>
      </c>
      <c r="AY86" s="10">
        <v>9.7999999999999989</v>
      </c>
      <c r="AZ86" s="10">
        <v>12.6</v>
      </c>
      <c r="BA86" s="10">
        <v>13.299999999999999</v>
      </c>
      <c r="BB86" s="10">
        <v>9.1</v>
      </c>
      <c r="BC86" s="10">
        <v>9.7999999999999989</v>
      </c>
      <c r="BD86" s="10">
        <v>11.899999999999999</v>
      </c>
      <c r="BJ86" s="6">
        <v>0.47916666666666646</v>
      </c>
      <c r="BK86" s="68" cm="1">
        <f t="array" ref="BK86">[1]!FractionalAgents(82%,20,E30,N30)</f>
        <v>13.189414024353027</v>
      </c>
      <c r="BL86" s="68" cm="1">
        <f t="array" ref="BL86">[1]!FractionalAgents(82%,20,F30,O30)</f>
        <v>13.194374084472656</v>
      </c>
      <c r="BM86" s="68" cm="1">
        <f t="array" ref="BM86">[1]!FractionalAgents(82%,20,G30,P30)</f>
        <v>13.696075439453125</v>
      </c>
      <c r="BN86" s="68" cm="1">
        <f t="array" ref="BN86">[1]!FractionalAgents(82%,20,H30,Q30)</f>
        <v>12.835666656494141</v>
      </c>
      <c r="BO86" s="68" cm="1">
        <f t="array" ref="BO86">[1]!FractionalAgents(82%,20,I30,R30)</f>
        <v>10.159100532531738</v>
      </c>
      <c r="BP86" s="68" cm="1">
        <f t="array" ref="BP86">[1]!FractionalAgents(82%,20,J30,S30)</f>
        <v>13.299177169799805</v>
      </c>
      <c r="BQ86" s="68" cm="1">
        <f t="array" ref="BQ86">[1]!FractionalAgents(82%,20,K30,T30)</f>
        <v>12.986354827880859</v>
      </c>
      <c r="BS86" s="6">
        <v>0.47916666666666646</v>
      </c>
      <c r="BT86" s="8" cm="1">
        <f t="array" ref="BT86">[1]!SLA(BK86,20,E30,N30)</f>
        <v>0.81201082468032837</v>
      </c>
      <c r="BU86" s="8" cm="1">
        <f t="array" ref="BU86">[1]!SLA(BL86,20,F30,O30)</f>
        <v>0.81176626682281494</v>
      </c>
      <c r="BV86" s="8" cm="1">
        <f t="array" ref="BV86">[1]!SLA(BM86,20,G30,P30)</f>
        <v>0.78283882141113281</v>
      </c>
      <c r="BW86" s="8" cm="1">
        <f t="array" ref="BW86">[1]!SLA(BN86,20,H30,Q30)</f>
        <v>0.77006906270980835</v>
      </c>
      <c r="BX86" s="8" cm="1">
        <f t="array" ref="BX86">[1]!SLA(BO86,20,I30,R30)</f>
        <v>0.81239372491836548</v>
      </c>
      <c r="BY86" s="8" cm="1">
        <f t="array" ref="BY86">[1]!SLA(BP86,20,J30,S30)</f>
        <v>0.80665427446365356</v>
      </c>
      <c r="BZ86" s="8" cm="1">
        <f t="array" ref="BZ86">[1]!SLA(BQ86,20,K30,T30)</f>
        <v>0.75623255968093872</v>
      </c>
      <c r="CB86" s="6">
        <v>0.47916666666666646</v>
      </c>
      <c r="CC86" s="8" cm="1">
        <f t="array" ref="CC86">[1]!Utilisation(BK86,E30,N30)</f>
        <v>0.73520129919052124</v>
      </c>
      <c r="CD86" s="8" cm="1">
        <f t="array" ref="CD86">[1]!Utilisation(BL86,F30,O30)</f>
        <v>0.73497235774993896</v>
      </c>
      <c r="CE86" s="8" cm="1">
        <f t="array" ref="CE86">[1]!Utilisation(BM86,G30,P30)</f>
        <v>0.73845160007476807</v>
      </c>
      <c r="CF86" s="8" cm="1">
        <f t="array" ref="CF86">[1]!Utilisation(BN86,H30,Q30)</f>
        <v>0.73097103834152222</v>
      </c>
      <c r="CG86" s="8" cm="1">
        <f t="array" ref="CG86">[1]!Utilisation(BO86,I30,R30)</f>
        <v>0.69660109281539917</v>
      </c>
      <c r="CH86" s="8" cm="1">
        <f t="array" ref="CH86">[1]!Utilisation(BP86,J30,S30)</f>
        <v>0.73461621999740601</v>
      </c>
      <c r="CI86" s="8" cm="1">
        <f t="array" ref="CI86">[1]!Utilisation(BQ86,K30,T30)</f>
        <v>0.73403036594390869</v>
      </c>
      <c r="CK86" s="6">
        <v>0.47916666666666646</v>
      </c>
      <c r="CL86" s="69" cm="1">
        <f t="array" ref="CL86">[1]!FractionalCallCapacity(BK86,BT86,20,N30)</f>
        <v>109</v>
      </c>
      <c r="CM86" s="69" cm="1">
        <f t="array" ref="CM86">[1]!FractionalCallCapacity(BL86,BU86,20,O30)</f>
        <v>108</v>
      </c>
      <c r="CN86" s="69" cm="1">
        <f t="array" ref="CN86">[1]!FractionalCallCapacity(BM86,BV86,20,P30)</f>
        <v>113</v>
      </c>
      <c r="CO86" s="69" cm="1">
        <f t="array" ref="CO86">[1]!FractionalCallCapacity(BN86,BW86,20,Q30)</f>
        <v>108</v>
      </c>
      <c r="CP86" s="69" cm="1">
        <f t="array" ref="CP86">[1]!FractionalCallCapacity(BO86,BX86,20,R30)</f>
        <v>79</v>
      </c>
      <c r="CQ86" s="69" cm="1">
        <f t="array" ref="CQ86">[1]!FractionalCallCapacity(BP86,BY86,20,S30)</f>
        <v>107</v>
      </c>
      <c r="CR86" s="69" cm="1">
        <f t="array" ref="CR86">[1]!FractionalCallCapacity(BQ86,BZ86,20,T30)</f>
        <v>107</v>
      </c>
      <c r="CT86" s="6">
        <v>0.47916666666666646</v>
      </c>
      <c r="CU86" s="72">
        <f t="shared" si="55"/>
        <v>0.25</v>
      </c>
      <c r="CV86" s="72">
        <f t="shared" si="56"/>
        <v>0.25</v>
      </c>
      <c r="CW86" s="72">
        <f t="shared" si="57"/>
        <v>3</v>
      </c>
      <c r="CX86" s="72">
        <f t="shared" si="58"/>
        <v>3.75</v>
      </c>
      <c r="CY86" s="72">
        <f t="shared" si="59"/>
        <v>0.125</v>
      </c>
      <c r="CZ86" s="72">
        <f t="shared" si="60"/>
        <v>1.0625</v>
      </c>
      <c r="DA86" s="72">
        <f t="shared" si="61"/>
        <v>4.5625</v>
      </c>
      <c r="DC86" s="6">
        <v>0.47916666666666646</v>
      </c>
      <c r="DD86" s="72">
        <f>'linear calc'!BF28 -'linear calc'!AN28</f>
        <v>0.66548790937780744</v>
      </c>
      <c r="DE86" s="72">
        <f>'linear calc'!BG28 -'linear calc'!AO28</f>
        <v>-9.2812216087777344E-2</v>
      </c>
      <c r="DF86" s="72">
        <f>'linear calc'!BH28 -'linear calc'!AP28</f>
        <v>5.8697682145090679</v>
      </c>
      <c r="DG86" s="72">
        <f>'linear calc'!BI28 -'linear calc'!AQ28</f>
        <v>3.6472639406197001</v>
      </c>
      <c r="DH86" s="72">
        <f>'linear calc'!BJ28 -'linear calc'!AR28</f>
        <v>1.6610499899748392</v>
      </c>
      <c r="DI86" s="72">
        <f>'linear calc'!BK28 -'linear calc'!AS28</f>
        <v>1.0177416225236229</v>
      </c>
      <c r="DJ86" s="72">
        <f>'linear calc'!BL28 -'linear calc'!AT28</f>
        <v>1.4520121633141212</v>
      </c>
      <c r="DL86" s="6">
        <v>0.47916666666666646</v>
      </c>
      <c r="DM86" s="75" cm="1">
        <f t="array" ref="DM86">[1]!asa(CR31,E30,N30)</f>
        <v>3022</v>
      </c>
      <c r="DN86" s="75" cm="1">
        <f t="array" ref="DN86">[1]!asa(CS31,F30,O30)</f>
        <v>3069</v>
      </c>
      <c r="DO86" s="75" cm="1">
        <f t="array" ref="DO86">[1]!asa(CT31,G30,P30)</f>
        <v>56</v>
      </c>
      <c r="DP86" s="75" cm="1">
        <f t="array" ref="DP86">[1]!asa(CU31,H30,Q30)</f>
        <v>16</v>
      </c>
      <c r="DQ86" s="75" cm="1">
        <f t="array" ref="DQ86">[1]!asa(CV31,I30,R30)</f>
        <v>63</v>
      </c>
      <c r="DR86" s="75" cm="1">
        <f t="array" ref="DR86">[1]!asa(CW31,J30,S30)</f>
        <v>10896</v>
      </c>
      <c r="DS86" s="75" cm="1">
        <f t="array" ref="DS86">[1]!asa(CX31,K30,T30)</f>
        <v>65</v>
      </c>
      <c r="DU86" s="6">
        <v>0.47916666666666646</v>
      </c>
      <c r="DV86" s="8" cm="1">
        <f t="array" ref="DV86">[1]!Abandon(CR31,300,E30,N30)</f>
        <v>0.88153928518295288</v>
      </c>
      <c r="DW86" s="8" cm="1">
        <f t="array" ref="DW86">[1]!Abandon(CS31,300,F30,O30)</f>
        <v>0.88299840688705444</v>
      </c>
      <c r="DX86" s="8" cm="1">
        <f t="array" ref="DX86">[1]!Abandon(CT31,300,G30,P30)</f>
        <v>4.3911311775445938E-2</v>
      </c>
      <c r="DY86" s="8" cm="1">
        <f t="array" ref="DY86">[1]!Abandon(CU31,300,H30,Q30)</f>
        <v>5.0912769511342049E-3</v>
      </c>
      <c r="DZ86" s="8" cm="1">
        <f t="array" ref="DZ86">[1]!Abandon(CV31,300,I30,R30)</f>
        <v>6.0057852417230606E-2</v>
      </c>
      <c r="EA86" s="8" cm="1">
        <f t="array" ref="EA86">[1]!Abandon(CW31,300,J30,S30)</f>
        <v>0.96470558643341064</v>
      </c>
      <c r="EB86" s="8" cm="1">
        <f t="array" ref="EB86">[1]!Abandon(CX31,300,K30,T30)</f>
        <v>5.4788142442703247E-2</v>
      </c>
      <c r="ED86" s="6">
        <v>0.47916666666666646</v>
      </c>
      <c r="EE86" s="8">
        <f>1-ABS((('linear calc'!AN28 -'linear calc'!AW28) /'linear calc'!AN28))</f>
        <v>0.46735108989861784</v>
      </c>
      <c r="EF86" s="8">
        <f>1-ABS((('linear calc'!AO28 -'linear calc'!AX28) /'linear calc'!AO28))</f>
        <v>0.5848311183716719</v>
      </c>
      <c r="EG86" s="8">
        <f>1-ABS((('linear calc'!AP28 -'linear calc'!AY28) /'linear calc'!AP28))</f>
        <v>-0.67449927041212643</v>
      </c>
      <c r="EH86" s="8">
        <f>1-ABS((('linear calc'!AQ28 -'linear calc'!AZ28) /'linear calc'!AQ28))</f>
        <v>3.1646169218907394E-2</v>
      </c>
      <c r="EI86" s="8">
        <f>1-ABS((('linear calc'!AR28 -'linear calc'!BA28) /'linear calc'!AR28))</f>
        <v>0.25244154316396183</v>
      </c>
      <c r="EJ86" s="8">
        <f>1-ABS((('linear calc'!AS28 -'linear calc'!BB28) /'linear calc'!AS28))</f>
        <v>0.40587700813888294</v>
      </c>
      <c r="EK86" s="8">
        <f>1-ABS((('linear calc'!AT28 -'linear calc'!BC28) /'linear calc'!AT28))</f>
        <v>0.37289243960371665</v>
      </c>
    </row>
    <row r="87" spans="3:141" x14ac:dyDescent="0.3">
      <c r="C87" s="6">
        <v>0.35416666666666657</v>
      </c>
      <c r="D87" s="7">
        <v>47</v>
      </c>
      <c r="E87" s="7">
        <v>50</v>
      </c>
      <c r="F87" s="7">
        <v>42</v>
      </c>
      <c r="G87" s="7">
        <v>43</v>
      </c>
      <c r="H87" s="7">
        <v>36</v>
      </c>
      <c r="I87" s="7">
        <v>59</v>
      </c>
      <c r="J87" s="7">
        <v>35</v>
      </c>
      <c r="AE87" s="6">
        <v>0.33333333333333326</v>
      </c>
      <c r="AF87" s="7">
        <f t="shared" si="64"/>
        <v>6.0796178523505064</v>
      </c>
      <c r="AG87" s="7">
        <f t="shared" si="65"/>
        <v>7.5699477351916364</v>
      </c>
      <c r="AH87" s="7">
        <f t="shared" si="66"/>
        <v>7.4336912465334564</v>
      </c>
      <c r="AI87" s="7">
        <f t="shared" si="67"/>
        <v>9.0710474115050435</v>
      </c>
      <c r="AJ87" s="7">
        <f t="shared" si="68"/>
        <v>8.4680955900468078</v>
      </c>
      <c r="AK87" s="7">
        <f t="shared" si="69"/>
        <v>7.3784954882515859</v>
      </c>
      <c r="AL87" s="7">
        <f t="shared" si="70"/>
        <v>6.1129065040650401</v>
      </c>
      <c r="AW87" s="15">
        <v>0.58333333333333326</v>
      </c>
      <c r="AX87" s="10">
        <v>9.1</v>
      </c>
      <c r="AY87" s="10">
        <v>11.2</v>
      </c>
      <c r="AZ87" s="10">
        <v>9.1</v>
      </c>
      <c r="BA87" s="10">
        <v>10.5</v>
      </c>
      <c r="BB87" s="10">
        <v>9.1</v>
      </c>
      <c r="BC87" s="10">
        <v>8.3999999999999986</v>
      </c>
      <c r="BD87" s="10">
        <v>11.2</v>
      </c>
      <c r="BJ87" s="14">
        <v>0.49999999999999978</v>
      </c>
      <c r="BK87" s="68" cm="1">
        <f t="array" ref="BK87">[1]!FractionalAgents(82%,20,E31,N31)</f>
        <v>12.176661491394043</v>
      </c>
      <c r="BL87" s="68" cm="1">
        <f t="array" ref="BL87">[1]!FractionalAgents(82%,20,F31,O31)</f>
        <v>12.395293235778809</v>
      </c>
      <c r="BM87" s="68" cm="1">
        <f t="array" ref="BM87">[1]!FractionalAgents(82%,20,G31,P31)</f>
        <v>12.159801483154297</v>
      </c>
      <c r="BN87" s="68" cm="1">
        <f t="array" ref="BN87">[1]!FractionalAgents(82%,20,H31,Q31)</f>
        <v>11.804718017578125</v>
      </c>
      <c r="BO87" s="68" cm="1">
        <f t="array" ref="BO87">[1]!FractionalAgents(82%,20,I31,R31)</f>
        <v>10.616582870483398</v>
      </c>
      <c r="BP87" s="68" cm="1">
        <f t="array" ref="BP87">[1]!FractionalAgents(82%,20,J31,S31)</f>
        <v>12.474187850952148</v>
      </c>
      <c r="BQ87" s="68" cm="1">
        <f t="array" ref="BQ87">[1]!FractionalAgents(82%,20,K31,T31)</f>
        <v>12.38819408416748</v>
      </c>
      <c r="BS87" s="14">
        <v>0.49999999999999978</v>
      </c>
      <c r="BT87" s="8" cm="1">
        <f t="array" ref="BT87">[1]!SLA(BK87,20,E31,N31)</f>
        <v>0.81228017807006836</v>
      </c>
      <c r="BU87" s="8" cm="1">
        <f t="array" ref="BU87">[1]!SLA(BL87,20,F31,O31)</f>
        <v>0.80087810754776001</v>
      </c>
      <c r="BV87" s="8" cm="1">
        <f t="array" ref="BV87">[1]!SLA(BM87,20,G31,P31)</f>
        <v>0.81299948692321777</v>
      </c>
      <c r="BW87" s="8" cm="1">
        <f t="array" ref="BW87">[1]!SLA(BN87,20,H31,Q31)</f>
        <v>0.76988863945007324</v>
      </c>
      <c r="BX87" s="8" cm="1">
        <f t="array" ref="BX87">[1]!SLA(BO87,20,I31,R31)</f>
        <v>0.78303992748260498</v>
      </c>
      <c r="BY87" s="8" cm="1">
        <f t="array" ref="BY87">[1]!SLA(BP87,20,J31,S31)</f>
        <v>0.79613339900970459</v>
      </c>
      <c r="BZ87" s="8" cm="1">
        <f t="array" ref="BZ87">[1]!SLA(BQ87,20,K31,T31)</f>
        <v>0.80133038759231567</v>
      </c>
      <c r="CB87" s="14">
        <v>0.49999999999999978</v>
      </c>
      <c r="CC87" s="8" cm="1">
        <f t="array" ref="CC87">[1]!Utilisation(BK87,E31,N31)</f>
        <v>0.72407406568527222</v>
      </c>
      <c r="CD87" s="8" cm="1">
        <f t="array" ref="CD87">[1]!Utilisation(BL87,F31,O31)</f>
        <v>0.72475427389144897</v>
      </c>
      <c r="CE87" s="8" cm="1">
        <f t="array" ref="CE87">[1]!Utilisation(BM87,G31,P31)</f>
        <v>0.72293072938919067</v>
      </c>
      <c r="CF87" s="8" cm="1">
        <f t="array" ref="CF87">[1]!Utilisation(BN87,H31,Q31)</f>
        <v>0.71804505586624146</v>
      </c>
      <c r="CG87" s="8" cm="1">
        <f t="array" ref="CG87">[1]!Utilisation(BO87,I31,R31)</f>
        <v>0.70054054260253906</v>
      </c>
      <c r="CH87" s="8" cm="1">
        <f t="array" ref="CH87">[1]!Utilisation(BP87,J31,S31)</f>
        <v>0.72503608465194702</v>
      </c>
      <c r="CI87" s="8" cm="1">
        <f t="array" ref="CI87">[1]!Utilisation(BQ87,K31,T31)</f>
        <v>0.7250182032585144</v>
      </c>
      <c r="CK87" s="14">
        <v>0.49999999999999978</v>
      </c>
      <c r="CL87" s="69" cm="1">
        <f t="array" ref="CL87">[1]!FractionalCallCapacity(BK87,BT87,20,N31)</f>
        <v>100</v>
      </c>
      <c r="CM87" s="69" cm="1">
        <f t="array" ref="CM87">[1]!FractionalCallCapacity(BL87,BU87,20,O31)</f>
        <v>102</v>
      </c>
      <c r="CN87" s="69" cm="1">
        <f t="array" ref="CN87">[1]!FractionalCallCapacity(BM87,BV87,20,P31)</f>
        <v>95</v>
      </c>
      <c r="CO87" s="69" cm="1">
        <f t="array" ref="CO87">[1]!FractionalCallCapacity(BN87,BW87,20,Q31)</f>
        <v>96</v>
      </c>
      <c r="CP87" s="69" cm="1">
        <f t="array" ref="CP87">[1]!FractionalCallCapacity(BO87,BX87,20,R31)</f>
        <v>85</v>
      </c>
      <c r="CQ87" s="69" cm="1">
        <f t="array" ref="CQ87">[1]!FractionalCallCapacity(BP87,BY87,20,S31)</f>
        <v>101</v>
      </c>
      <c r="CR87" s="69" cm="1">
        <f t="array" ref="CR87">[1]!FractionalCallCapacity(BQ87,BZ87,20,T31)</f>
        <v>103</v>
      </c>
      <c r="CT87" s="14">
        <v>0.49999999999999978</v>
      </c>
      <c r="CU87" s="72">
        <f t="shared" si="55"/>
        <v>0.5</v>
      </c>
      <c r="CV87" s="72">
        <f t="shared" si="56"/>
        <v>1.25</v>
      </c>
      <c r="CW87" s="72">
        <f t="shared" si="57"/>
        <v>0.25</v>
      </c>
      <c r="CX87" s="72">
        <f t="shared" si="58"/>
        <v>3.25</v>
      </c>
      <c r="CY87" s="72">
        <f t="shared" si="59"/>
        <v>2.8697916666666714</v>
      </c>
      <c r="CZ87" s="72">
        <f t="shared" si="60"/>
        <v>1.125</v>
      </c>
      <c r="DA87" s="72">
        <f t="shared" si="61"/>
        <v>1</v>
      </c>
      <c r="DC87" s="14">
        <v>0.49999999999999978</v>
      </c>
      <c r="DD87" s="72">
        <f>'linear calc'!BF29 -'linear calc'!AN29</f>
        <v>-1.0039747064137323</v>
      </c>
      <c r="DE87" s="72">
        <f>'linear calc'!BG29 -'linear calc'!AO29</f>
        <v>0.65399103331402664</v>
      </c>
      <c r="DF87" s="72">
        <f>'linear calc'!BH29 -'linear calc'!AP29</f>
        <v>5.3571352848514708</v>
      </c>
      <c r="DG87" s="72">
        <f>'linear calc'!BI29 -'linear calc'!AQ29</f>
        <v>4.8297447885420315</v>
      </c>
      <c r="DH87" s="72">
        <f>'linear calc'!BJ29 -'linear calc'!AR29</f>
        <v>-0.16840822671792566</v>
      </c>
      <c r="DI87" s="72">
        <f>'linear calc'!BK29 -'linear calc'!AS29</f>
        <v>-1.2411442899475738</v>
      </c>
      <c r="DJ87" s="72">
        <f>'linear calc'!BL29 -'linear calc'!AT29</f>
        <v>3.9542155145308335</v>
      </c>
      <c r="DL87" s="14">
        <v>0.49999999999999978</v>
      </c>
      <c r="DM87" s="75" cm="1">
        <f t="array" ref="DM87">[1]!asa(CR32,E31,N31)</f>
        <v>237</v>
      </c>
      <c r="DN87" s="75" cm="1">
        <f t="array" ref="DN87">[1]!asa(CS32,F31,O31)</f>
        <v>305</v>
      </c>
      <c r="DO87" s="75" cm="1">
        <f t="array" ref="DO87">[1]!asa(CT32,G31,P31)</f>
        <v>19</v>
      </c>
      <c r="DP87" s="75" cm="1">
        <f t="array" ref="DP87">[1]!asa(CU32,H31,Q31)</f>
        <v>7</v>
      </c>
      <c r="DQ87" s="75" cm="1">
        <f t="array" ref="DQ87">[1]!asa(CV32,I31,R31)</f>
        <v>94</v>
      </c>
      <c r="DR87" s="75" cm="1">
        <f t="array" ref="DR87">[1]!asa(CW32,J31,S31)</f>
        <v>341</v>
      </c>
      <c r="DS87" s="75" cm="1">
        <f t="array" ref="DS87">[1]!asa(CX32,K31,T31)</f>
        <v>39</v>
      </c>
      <c r="DU87" s="14">
        <v>0.49999999999999978</v>
      </c>
      <c r="DV87" s="8" cm="1">
        <f t="array" ref="DV87">[1]!Abandon(CR32,300,E31,N31)</f>
        <v>0.29034829139709473</v>
      </c>
      <c r="DW87" s="8" cm="1">
        <f t="array" ref="DW87">[1]!Abandon(CS32,300,F31,O31)</f>
        <v>0.36157083511352539</v>
      </c>
      <c r="DX87" s="8" cm="1">
        <f t="array" ref="DX87">[1]!Abandon(CT32,300,G31,P31)</f>
        <v>6.9823330268263817E-3</v>
      </c>
      <c r="DY87" s="8" cm="1">
        <f t="array" ref="DY87">[1]!Abandon(CU32,300,H31,Q31)</f>
        <v>1.2991208350285888E-3</v>
      </c>
      <c r="DZ87" s="8" cm="1">
        <f t="array" ref="DZ87">[1]!Abandon(CV32,300,I31,R31)</f>
        <v>0.103878453373909</v>
      </c>
      <c r="EA87" s="8" cm="1">
        <f t="array" ref="EA87">[1]!Abandon(CW32,300,J31,S31)</f>
        <v>0.39485496282577515</v>
      </c>
      <c r="EB87" s="8" cm="1">
        <f t="array" ref="EB87">[1]!Abandon(CX32,300,K31,T31)</f>
        <v>2.2584114223718643E-2</v>
      </c>
      <c r="ED87" s="14">
        <v>0.49999999999999978</v>
      </c>
      <c r="EE87" s="8">
        <f>1-ABS((('linear calc'!AN29 -'linear calc'!AW29) /'linear calc'!AN29))</f>
        <v>0.70418060200668897</v>
      </c>
      <c r="EF87" s="8">
        <f>1-ABS((('linear calc'!AO29 -'linear calc'!AX29) /'linear calc'!AO29))</f>
        <v>0.46927768702233663</v>
      </c>
      <c r="EG87" s="8">
        <f>1-ABS((('linear calc'!AP29 -'linear calc'!AY29) /'linear calc'!AP29))</f>
        <v>-0.48520450235012791</v>
      </c>
      <c r="EH87" s="8">
        <f>1-ABS((('linear calc'!AQ29 -'linear calc'!AZ29) /'linear calc'!AQ29))</f>
        <v>-0.24314374545623285</v>
      </c>
      <c r="EI87" s="8">
        <f>1-ABS((('linear calc'!AR29 -'linear calc'!BA29) /'linear calc'!AR29))</f>
        <v>0.59738590683510662</v>
      </c>
      <c r="EJ87" s="8">
        <f>1-ABS((('linear calc'!AS29 -'linear calc'!BB29) /'linear calc'!AS29))</f>
        <v>0.73201548387096782</v>
      </c>
      <c r="EK87" s="8">
        <f>1-ABS((('linear calc'!AT29 -'linear calc'!BC29) /'linear calc'!AT29))</f>
        <v>-0.13949925662956386</v>
      </c>
    </row>
    <row r="88" spans="3:141" x14ac:dyDescent="0.3">
      <c r="C88" s="6">
        <v>0.37499999999999989</v>
      </c>
      <c r="D88" s="7">
        <v>47</v>
      </c>
      <c r="E88" s="7">
        <v>50</v>
      </c>
      <c r="F88" s="7">
        <v>43</v>
      </c>
      <c r="G88" s="7">
        <v>31</v>
      </c>
      <c r="H88" s="7">
        <v>36</v>
      </c>
      <c r="I88" s="7">
        <v>60</v>
      </c>
      <c r="J88" s="7">
        <v>55</v>
      </c>
      <c r="AE88" s="6">
        <v>0.35416666666666657</v>
      </c>
      <c r="AF88" s="7">
        <f t="shared" si="64"/>
        <v>7.2478928917729535</v>
      </c>
      <c r="AG88" s="7">
        <f t="shared" si="65"/>
        <v>7.7729477500818964</v>
      </c>
      <c r="AH88" s="7">
        <f t="shared" si="66"/>
        <v>6.5047501598611488</v>
      </c>
      <c r="AI88" s="7">
        <f t="shared" si="67"/>
        <v>6.8954684080368498</v>
      </c>
      <c r="AJ88" s="7">
        <f t="shared" si="68"/>
        <v>5.7321868107278711</v>
      </c>
      <c r="AK88" s="7">
        <f t="shared" si="69"/>
        <v>9.2348105400696863</v>
      </c>
      <c r="AL88" s="7">
        <f t="shared" si="70"/>
        <v>5.5133005277421185</v>
      </c>
      <c r="AW88" s="15">
        <v>0.60416666666666663</v>
      </c>
      <c r="AX88" s="10">
        <v>9.1</v>
      </c>
      <c r="AY88" s="10">
        <v>11.2</v>
      </c>
      <c r="AZ88" s="10">
        <v>9.1</v>
      </c>
      <c r="BA88" s="10">
        <v>10.5</v>
      </c>
      <c r="BB88" s="10">
        <v>9.1</v>
      </c>
      <c r="BC88" s="10">
        <v>8.3999999999999986</v>
      </c>
      <c r="BD88" s="10">
        <v>11.2</v>
      </c>
      <c r="BJ88" s="15">
        <v>0.52083333333333315</v>
      </c>
      <c r="BK88" s="68" cm="1">
        <f t="array" ref="BK88">[1]!FractionalAgents(82%,20,E32,N32)</f>
        <v>11.700318336486816</v>
      </c>
      <c r="BL88" s="68" cm="1">
        <f t="array" ref="BL88">[1]!FractionalAgents(82%,20,F32,O32)</f>
        <v>11.977476119995117</v>
      </c>
      <c r="BM88" s="68" cm="1">
        <f t="array" ref="BM88">[1]!FractionalAgents(82%,20,G32,P32)</f>
        <v>11.76554012298584</v>
      </c>
      <c r="BN88" s="68" cm="1">
        <f t="array" ref="BN88">[1]!FractionalAgents(82%,20,H32,Q32)</f>
        <v>11.448587417602539</v>
      </c>
      <c r="BO88" s="68" cm="1">
        <f t="array" ref="BO88">[1]!FractionalAgents(82%,20,I32,R32)</f>
        <v>9.0414190292358398</v>
      </c>
      <c r="BP88" s="68" cm="1">
        <f t="array" ref="BP88">[1]!FractionalAgents(82%,20,J32,S32)</f>
        <v>11.576772689819336</v>
      </c>
      <c r="BQ88" s="68" cm="1">
        <f t="array" ref="BQ88">[1]!FractionalAgents(82%,20,K32,T32)</f>
        <v>12.078287124633789</v>
      </c>
      <c r="BS88" s="15">
        <v>0.52083333333333315</v>
      </c>
      <c r="BT88" s="8" cm="1">
        <f t="array" ref="BT88">[1]!SLA(BK88,20,E32,N32)</f>
        <v>0.77875429391860962</v>
      </c>
      <c r="BU88" s="8" cm="1">
        <f t="array" ref="BU88">[1]!SLA(BL88,20,F32,O32)</f>
        <v>0.75380659103393555</v>
      </c>
      <c r="BV88" s="8" cm="1">
        <f t="array" ref="BV88">[1]!SLA(BM88,20,G32,P32)</f>
        <v>0.77333682775497437</v>
      </c>
      <c r="BW88" s="8" cm="1">
        <f t="array" ref="BW88">[1]!SLA(BN88,20,H32,Q32)</f>
        <v>0.79670053720474243</v>
      </c>
      <c r="BX88" s="8" cm="1">
        <f t="array" ref="BX88">[1]!SLA(BO88,20,I32,R32)</f>
        <v>0.81803536415100098</v>
      </c>
      <c r="BY88" s="8" cm="1">
        <f t="array" ref="BY88">[1]!SLA(BP88,20,J32,S32)</f>
        <v>0.78811997175216675</v>
      </c>
      <c r="BZ88" s="8" cm="1">
        <f t="array" ref="BZ88">[1]!SLA(BQ88,20,K32,T32)</f>
        <v>0.81674528121948242</v>
      </c>
      <c r="CB88" s="15">
        <v>0.52083333333333315</v>
      </c>
      <c r="CC88" s="8" cm="1">
        <f t="array" ref="CC88">[1]!Utilisation(BK88,E32,N32)</f>
        <v>0.71636223793029785</v>
      </c>
      <c r="CD88" s="8" cm="1">
        <f t="array" ref="CD88">[1]!Utilisation(BL88,F32,O32)</f>
        <v>0.72358042001724243</v>
      </c>
      <c r="CE88" s="8" cm="1">
        <f t="array" ref="CE88">[1]!Utilisation(BM88,G32,P32)</f>
        <v>0.71743178367614746</v>
      </c>
      <c r="CF88" s="8" cm="1">
        <f t="array" ref="CF88">[1]!Utilisation(BN88,H32,Q32)</f>
        <v>0.71304279565811157</v>
      </c>
      <c r="CG88" s="8" cm="1">
        <f t="array" ref="CG88">[1]!Utilisation(BO88,I32,R32)</f>
        <v>0.68062311410903931</v>
      </c>
      <c r="CH88" s="8" cm="1">
        <f t="array" ref="CH88">[1]!Utilisation(BP88,J32,S32)</f>
        <v>0.71462535858154297</v>
      </c>
      <c r="CI88" s="8" cm="1">
        <f t="array" ref="CI88">[1]!Utilisation(BQ88,K32,T32)</f>
        <v>0.7247164249420166</v>
      </c>
      <c r="CK88" s="15">
        <v>0.52083333333333315</v>
      </c>
      <c r="CL88" s="69" cm="1">
        <f t="array" ref="CL88">[1]!FractionalCallCapacity(BK88,BT88,20,N32)</f>
        <v>97</v>
      </c>
      <c r="CM88" s="69" cm="1">
        <f t="array" ref="CM88">[1]!FractionalCallCapacity(BL88,BU88,20,O32)</f>
        <v>102</v>
      </c>
      <c r="CN88" s="69" cm="1">
        <f t="array" ref="CN88">[1]!FractionalCallCapacity(BM88,BV88,20,P32)</f>
        <v>97</v>
      </c>
      <c r="CO88" s="69" cm="1">
        <f t="array" ref="CO88">[1]!FractionalCallCapacity(BN88,BW88,20,Q32)</f>
        <v>95</v>
      </c>
      <c r="CP88" s="69" cm="1">
        <f t="array" ref="CP88">[1]!FractionalCallCapacity(BO88,BX88,20,R32)</f>
        <v>70</v>
      </c>
      <c r="CQ88" s="69" cm="1">
        <f t="array" ref="CQ88">[1]!FractionalCallCapacity(BP88,BY88,20,S32)</f>
        <v>97</v>
      </c>
      <c r="CR88" s="69" cm="1">
        <f t="array" ref="CR88">[1]!FractionalCallCapacity(BQ88,BZ88,20,T32)</f>
        <v>101</v>
      </c>
      <c r="CT88" s="15">
        <v>0.52083333333333315</v>
      </c>
      <c r="CU88" s="72">
        <f t="shared" si="55"/>
        <v>3</v>
      </c>
      <c r="CV88" s="72">
        <f t="shared" si="56"/>
        <v>4.5</v>
      </c>
      <c r="CW88" s="72">
        <f t="shared" si="57"/>
        <v>3.5</v>
      </c>
      <c r="CX88" s="72">
        <f t="shared" si="58"/>
        <v>2</v>
      </c>
      <c r="CY88" s="72">
        <f t="shared" si="59"/>
        <v>0.1145833333333286</v>
      </c>
      <c r="CZ88" s="72">
        <f t="shared" si="60"/>
        <v>2.75</v>
      </c>
      <c r="DA88" s="72">
        <f t="shared" si="61"/>
        <v>0</v>
      </c>
      <c r="DC88" s="15">
        <v>0.52083333333333315</v>
      </c>
      <c r="DD88" s="72">
        <f>'linear calc'!BF30 -'linear calc'!AN30</f>
        <v>-0.21242448622403032</v>
      </c>
      <c r="DE88" s="72">
        <f>'linear calc'!BG30 -'linear calc'!AO30</f>
        <v>1.9842324573587407</v>
      </c>
      <c r="DF88" s="72">
        <f>'linear calc'!BH30 -'linear calc'!AP30</f>
        <v>4.6669268292682933</v>
      </c>
      <c r="DG88" s="72">
        <f>'linear calc'!BI30 -'linear calc'!AQ30</f>
        <v>2.8025367114136248</v>
      </c>
      <c r="DH88" s="72">
        <f>'linear calc'!BJ30 -'linear calc'!AR30</f>
        <v>0.29649122807017569</v>
      </c>
      <c r="DI88" s="72">
        <f>'linear calc'!BK30 -'linear calc'!AS30</f>
        <v>3.1563945591494278</v>
      </c>
      <c r="DJ88" s="72">
        <f>'linear calc'!BL30 -'linear calc'!AT30</f>
        <v>3.8698492631692485</v>
      </c>
      <c r="DL88" s="15">
        <v>0.52083333333333315</v>
      </c>
      <c r="DM88" s="75" cm="1">
        <f t="array" ref="DM88">[1]!asa(CR33,E32,N32)</f>
        <v>141</v>
      </c>
      <c r="DN88" s="75" cm="1">
        <f t="array" ref="DN88">[1]!asa(CS33,F32,O32)</f>
        <v>196</v>
      </c>
      <c r="DO88" s="75" cm="1">
        <f t="array" ref="DO88">[1]!asa(CT33,G32,P32)</f>
        <v>14</v>
      </c>
      <c r="DP88" s="75" cm="1">
        <f t="array" ref="DP88">[1]!asa(CU33,H32,Q32)</f>
        <v>5</v>
      </c>
      <c r="DQ88" s="75" cm="1">
        <f t="array" ref="DQ88">[1]!asa(CV33,I32,R32)</f>
        <v>23</v>
      </c>
      <c r="DR88" s="75" cm="1">
        <f t="array" ref="DR88">[1]!asa(CW33,J32,S32)</f>
        <v>123</v>
      </c>
      <c r="DS88" s="75" cm="1">
        <f t="array" ref="DS88">[1]!asa(CX33,K32,T32)</f>
        <v>32</v>
      </c>
      <c r="DU88" s="15">
        <v>0.52083333333333315</v>
      </c>
      <c r="DV88" s="8" cm="1">
        <f t="array" ref="DV88">[1]!Abandon(CR33,300,E32,N32)</f>
        <v>0.16542801260948181</v>
      </c>
      <c r="DW88" s="8" cm="1">
        <f t="array" ref="DW88">[1]!Abandon(CS33,300,F32,O32)</f>
        <v>0.23967280983924866</v>
      </c>
      <c r="DX88" s="8" cm="1">
        <f t="array" ref="DX88">[1]!Abandon(CT33,300,G32,P32)</f>
        <v>3.722167806699872E-3</v>
      </c>
      <c r="DY88" s="8" cm="1">
        <f t="array" ref="DY88">[1]!Abandon(CU33,300,H32,Q32)</f>
        <v>6.3755200244486332E-4</v>
      </c>
      <c r="DZ88" s="8" cm="1">
        <f t="array" ref="DZ88">[1]!Abandon(CV33,300,I32,R32)</f>
        <v>1.3291520997881889E-2</v>
      </c>
      <c r="EA88" s="8" cm="1">
        <f t="array" ref="EA88">[1]!Abandon(CW33,300,J32,S32)</f>
        <v>0.13997659087181091</v>
      </c>
      <c r="EB88" s="8" cm="1">
        <f t="array" ref="EB88">[1]!Abandon(CX33,300,K32,T32)</f>
        <v>1.5531254000961781E-2</v>
      </c>
      <c r="ED88" s="15">
        <v>0.52083333333333315</v>
      </c>
      <c r="EE88" s="8">
        <f>1-ABS((('linear calc'!AN30 -'linear calc'!AW30) /'linear calc'!AN30))</f>
        <v>0.60173726960313889</v>
      </c>
      <c r="EF88" s="8">
        <f>1-ABS((('linear calc'!AO30 -'linear calc'!AX30) /'linear calc'!AO30))</f>
        <v>0.20874918251869556</v>
      </c>
      <c r="EG88" s="8">
        <f>1-ABS((('linear calc'!AP30 -'linear calc'!AY30) /'linear calc'!AP30))</f>
        <v>-0.26898197112428401</v>
      </c>
      <c r="EH88" s="8">
        <f>1-ABS((('linear calc'!AQ30 -'linear calc'!AZ30) /'linear calc'!AQ30))</f>
        <v>0.19003891914933213</v>
      </c>
      <c r="EI88" s="8">
        <f>1-ABS((('linear calc'!AR30 -'linear calc'!BA30) /'linear calc'!AR30))</f>
        <v>0.52331606217616566</v>
      </c>
      <c r="EJ88" s="8">
        <f>1-ABS((('linear calc'!AS30 -'linear calc'!BB30) /'linear calc'!AS30))</f>
        <v>-0.10728950185933983</v>
      </c>
      <c r="EK88" s="8">
        <f>1-ABS((('linear calc'!AT30 -'linear calc'!BC30) /'linear calc'!AT30))</f>
        <v>-0.11702128106120324</v>
      </c>
    </row>
    <row r="89" spans="3:141" x14ac:dyDescent="0.3">
      <c r="C89" s="6">
        <v>0.3958333333333332</v>
      </c>
      <c r="D89" s="7">
        <v>44</v>
      </c>
      <c r="E89" s="7">
        <v>33</v>
      </c>
      <c r="F89" s="7">
        <v>39</v>
      </c>
      <c r="G89" s="7">
        <v>37</v>
      </c>
      <c r="H89" s="7">
        <v>39</v>
      </c>
      <c r="I89" s="7">
        <v>37</v>
      </c>
      <c r="J89" s="7">
        <v>40</v>
      </c>
      <c r="AE89" s="6">
        <v>0.37499999999999989</v>
      </c>
      <c r="AF89" s="7">
        <f t="shared" si="64"/>
        <v>7.4239725644679133</v>
      </c>
      <c r="AG89" s="7">
        <f t="shared" si="65"/>
        <v>8.0875377042624415</v>
      </c>
      <c r="AH89" s="7">
        <f t="shared" si="66"/>
        <v>6.7598577688046566</v>
      </c>
      <c r="AI89" s="7">
        <f t="shared" si="67"/>
        <v>4.7792530414481629</v>
      </c>
      <c r="AJ89" s="7">
        <f t="shared" si="68"/>
        <v>5.7589835638616123</v>
      </c>
      <c r="AK89" s="7">
        <f t="shared" si="69"/>
        <v>9.1124182104621614</v>
      </c>
      <c r="AL89" s="7">
        <f t="shared" si="70"/>
        <v>8.9787666493686196</v>
      </c>
      <c r="AW89" s="15">
        <v>0.625</v>
      </c>
      <c r="AX89" s="10">
        <v>9.1</v>
      </c>
      <c r="AY89" s="10">
        <v>11.2</v>
      </c>
      <c r="AZ89" s="10">
        <v>9.1</v>
      </c>
      <c r="BA89" s="10">
        <v>10.5</v>
      </c>
      <c r="BB89" s="10">
        <v>9.1</v>
      </c>
      <c r="BC89" s="10">
        <v>8.3999999999999986</v>
      </c>
      <c r="BD89" s="10">
        <v>11.2</v>
      </c>
      <c r="BJ89" s="15">
        <v>0.54166666666666652</v>
      </c>
      <c r="BK89" s="68" cm="1">
        <f t="array" ref="BK89">[1]!FractionalAgents(82%,20,E33,N33)</f>
        <v>11.138750076293945</v>
      </c>
      <c r="BL89" s="68" cm="1">
        <f t="array" ref="BL89">[1]!FractionalAgents(82%,20,F33,O33)</f>
        <v>11.379315376281738</v>
      </c>
      <c r="BM89" s="68" cm="1">
        <f t="array" ref="BM89">[1]!FractionalAgents(82%,20,G33,P33)</f>
        <v>12.464167594909668</v>
      </c>
      <c r="BN89" s="68" cm="1">
        <f t="array" ref="BN89">[1]!FractionalAgents(82%,20,H33,Q33)</f>
        <v>12.691274642944336</v>
      </c>
      <c r="BO89" s="68" cm="1">
        <f t="array" ref="BO89">[1]!FractionalAgents(82%,20,I33,R33)</f>
        <v>9.1407346725463867</v>
      </c>
      <c r="BP89" s="68" cm="1">
        <f t="array" ref="BP89">[1]!FractionalAgents(82%,20,J33,S33)</f>
        <v>11.356369018554688</v>
      </c>
      <c r="BQ89" s="68" cm="1">
        <f t="array" ref="BQ89">[1]!FractionalAgents(82%,20,K33,T33)</f>
        <v>12.37674617767334</v>
      </c>
      <c r="BS89" s="15">
        <v>0.54166666666666652</v>
      </c>
      <c r="BT89" s="8" cm="1">
        <f t="array" ref="BT89">[1]!SLA(BK89,20,E33,N33)</f>
        <v>0.81379473209381104</v>
      </c>
      <c r="BU89" s="8" cm="1">
        <f t="array" ref="BU89">[1]!SLA(BL89,20,F33,O33)</f>
        <v>0.80084848403930664</v>
      </c>
      <c r="BV89" s="8" cm="1">
        <f t="array" ref="BV89">[1]!SLA(BM89,20,G33,P33)</f>
        <v>0.79655325412750244</v>
      </c>
      <c r="BW89" s="8" cm="1">
        <f t="array" ref="BW89">[1]!SLA(BN89,20,H33,Q33)</f>
        <v>0.78150707483291626</v>
      </c>
      <c r="BX89" s="8" cm="1">
        <f t="array" ref="BX89">[1]!SLA(BO89,20,I33,R33)</f>
        <v>0.81289255619049072</v>
      </c>
      <c r="BY89" s="8" cm="1">
        <f t="array" ref="BY89">[1]!SLA(BP89,20,J33,S33)</f>
        <v>0.80222344398498535</v>
      </c>
      <c r="BZ89" s="8" cm="1">
        <f t="array" ref="BZ89">[1]!SLA(BQ89,20,K33,T33)</f>
        <v>0.80190873146057129</v>
      </c>
      <c r="CB89" s="15">
        <v>0.54166666666666652</v>
      </c>
      <c r="CC89" s="8" cm="1">
        <f t="array" ref="CC89">[1]!Utilisation(BK89,E33,N33)</f>
        <v>0.7119290828704834</v>
      </c>
      <c r="CD89" s="8" cm="1">
        <f t="array" ref="CD89">[1]!Utilisation(BL89,F33,O33)</f>
        <v>0.71181792020797729</v>
      </c>
      <c r="CE89" s="8" cm="1">
        <f t="array" ref="CE89">[1]!Utilisation(BM89,G33,P33)</f>
        <v>0.7238582968711853</v>
      </c>
      <c r="CF89" s="8" cm="1">
        <f t="array" ref="CF89">[1]!Utilisation(BN89,H33,Q33)</f>
        <v>0.72816872596740723</v>
      </c>
      <c r="CG89" s="8" cm="1">
        <f t="array" ref="CG89">[1]!Utilisation(BO89,I33,R33)</f>
        <v>0.67879676818847656</v>
      </c>
      <c r="CH89" s="8" cm="1">
        <f t="array" ref="CH89">[1]!Utilisation(BP89,J33,S33)</f>
        <v>0.71180689334869385</v>
      </c>
      <c r="CI89" s="8" cm="1">
        <f t="array" ref="CI89">[1]!Utilisation(BQ89,K33,T33)</f>
        <v>0.72447270154953003</v>
      </c>
      <c r="CK89" s="15">
        <v>0.54166666666666652</v>
      </c>
      <c r="CL89" s="69" cm="1">
        <f t="array" ref="CL89">[1]!FractionalCallCapacity(BK89,BT89,20,N33)</f>
        <v>92</v>
      </c>
      <c r="CM89" s="69" cm="1">
        <f t="array" ref="CM89">[1]!FractionalCallCapacity(BL89,BU89,20,O33)</f>
        <v>91</v>
      </c>
      <c r="CN89" s="69" cm="1">
        <f t="array" ref="CN89">[1]!FractionalCallCapacity(BM89,BV89,20,P33)</f>
        <v>97</v>
      </c>
      <c r="CO89" s="69" cm="1">
        <f t="array" ref="CO89">[1]!FractionalCallCapacity(BN89,BW89,20,Q33)</f>
        <v>106</v>
      </c>
      <c r="CP89" s="69" cm="1">
        <f t="array" ref="CP89">[1]!FractionalCallCapacity(BO89,BX89,20,R33)</f>
        <v>66</v>
      </c>
      <c r="CQ89" s="69" cm="1">
        <f t="array" ref="CQ89">[1]!FractionalCallCapacity(BP89,BY89,20,S33)</f>
        <v>91</v>
      </c>
      <c r="CR89" s="69" cm="1">
        <f t="array" ref="CR89">[1]!FractionalCallCapacity(BQ89,BZ89,20,T33)</f>
        <v>101</v>
      </c>
      <c r="CT89" s="15">
        <v>0.54166666666666652</v>
      </c>
      <c r="CU89" s="72">
        <f t="shared" si="55"/>
        <v>0.5</v>
      </c>
      <c r="CV89" s="72">
        <f t="shared" si="56"/>
        <v>1</v>
      </c>
      <c r="CW89" s="72">
        <f t="shared" si="57"/>
        <v>1.75</v>
      </c>
      <c r="CX89" s="72">
        <f t="shared" si="58"/>
        <v>3</v>
      </c>
      <c r="CY89" s="72">
        <f t="shared" si="59"/>
        <v>0.109375</v>
      </c>
      <c r="CZ89" s="72">
        <f t="shared" si="60"/>
        <v>0.625</v>
      </c>
      <c r="DA89" s="72">
        <f t="shared" si="61"/>
        <v>1.0625</v>
      </c>
      <c r="DC89" s="15">
        <v>0.54166666666666652</v>
      </c>
      <c r="DD89" s="72">
        <f>'linear calc'!BF31 -'linear calc'!AN31</f>
        <v>3.2411388805246073</v>
      </c>
      <c r="DE89" s="72">
        <f>'linear calc'!BG31 -'linear calc'!AO31</f>
        <v>2.7682340122370288</v>
      </c>
      <c r="DF89" s="72">
        <f>'linear calc'!BH31 -'linear calc'!AP31</f>
        <v>5.6764920431159194</v>
      </c>
      <c r="DG89" s="72">
        <f>'linear calc'!BI31 -'linear calc'!AQ31</f>
        <v>3.2392776330675925</v>
      </c>
      <c r="DH89" s="72">
        <f>'linear calc'!BJ31 -'linear calc'!AR31</f>
        <v>2.2129600704874042</v>
      </c>
      <c r="DI89" s="72">
        <f>'linear calc'!BK31 -'linear calc'!AS31</f>
        <v>1.7211971826319719</v>
      </c>
      <c r="DJ89" s="72">
        <f>'linear calc'!BL31 -'linear calc'!AT31</f>
        <v>3.8013938658343918</v>
      </c>
      <c r="DL89" s="15">
        <v>0.54166666666666652</v>
      </c>
      <c r="DM89" s="75" cm="1">
        <f t="array" ref="DM89">[1]!asa(CR34,E33,N33)</f>
        <v>86</v>
      </c>
      <c r="DN89" s="75" cm="1">
        <f t="array" ref="DN89">[1]!asa(CS34,F33,O33)</f>
        <v>106</v>
      </c>
      <c r="DO89" s="75" cm="1">
        <f t="array" ref="DO89">[1]!asa(CT34,G33,P33)</f>
        <v>23</v>
      </c>
      <c r="DP89" s="75" cm="1">
        <f t="array" ref="DP89">[1]!asa(CU34,H33,Q33)</f>
        <v>14</v>
      </c>
      <c r="DQ89" s="75" cm="1">
        <f t="array" ref="DQ89">[1]!asa(CV34,I33,R33)</f>
        <v>26</v>
      </c>
      <c r="DR89" s="75" cm="1">
        <f t="array" ref="DR89">[1]!asa(CW34,J33,S33)</f>
        <v>104</v>
      </c>
      <c r="DS89" s="75" cm="1">
        <f t="array" ref="DS89">[1]!asa(CX34,K33,T33)</f>
        <v>39</v>
      </c>
      <c r="DU89" s="15">
        <v>0.54166666666666652</v>
      </c>
      <c r="DV89" s="8" cm="1">
        <f t="array" ref="DV89">[1]!Abandon(CR34,300,E33,N33)</f>
        <v>8.5600763559341431E-2</v>
      </c>
      <c r="DW89" s="8" cm="1">
        <f t="array" ref="DW89">[1]!Abandon(CS34,300,F33,O33)</f>
        <v>0.11514750123023987</v>
      </c>
      <c r="DX89" s="8" cm="1">
        <f t="array" ref="DX89">[1]!Abandon(CT34,300,G33,P33)</f>
        <v>1.0472234338521957E-2</v>
      </c>
      <c r="DY89" s="8" cm="1">
        <f t="array" ref="DY89">[1]!Abandon(CU34,300,H33,Q33)</f>
        <v>4.0546730160713196E-3</v>
      </c>
      <c r="DZ89" s="8" cm="1">
        <f t="array" ref="DZ89">[1]!Abandon(CV34,300,I33,R33)</f>
        <v>1.7289003357291222E-2</v>
      </c>
      <c r="EA89" s="8" cm="1">
        <f t="array" ref="EA89">[1]!Abandon(CW34,300,J33,S33)</f>
        <v>0.11152099072933197</v>
      </c>
      <c r="EB89" s="8" cm="1">
        <f t="array" ref="EB89">[1]!Abandon(CX34,300,K33,T33)</f>
        <v>2.3276746273040771E-2</v>
      </c>
      <c r="ED89" s="15">
        <v>0.54166666666666652</v>
      </c>
      <c r="EE89" s="8">
        <f>1-ABS((('linear calc'!AN31 -'linear calc'!AW31) /'linear calc'!AN31))</f>
        <v>-0.13451691459504267</v>
      </c>
      <c r="EF89" s="8">
        <f>1-ABS((('linear calc'!AO31 -'linear calc'!AX31) /'linear calc'!AO31))</f>
        <v>9.034995708972926E-3</v>
      </c>
      <c r="EG89" s="8">
        <f>1-ABS((('linear calc'!AP31 -'linear calc'!AY31) /'linear calc'!AP31))</f>
        <v>-0.59983813293700416</v>
      </c>
      <c r="EH89" s="8">
        <f>1-ABS((('linear calc'!AQ31 -'linear calc'!AZ31) /'linear calc'!AQ31))</f>
        <v>0.11146761564067986</v>
      </c>
      <c r="EI89" s="8">
        <f>1-ABS((('linear calc'!AR31 -'linear calc'!BA31) /'linear calc'!AR31))</f>
        <v>0.11239659809551494</v>
      </c>
      <c r="EJ89" s="8">
        <f>1-ABS((('linear calc'!AS31 -'linear calc'!BB31) /'linear calc'!AS31))</f>
        <v>0.26706997107264152</v>
      </c>
      <c r="EK89" s="8">
        <f>1-ABS((('linear calc'!AT31 -'linear calc'!BC31) /'linear calc'!AT31))</f>
        <v>-9.9126654435269357E-2</v>
      </c>
    </row>
    <row r="90" spans="3:141" x14ac:dyDescent="0.3">
      <c r="C90" s="6">
        <v>0.41666666666666652</v>
      </c>
      <c r="D90" s="7">
        <v>41</v>
      </c>
      <c r="E90" s="7">
        <v>48</v>
      </c>
      <c r="F90" s="7">
        <v>53</v>
      </c>
      <c r="G90" s="7">
        <v>52</v>
      </c>
      <c r="H90" s="7">
        <v>59</v>
      </c>
      <c r="I90" s="7">
        <v>36</v>
      </c>
      <c r="J90" s="7">
        <v>30</v>
      </c>
      <c r="AE90" s="6">
        <v>0.3958333333333332</v>
      </c>
      <c r="AF90" s="7">
        <f t="shared" si="64"/>
        <v>6.7505007229372582</v>
      </c>
      <c r="AG90" s="7">
        <f t="shared" si="65"/>
        <v>5.1041945859019036</v>
      </c>
      <c r="AH90" s="7">
        <f t="shared" si="66"/>
        <v>6.0898905195437738</v>
      </c>
      <c r="AI90" s="7">
        <f t="shared" si="67"/>
        <v>5.4889371752833549</v>
      </c>
      <c r="AJ90" s="7">
        <f t="shared" si="68"/>
        <v>6.275269740275041</v>
      </c>
      <c r="AK90" s="7">
        <f t="shared" si="69"/>
        <v>5.707681601272534</v>
      </c>
      <c r="AL90" s="7">
        <f t="shared" si="70"/>
        <v>6.28358497870693</v>
      </c>
      <c r="AW90" s="15">
        <v>0.64583333333333337</v>
      </c>
      <c r="AX90" s="10">
        <v>9.1</v>
      </c>
      <c r="AY90" s="10">
        <v>11.2</v>
      </c>
      <c r="AZ90" s="10">
        <v>9.1</v>
      </c>
      <c r="BA90" s="10">
        <v>10.5</v>
      </c>
      <c r="BB90" s="10">
        <v>9.1</v>
      </c>
      <c r="BC90" s="10">
        <v>8.3999999999999986</v>
      </c>
      <c r="BD90" s="10">
        <v>11.2</v>
      </c>
      <c r="BJ90" s="15">
        <v>0.56249999999999989</v>
      </c>
      <c r="BK90" s="68" cm="1">
        <f t="array" ref="BK90">[1]!FractionalAgents(82%,20,E34,N34)</f>
        <v>13.99116039276123</v>
      </c>
      <c r="BL90" s="68" cm="1">
        <f t="array" ref="BL90">[1]!FractionalAgents(82%,20,F34,O34)</f>
        <v>11.557600021362305</v>
      </c>
      <c r="BM90" s="68" cm="1">
        <f t="array" ref="BM90">[1]!FractionalAgents(82%,20,G34,P34)</f>
        <v>11.761090278625488</v>
      </c>
      <c r="BN90" s="68" cm="1">
        <f t="array" ref="BN90">[1]!FractionalAgents(82%,20,H34,Q34)</f>
        <v>11.73865795135498</v>
      </c>
      <c r="BO90" s="68" cm="1">
        <f t="array" ref="BO90">[1]!FractionalAgents(82%,20,I34,R34)</f>
        <v>9.1239728927612305</v>
      </c>
      <c r="BP90" s="68" cm="1">
        <f t="array" ref="BP90">[1]!FractionalAgents(82%,20,J34,S34)</f>
        <v>12.673191070556641</v>
      </c>
      <c r="BQ90" s="68" cm="1">
        <f t="array" ref="BQ90">[1]!FractionalAgents(82%,20,K34,T34)</f>
        <v>12.132286071777344</v>
      </c>
      <c r="BS90" s="15">
        <v>0.56249999999999989</v>
      </c>
      <c r="BT90" s="8" cm="1">
        <f t="array" ref="BT90">[1]!SLA(BK90,20,E34,N34)</f>
        <v>0.75906014442443848</v>
      </c>
      <c r="BU90" s="8" cm="1">
        <f t="array" ref="BU90">[1]!SLA(BL90,20,F34,O34)</f>
        <v>0.78926610946655273</v>
      </c>
      <c r="BV90" s="8" cm="1">
        <f t="array" ref="BV90">[1]!SLA(BM90,20,G34,P34)</f>
        <v>0.77373272180557251</v>
      </c>
      <c r="BW90" s="8" cm="1">
        <f t="array" ref="BW90">[1]!SLA(BN90,20,H34,Q34)</f>
        <v>0.77546942234039307</v>
      </c>
      <c r="BX90" s="8" cm="1">
        <f t="array" ref="BX90">[1]!SLA(BO90,20,I34,R34)</f>
        <v>0.8139081597328186</v>
      </c>
      <c r="BY90" s="8" cm="1">
        <f t="array" ref="BY90">[1]!SLA(BP90,20,J34,S34)</f>
        <v>0.78263217210769653</v>
      </c>
      <c r="BZ90" s="8" cm="1">
        <f t="array" ref="BZ90">[1]!SLA(BQ90,20,K34,T34)</f>
        <v>0.81428349018096924</v>
      </c>
      <c r="CB90" s="15">
        <v>0.56249999999999989</v>
      </c>
      <c r="CC90" s="8" cm="1">
        <f t="array" ref="CC90">[1]!Utilisation(BK90,E34,N34)</f>
        <v>0.74434894323348999</v>
      </c>
      <c r="CD90" s="8" cm="1">
        <f t="array" ref="CD90">[1]!Utilisation(BL90,F34,O34)</f>
        <v>0.71343147754669189</v>
      </c>
      <c r="CE90" s="8" cm="1">
        <f t="array" ref="CE90">[1]!Utilisation(BM90,G34,P34)</f>
        <v>0.71740800142288208</v>
      </c>
      <c r="CF90" s="8" cm="1">
        <f t="array" ref="CF90">[1]!Utilisation(BN90,H34,Q34)</f>
        <v>0.71647173166275024</v>
      </c>
      <c r="CG90" s="8" cm="1">
        <f t="array" ref="CG90">[1]!Utilisation(BO90,I34,R34)</f>
        <v>0.6810603141784668</v>
      </c>
      <c r="CH90" s="8" cm="1">
        <f t="array" ref="CH90">[1]!Utilisation(BP90,J34,S34)</f>
        <v>0.72704601287841797</v>
      </c>
      <c r="CI90" s="8" cm="1">
        <f t="array" ref="CI90">[1]!Utilisation(BQ90,K34,T34)</f>
        <v>0.72308212518692017</v>
      </c>
      <c r="CK90" s="15">
        <v>0.56249999999999989</v>
      </c>
      <c r="CL90" s="69" cm="1">
        <f t="array" ref="CL90">[1]!FractionalCallCapacity(BK90,BT90,20,N34)</f>
        <v>117</v>
      </c>
      <c r="CM90" s="69" cm="1">
        <f t="array" ref="CM90">[1]!FractionalCallCapacity(BL90,BU90,20,O34)</f>
        <v>93</v>
      </c>
      <c r="CN90" s="69" cm="1">
        <f t="array" ref="CN90">[1]!FractionalCallCapacity(BM90,BV90,20,P34)</f>
        <v>97</v>
      </c>
      <c r="CO90" s="69" cm="1">
        <f t="array" ref="CO90">[1]!FractionalCallCapacity(BN90,BW90,20,Q34)</f>
        <v>95</v>
      </c>
      <c r="CP90" s="69" cm="1">
        <f t="array" ref="CP90">[1]!FractionalCallCapacity(BO90,BX90,20,R34)</f>
        <v>72</v>
      </c>
      <c r="CQ90" s="69" cm="1">
        <f t="array" ref="CQ90">[1]!FractionalCallCapacity(BP90,BY90,20,S34)</f>
        <v>102</v>
      </c>
      <c r="CR90" s="69" cm="1">
        <f t="array" ref="CR90">[1]!FractionalCallCapacity(BQ90,BZ90,20,T34)</f>
        <v>95</v>
      </c>
      <c r="CT90" s="15">
        <v>0.56249999999999989</v>
      </c>
      <c r="CU90" s="72">
        <f t="shared" si="55"/>
        <v>4.75</v>
      </c>
      <c r="CV90" s="72">
        <f t="shared" si="56"/>
        <v>2.5</v>
      </c>
      <c r="CW90" s="72">
        <f t="shared" si="57"/>
        <v>3.25</v>
      </c>
      <c r="CX90" s="72">
        <f t="shared" si="58"/>
        <v>3.25</v>
      </c>
      <c r="CY90" s="72">
        <f t="shared" si="59"/>
        <v>-0.3958333333333286</v>
      </c>
      <c r="CZ90" s="72">
        <f t="shared" si="60"/>
        <v>2.6875</v>
      </c>
      <c r="DA90" s="72">
        <f t="shared" si="61"/>
        <v>-0.125</v>
      </c>
      <c r="DC90" s="15">
        <v>0.56249999999999989</v>
      </c>
      <c r="DD90" s="72">
        <f>'linear calc'!BF32 -'linear calc'!AN32</f>
        <v>-1.067489711934158</v>
      </c>
      <c r="DE90" s="72">
        <f>'linear calc'!BG32 -'linear calc'!AO32</f>
        <v>0.92201982779321412</v>
      </c>
      <c r="DF90" s="72">
        <f>'linear calc'!BH32 -'linear calc'!AP32</f>
        <v>2.9402646090804065</v>
      </c>
      <c r="DG90" s="72">
        <f>'linear calc'!BI32 -'linear calc'!AQ32</f>
        <v>2.3429681928398232</v>
      </c>
      <c r="DH90" s="72">
        <f>'linear calc'!BJ32 -'linear calc'!AR32</f>
        <v>1.7845604115939624</v>
      </c>
      <c r="DI90" s="72">
        <f>'linear calc'!BK32 -'linear calc'!AS32</f>
        <v>0.98776792313377548</v>
      </c>
      <c r="DJ90" s="72">
        <f>'linear calc'!BL32 -'linear calc'!AT32</f>
        <v>2.6724147414741459</v>
      </c>
      <c r="DL90" s="15">
        <v>0.56249999999999989</v>
      </c>
      <c r="DM90" s="75" cm="1">
        <f t="array" ref="DM90">[1]!asa(CR35,E34,N34)</f>
        <v>3408</v>
      </c>
      <c r="DN90" s="75" cm="1">
        <f t="array" ref="DN90">[1]!asa(CS35,F34,O34)</f>
        <v>124</v>
      </c>
      <c r="DO90" s="75" cm="1">
        <f t="array" ref="DO90">[1]!asa(CT35,G34,P34)</f>
        <v>13</v>
      </c>
      <c r="DP90" s="75" cm="1">
        <f t="array" ref="DP90">[1]!asa(CU35,H34,Q34)</f>
        <v>7</v>
      </c>
      <c r="DQ90" s="75" cm="1">
        <f t="array" ref="DQ90">[1]!asa(CV35,I34,R34)</f>
        <v>24</v>
      </c>
      <c r="DR90" s="75" cm="1">
        <f t="array" ref="DR90">[1]!asa(CW35,J34,S34)</f>
        <v>477</v>
      </c>
      <c r="DS90" s="75" cm="1">
        <f t="array" ref="DS90">[1]!asa(CX35,K34,T34)</f>
        <v>34</v>
      </c>
      <c r="DU90" s="15">
        <v>0.56249999999999989</v>
      </c>
      <c r="DV90" s="8" cm="1">
        <f t="array" ref="DV90">[1]!Abandon(CR35,300,E34,N34)</f>
        <v>1</v>
      </c>
      <c r="DW90" s="8" cm="1">
        <f t="array" ref="DW90">[1]!Abandon(CS35,300,F34,O34)</f>
        <v>0.14235170185565948</v>
      </c>
      <c r="DX90" s="8" cm="1">
        <f t="array" ref="DX90">[1]!Abandon(CT35,300,G34,P34)</f>
        <v>3.6585174966603518E-3</v>
      </c>
      <c r="DY90" s="8" cm="1">
        <f t="array" ref="DY90">[1]!Abandon(CU35,300,H34,Q34)</f>
        <v>1.1820091167464852E-3</v>
      </c>
      <c r="DZ90" s="8" cm="1">
        <f t="array" ref="DZ90">[1]!Abandon(CV35,300,I34,R34)</f>
        <v>1.3694513589143753E-2</v>
      </c>
      <c r="EA90" s="8" cm="1">
        <f t="array" ref="EA90">[1]!Abandon(CW35,300,J34,S34)</f>
        <v>0.49450188875198364</v>
      </c>
      <c r="EB90" s="8" cm="1">
        <f t="array" ref="EB90">[1]!Abandon(CX35,300,K34,T34)</f>
        <v>1.9146893173456192E-2</v>
      </c>
      <c r="ED90" s="15">
        <v>0.56249999999999989</v>
      </c>
      <c r="EE90" s="8">
        <f>1-ABS((('linear calc'!AN32 -'linear calc'!AW32) /'linear calc'!AN32))</f>
        <v>0.71175401393517124</v>
      </c>
      <c r="EF90" s="8">
        <f>1-ABS((('linear calc'!AO32 -'linear calc'!AX32) /'linear calc'!AO32))</f>
        <v>0.42306473674855671</v>
      </c>
      <c r="EG90" s="8">
        <f>1-ABS((('linear calc'!AP32 -'linear calc'!AY32) /'linear calc'!AP32))</f>
        <v>0.13659491988564443</v>
      </c>
      <c r="EH90" s="8">
        <f>1-ABS((('linear calc'!AQ32 -'linear calc'!AZ32) /'linear calc'!AQ32))</f>
        <v>0.26595374236443081</v>
      </c>
      <c r="EI90" s="8">
        <f>1-ABS((('linear calc'!AR32 -'linear calc'!BA32) /'linear calc'!AR32))</f>
        <v>0.22293659281894596</v>
      </c>
      <c r="EJ90" s="8">
        <f>1-ABS((('linear calc'!AS32 -'linear calc'!BB32) /'linear calc'!AS32))</f>
        <v>0.41129921705618167</v>
      </c>
      <c r="EK90" s="8">
        <f>1-ABS((('linear calc'!AT32 -'linear calc'!BC32) /'linear calc'!AT32))</f>
        <v>0.1576978674574907</v>
      </c>
    </row>
    <row r="91" spans="3:141" x14ac:dyDescent="0.3">
      <c r="C91" s="6">
        <v>0.43749999999999983</v>
      </c>
      <c r="D91" s="7">
        <v>46</v>
      </c>
      <c r="E91" s="7">
        <v>41</v>
      </c>
      <c r="F91" s="7">
        <v>36</v>
      </c>
      <c r="G91" s="7">
        <v>39</v>
      </c>
      <c r="H91" s="7">
        <v>53</v>
      </c>
      <c r="I91" s="7">
        <v>37</v>
      </c>
      <c r="J91" s="7">
        <v>46</v>
      </c>
      <c r="AE91" s="6">
        <v>0.41666666666666652</v>
      </c>
      <c r="AF91" s="7">
        <f t="shared" si="64"/>
        <v>6.1144364635984747</v>
      </c>
      <c r="AG91" s="7">
        <f t="shared" si="65"/>
        <v>7.3307558907291615</v>
      </c>
      <c r="AH91" s="7">
        <f t="shared" si="66"/>
        <v>8.2566477168531076</v>
      </c>
      <c r="AI91" s="7">
        <f t="shared" si="67"/>
        <v>7.9884325540568</v>
      </c>
      <c r="AJ91" s="7">
        <f t="shared" si="68"/>
        <v>9.4090216991020093</v>
      </c>
      <c r="AK91" s="7">
        <f t="shared" si="69"/>
        <v>5.6508150508640762</v>
      </c>
      <c r="AL91" s="7">
        <f t="shared" si="70"/>
        <v>4.7798475237499618</v>
      </c>
      <c r="AW91" s="15">
        <v>0.66666666666666674</v>
      </c>
      <c r="AX91" s="10">
        <v>9.1</v>
      </c>
      <c r="AY91" s="10">
        <v>11.2</v>
      </c>
      <c r="AZ91" s="10">
        <v>9.1</v>
      </c>
      <c r="BA91" s="10">
        <v>10.5</v>
      </c>
      <c r="BB91" s="10">
        <v>9.1</v>
      </c>
      <c r="BC91" s="10">
        <v>8.3999999999999986</v>
      </c>
      <c r="BD91" s="10">
        <v>11.2</v>
      </c>
      <c r="BJ91" s="15">
        <v>0.58333333333333326</v>
      </c>
      <c r="BK91" s="68" cm="1">
        <f t="array" ref="BK91">[1]!FractionalAgents(82%,20,E35,N35)</f>
        <v>11.902791976928711</v>
      </c>
      <c r="BL91" s="68" cm="1">
        <f t="array" ref="BL91">[1]!FractionalAgents(82%,20,F35,O35)</f>
        <v>12.740762710571289</v>
      </c>
      <c r="BM91" s="68" cm="1">
        <f t="array" ref="BM91">[1]!FractionalAgents(82%,20,G35,P35)</f>
        <v>12.629619598388672</v>
      </c>
      <c r="BN91" s="68" cm="1">
        <f t="array" ref="BN91">[1]!FractionalAgents(82%,20,H35,Q35)</f>
        <v>12.050248146057129</v>
      </c>
      <c r="BO91" s="68" cm="1">
        <f t="array" ref="BO91">[1]!FractionalAgents(82%,20,I35,R35)</f>
        <v>9.6714534759521484</v>
      </c>
      <c r="BP91" s="68" cm="1">
        <f t="array" ref="BP91">[1]!FractionalAgents(82%,20,J35,S35)</f>
        <v>13.033855438232422</v>
      </c>
      <c r="BQ91" s="68" cm="1">
        <f t="array" ref="BQ91">[1]!FractionalAgents(82%,20,K35,T35)</f>
        <v>13.097831726074219</v>
      </c>
      <c r="BS91" s="15">
        <v>0.58333333333333326</v>
      </c>
      <c r="BT91" s="8" cm="1">
        <f t="array" ref="BT91">[1]!SLA(BK91,20,E35,N35)</f>
        <v>0.76100969314575195</v>
      </c>
      <c r="BU91" s="8" cm="1">
        <f t="array" ref="BU91">[1]!SLA(BL91,20,F35,O35)</f>
        <v>0.7779276967048645</v>
      </c>
      <c r="BV91" s="8" cm="1">
        <f t="array" ref="BV91">[1]!SLA(BM91,20,G35,P35)</f>
        <v>0.78628414869308472</v>
      </c>
      <c r="BW91" s="8" cm="1">
        <f t="array" ref="BW91">[1]!SLA(BN91,20,H35,Q35)</f>
        <v>0.81790679693222046</v>
      </c>
      <c r="BX91" s="8" cm="1">
        <f t="array" ref="BX91">[1]!SLA(BO91,20,I35,R35)</f>
        <v>0.77578359842300415</v>
      </c>
      <c r="BY91" s="8" cm="1">
        <f t="array" ref="BY91">[1]!SLA(BP91,20,J35,S35)</f>
        <v>0.81866258382797241</v>
      </c>
      <c r="BZ91" s="8" cm="1">
        <f t="array" ref="BZ91">[1]!SLA(BQ91,20,K35,T35)</f>
        <v>0.81602555513381958</v>
      </c>
      <c r="CB91" s="15">
        <v>0.58333333333333326</v>
      </c>
      <c r="CC91" s="8" cm="1">
        <f t="array" ref="CC91">[1]!Utilisation(BK91,E35,N35)</f>
        <v>0.72085094451904297</v>
      </c>
      <c r="CD91" s="8" cm="1">
        <f t="array" ref="CD91">[1]!Utilisation(BL91,F35,O35)</f>
        <v>0.72969532012939453</v>
      </c>
      <c r="CE91" s="8" cm="1">
        <f t="array" ref="CE91">[1]!Utilisation(BM91,G35,P35)</f>
        <v>0.72854530811309814</v>
      </c>
      <c r="CF91" s="8" cm="1">
        <f t="array" ref="CF91">[1]!Utilisation(BN91,H35,Q35)</f>
        <v>0.72322165966033936</v>
      </c>
      <c r="CG91" s="8" cm="1">
        <f t="array" ref="CG91">[1]!Utilisation(BO91,I35,R35)</f>
        <v>0.68528693914413452</v>
      </c>
      <c r="CH91" s="8" cm="1">
        <f t="array" ref="CH91">[1]!Utilisation(BP91,J35,S35)</f>
        <v>0.7350648045539856</v>
      </c>
      <c r="CI91" s="8" cm="1">
        <f t="array" ref="CI91">[1]!Utilisation(BQ91,K35,T35)</f>
        <v>0.73492074012756348</v>
      </c>
      <c r="CK91" s="15">
        <v>0.58333333333333326</v>
      </c>
      <c r="CL91" s="69" cm="1">
        <f t="array" ref="CL91">[1]!FractionalCallCapacity(BK91,BT91,20,N35)</f>
        <v>99</v>
      </c>
      <c r="CM91" s="69" cm="1">
        <f t="array" ref="CM91">[1]!FractionalCallCapacity(BL91,BU91,20,O35)</f>
        <v>110</v>
      </c>
      <c r="CN91" s="69" cm="1">
        <f t="array" ref="CN91">[1]!FractionalCallCapacity(BM91,BV91,20,P35)</f>
        <v>111</v>
      </c>
      <c r="CO91" s="69" cm="1">
        <f t="array" ref="CO91">[1]!FractionalCallCapacity(BN91,BW91,20,Q35)</f>
        <v>94</v>
      </c>
      <c r="CP91" s="69" cm="1">
        <f t="array" ref="CP91">[1]!FractionalCallCapacity(BO91,BX91,20,R35)</f>
        <v>74</v>
      </c>
      <c r="CQ91" s="69" cm="1">
        <f t="array" ref="CQ91">[1]!FractionalCallCapacity(BP91,BY91,20,S35)</f>
        <v>106</v>
      </c>
      <c r="CR91" s="69" cm="1">
        <f t="array" ref="CR91">[1]!FractionalCallCapacity(BQ91,BZ91,20,T35)</f>
        <v>107</v>
      </c>
      <c r="CT91" s="15">
        <v>0.58333333333333326</v>
      </c>
      <c r="CU91" s="72">
        <f t="shared" si="55"/>
        <v>4.25</v>
      </c>
      <c r="CV91" s="72">
        <f t="shared" si="56"/>
        <v>3.75</v>
      </c>
      <c r="CW91" s="72">
        <f t="shared" si="57"/>
        <v>2.75</v>
      </c>
      <c r="CX91" s="72">
        <f t="shared" si="58"/>
        <v>-0.5</v>
      </c>
      <c r="CY91" s="72">
        <f t="shared" si="59"/>
        <v>2.3489583333333286</v>
      </c>
      <c r="CZ91" s="72">
        <f t="shared" si="60"/>
        <v>-0.125</v>
      </c>
      <c r="DA91" s="72">
        <f t="shared" si="61"/>
        <v>0.375</v>
      </c>
      <c r="DC91" s="15">
        <v>0.58333333333333326</v>
      </c>
      <c r="DD91" s="72">
        <f>'linear calc'!BF33 -'linear calc'!AN33</f>
        <v>-1.2901937167519826</v>
      </c>
      <c r="DE91" s="72">
        <f>'linear calc'!BG33 -'linear calc'!AO33</f>
        <v>4.1609805073954336</v>
      </c>
      <c r="DF91" s="72">
        <f>'linear calc'!BH33 -'linear calc'!AP33</f>
        <v>-3.0706185702634059E-2</v>
      </c>
      <c r="DG91" s="72">
        <f>'linear calc'!BI33 -'linear calc'!AQ33</f>
        <v>-0.75690473411911263</v>
      </c>
      <c r="DH91" s="72">
        <f>'linear calc'!BJ33 -'linear calc'!AR33</f>
        <v>2.0994548433856428</v>
      </c>
      <c r="DI91" s="72">
        <f>'linear calc'!BK33 -'linear calc'!AS33</f>
        <v>-1.9482274957884709</v>
      </c>
      <c r="DJ91" s="72">
        <f>'linear calc'!BL33 -'linear calc'!AT33</f>
        <v>2.4034829621479172</v>
      </c>
      <c r="DL91" s="15">
        <v>0.58333333333333326</v>
      </c>
      <c r="DM91" s="75" cm="1">
        <f t="array" ref="DM91">[1]!asa(CR36,E35,N35)</f>
        <v>512</v>
      </c>
      <c r="DN91" s="75" cm="1">
        <f t="array" ref="DN91">[1]!asa(CS36,F35,O35)</f>
        <v>79</v>
      </c>
      <c r="DO91" s="75" cm="1">
        <f t="array" ref="DO91">[1]!asa(CT36,G35,P35)</f>
        <v>3363</v>
      </c>
      <c r="DP91" s="75" cm="1">
        <f t="array" ref="DP91">[1]!asa(CU36,H35,Q35)</f>
        <v>96</v>
      </c>
      <c r="DQ91" s="75" cm="1">
        <f t="array" ref="DQ91">[1]!asa(CV36,I35,R35)</f>
        <v>40</v>
      </c>
      <c r="DR91" s="75" cm="1">
        <f t="array" ref="DR91">[1]!asa(CW36,J35,S35)</f>
        <v>3869</v>
      </c>
      <c r="DS91" s="75" cm="1">
        <f t="array" ref="DS91">[1]!asa(CX36,K35,T35)</f>
        <v>114</v>
      </c>
      <c r="DT91" t="s">
        <v>66</v>
      </c>
      <c r="DU91" s="15">
        <v>0.58333333333333326</v>
      </c>
      <c r="DV91" s="8" cm="1">
        <f t="array" ref="DV91">[1]!Abandon(CR36,300,E35,N35)</f>
        <v>0.50622677803039551</v>
      </c>
      <c r="DW91" s="8" cm="1">
        <f t="array" ref="DW91">[1]!Abandon(CS36,300,F35,O35)</f>
        <v>7.7536143362522125E-2</v>
      </c>
      <c r="DX91" s="8" cm="1">
        <f t="array" ref="DX91">[1]!Abandon(CT36,300,G35,P35)</f>
        <v>1</v>
      </c>
      <c r="DY91" s="8" cm="1">
        <f t="array" ref="DY91">[1]!Abandon(CU36,300,H35,Q35)</f>
        <v>0.10329291969537735</v>
      </c>
      <c r="DZ91" s="8" cm="1">
        <f t="array" ref="DZ91">[1]!Abandon(CV36,300,I35,R35)</f>
        <v>3.2246958464384079E-2</v>
      </c>
      <c r="EA91" s="8" cm="1">
        <f t="array" ref="EA91">[1]!Abandon(CW36,300,J35,S35)</f>
        <v>1</v>
      </c>
      <c r="EB91" s="8" cm="1">
        <f t="array" ref="EB91">[1]!Abandon(CX36,300,K35,T35)</f>
        <v>0.12889985740184784</v>
      </c>
      <c r="ED91" s="15">
        <v>0.58333333333333326</v>
      </c>
      <c r="EE91" s="8">
        <f>1-ABS((('linear calc'!AN33 -'linear calc'!AW33) /'linear calc'!AN33))</f>
        <v>0.74882024778419098</v>
      </c>
      <c r="EF91" s="8">
        <f>1-ABS((('linear calc'!AO33 -'linear calc'!AX33) /'linear calc'!AO33))</f>
        <v>-0.27304385458942759</v>
      </c>
      <c r="EG91" s="8">
        <f>1-ABS((('linear calc'!AP33 -'linear calc'!AY33) /'linear calc'!AP33))</f>
        <v>0.57623279781402659</v>
      </c>
      <c r="EH91" s="8">
        <f>1-ABS((('linear calc'!AQ33 -'linear calc'!AZ33) /'linear calc'!AQ33))</f>
        <v>0.667484503574437</v>
      </c>
      <c r="EI91" s="8">
        <f>1-ABS((('linear calc'!AR33 -'linear calc'!BA33) /'linear calc'!AR33))</f>
        <v>0.14300176498152417</v>
      </c>
      <c r="EJ91" s="8">
        <f>1-ABS((('linear calc'!AS33 -'linear calc'!BB33) /'linear calc'!AS33))</f>
        <v>0.84038111793698289</v>
      </c>
      <c r="EK91" s="8">
        <f>1-ABS((('linear calc'!AT33 -'linear calc'!BC33) /'linear calc'!AT33))</f>
        <v>0.18109827660757294</v>
      </c>
    </row>
    <row r="92" spans="3:141" x14ac:dyDescent="0.3">
      <c r="C92" s="6">
        <v>0.45833333333333315</v>
      </c>
      <c r="D92" s="7">
        <v>45</v>
      </c>
      <c r="E92" s="7">
        <v>33</v>
      </c>
      <c r="F92" s="7">
        <v>36</v>
      </c>
      <c r="G92" s="7">
        <v>41</v>
      </c>
      <c r="H92" s="7">
        <v>38</v>
      </c>
      <c r="I92" s="7">
        <v>48</v>
      </c>
      <c r="J92" s="7">
        <v>38</v>
      </c>
      <c r="AE92" s="6">
        <v>0.43749999999999983</v>
      </c>
      <c r="AF92" s="7">
        <f t="shared" si="64"/>
        <v>7.1117736227664086</v>
      </c>
      <c r="AG92" s="7">
        <f t="shared" si="65"/>
        <v>6.2146307798481706</v>
      </c>
      <c r="AH92" s="7">
        <f t="shared" si="66"/>
        <v>5.681917709106834</v>
      </c>
      <c r="AI92" s="7">
        <f t="shared" si="67"/>
        <v>6.00744491514802</v>
      </c>
      <c r="AJ92" s="7">
        <f t="shared" si="68"/>
        <v>8.2003826867247298</v>
      </c>
      <c r="AK92" s="7">
        <f t="shared" si="69"/>
        <v>5.8069757898675256</v>
      </c>
      <c r="AL92" s="7">
        <f t="shared" si="70"/>
        <v>7.4160224303135882</v>
      </c>
      <c r="AW92" s="15">
        <v>0.68750000000000011</v>
      </c>
      <c r="AX92" s="10">
        <v>9.1</v>
      </c>
      <c r="AY92" s="10">
        <v>11.2</v>
      </c>
      <c r="AZ92" s="10">
        <v>9.1</v>
      </c>
      <c r="BA92" s="10">
        <v>10.5</v>
      </c>
      <c r="BB92" s="10">
        <v>9.1</v>
      </c>
      <c r="BC92" s="10">
        <v>8.3999999999999986</v>
      </c>
      <c r="BD92" s="10">
        <v>11.2</v>
      </c>
      <c r="BJ92" s="15">
        <v>0.60416666666666663</v>
      </c>
      <c r="BK92" s="68" cm="1">
        <f t="array" ref="BK92">[1]!FractionalAgents(82%,20,E36,N36)</f>
        <v>12.051965713500977</v>
      </c>
      <c r="BL92" s="68" cm="1">
        <f t="array" ref="BL92">[1]!FractionalAgents(82%,20,F36,O36)</f>
        <v>13.32122802734375</v>
      </c>
      <c r="BM92" s="68" cm="1">
        <f t="array" ref="BM92">[1]!FractionalAgents(82%,20,G36,P36)</f>
        <v>13.431232452392578</v>
      </c>
      <c r="BN92" s="68" cm="1">
        <f t="array" ref="BN92">[1]!FractionalAgents(82%,20,H36,Q36)</f>
        <v>13.152234077453613</v>
      </c>
      <c r="BO92" s="68" cm="1">
        <f t="array" ref="BO92">[1]!FractionalAgents(82%,20,I36,R36)</f>
        <v>10.217221260070801</v>
      </c>
      <c r="BP92" s="68" cm="1">
        <f t="array" ref="BP92">[1]!FractionalAgents(82%,20,J36,S36)</f>
        <v>11.403214454650879</v>
      </c>
      <c r="BQ92" s="68" cm="1">
        <f t="array" ref="BQ92">[1]!FractionalAgents(82%,20,K36,T36)</f>
        <v>12.01273250579834</v>
      </c>
      <c r="BS92" s="15">
        <v>0.60416666666666663</v>
      </c>
      <c r="BT92" s="8" cm="1">
        <f t="array" ref="BT92">[1]!SLA(BK92,20,E36,N36)</f>
        <v>0.81785374879837036</v>
      </c>
      <c r="BU92" s="8" cm="1">
        <f t="array" ref="BU92">[1]!SLA(BL92,20,F36,O36)</f>
        <v>0.80548554658889771</v>
      </c>
      <c r="BV92" s="8" cm="1">
        <f t="array" ref="BV92">[1]!SLA(BM92,20,G36,P36)</f>
        <v>0.79974150657653809</v>
      </c>
      <c r="BW92" s="8" cm="1">
        <f t="array" ref="BW92">[1]!SLA(BN92,20,H36,Q36)</f>
        <v>0.81369757652282715</v>
      </c>
      <c r="BX92" s="8" cm="1">
        <f t="array" ref="BX92">[1]!SLA(BO92,20,I36,R36)</f>
        <v>0.80936938524246216</v>
      </c>
      <c r="BY92" s="8" cm="1">
        <f t="array" ref="BY92">[1]!SLA(BP92,20,J36,S36)</f>
        <v>0.79959952831268311</v>
      </c>
      <c r="BZ92" s="8" cm="1">
        <f t="array" ref="BZ92">[1]!SLA(BQ92,20,K36,T36)</f>
        <v>0.81947916746139526</v>
      </c>
      <c r="CB92" s="15">
        <v>0.60416666666666663</v>
      </c>
      <c r="CC92" s="8" cm="1">
        <f t="array" ref="CC92">[1]!Utilisation(BK92,E36,N36)</f>
        <v>0.72421330213546753</v>
      </c>
      <c r="CD92" s="8" cm="1">
        <f t="array" ref="CD92">[1]!Utilisation(BL92,F36,O36)</f>
        <v>0.7343437671661377</v>
      </c>
      <c r="CE92" s="8" cm="1">
        <f t="array" ref="CE92">[1]!Utilisation(BM92,G36,P36)</f>
        <v>0.73626077175140381</v>
      </c>
      <c r="CF92" s="8" cm="1">
        <f t="array" ref="CF92">[1]!Utilisation(BN92,H36,Q36)</f>
        <v>0.73542636632919312</v>
      </c>
      <c r="CG92" s="8" cm="1">
        <f t="array" ref="CG92">[1]!Utilisation(BO92,I36,R36)</f>
        <v>0.69722622632980347</v>
      </c>
      <c r="CH92" s="8" cm="1">
        <f t="array" ref="CH92">[1]!Utilisation(BP92,J36,S36)</f>
        <v>0.71319437026977539</v>
      </c>
      <c r="CI92" s="8" cm="1">
        <f t="array" ref="CI92">[1]!Utilisation(BQ92,K36,T36)</f>
        <v>0.72349447011947632</v>
      </c>
      <c r="CK92" s="15">
        <v>0.60416666666666663</v>
      </c>
      <c r="CL92" s="69" cm="1">
        <f t="array" ref="CL92">[1]!FractionalCallCapacity(BK92,BT92,20,N36)</f>
        <v>98</v>
      </c>
      <c r="CM92" s="69" cm="1">
        <f t="array" ref="CM92">[1]!FractionalCallCapacity(BL92,BU92,20,O36)</f>
        <v>105</v>
      </c>
      <c r="CN92" s="69" cm="1">
        <f t="array" ref="CN92">[1]!FractionalCallCapacity(BM92,BV92,20,P36)</f>
        <v>113</v>
      </c>
      <c r="CO92" s="69" cm="1">
        <f t="array" ref="CO92">[1]!FractionalCallCapacity(BN92,BW92,20,Q36)</f>
        <v>110</v>
      </c>
      <c r="CP92" s="69" cm="1">
        <f t="array" ref="CP92">[1]!FractionalCallCapacity(BO92,BX92,20,R36)</f>
        <v>82</v>
      </c>
      <c r="CQ92" s="69" cm="1">
        <f t="array" ref="CQ92">[1]!FractionalCallCapacity(BP92,BY92,20,S36)</f>
        <v>96</v>
      </c>
      <c r="CR92" s="69" cm="1">
        <f t="array" ref="CR92">[1]!FractionalCallCapacity(BQ92,BZ92,20,T36)</f>
        <v>94</v>
      </c>
      <c r="CT92" s="15">
        <v>0.60416666666666663</v>
      </c>
      <c r="CU92" s="72">
        <f t="shared" si="55"/>
        <v>-0.5</v>
      </c>
      <c r="CV92" s="72">
        <f t="shared" si="56"/>
        <v>0.5</v>
      </c>
      <c r="CW92" s="72">
        <f t="shared" si="57"/>
        <v>1.75</v>
      </c>
      <c r="CX92" s="72">
        <f t="shared" si="58"/>
        <v>0.5</v>
      </c>
      <c r="CY92" s="72">
        <f t="shared" si="59"/>
        <v>0.84375</v>
      </c>
      <c r="CZ92" s="72">
        <f t="shared" si="60"/>
        <v>1.25</v>
      </c>
      <c r="DA92" s="72">
        <f t="shared" si="61"/>
        <v>-0.8125</v>
      </c>
      <c r="DC92" s="15">
        <v>0.60416666666666663</v>
      </c>
      <c r="DD92" s="72">
        <f>'linear calc'!BF34 -'linear calc'!AN34</f>
        <v>1.5318673912126712E-2</v>
      </c>
      <c r="DE92" s="72">
        <f>'linear calc'!BG34 -'linear calc'!AO34</f>
        <v>1.3889524426217701</v>
      </c>
      <c r="DF92" s="72">
        <f>'linear calc'!BH34 -'linear calc'!AP34</f>
        <v>1.5236895182251047</v>
      </c>
      <c r="DG92" s="72">
        <f>'linear calc'!BI34 -'linear calc'!AQ34</f>
        <v>1.6691919191919187</v>
      </c>
      <c r="DH92" s="72">
        <f>'linear calc'!BJ34 -'linear calc'!AR34</f>
        <v>1.610111533276136</v>
      </c>
      <c r="DI92" s="72">
        <f>'linear calc'!BK34 -'linear calc'!AS34</f>
        <v>1.7063326433789259</v>
      </c>
      <c r="DJ92" s="72">
        <f>'linear calc'!BL34 -'linear calc'!AT34</f>
        <v>1.5762189331295016</v>
      </c>
      <c r="DL92" s="15">
        <v>0.60416666666666663</v>
      </c>
      <c r="DM92" s="75" cm="1">
        <f t="array" ref="DM92">[1]!asa(CR37,E36,N36)</f>
        <v>744</v>
      </c>
      <c r="DN92" s="75" cm="1">
        <f t="array" ref="DN92">[1]!asa(CS37,F36,O36)</f>
        <v>140</v>
      </c>
      <c r="DO92" s="75" cm="1">
        <f t="array" ref="DO92">[1]!asa(CT37,G36,P36)</f>
        <v>3516</v>
      </c>
      <c r="DP92" s="75" cm="1">
        <f t="array" ref="DP92">[1]!asa(CU37,H36,Q36)</f>
        <v>292</v>
      </c>
      <c r="DQ92" s="75" cm="1">
        <f t="array" ref="DQ92">[1]!asa(CV37,I36,R36)</f>
        <v>65</v>
      </c>
      <c r="DR92" s="75" cm="1">
        <f t="array" ref="DR92">[1]!asa(CW37,J36,S36)</f>
        <v>1052</v>
      </c>
      <c r="DS92" s="75" cm="1">
        <f t="array" ref="DS92">[1]!asa(CX37,K36,T36)</f>
        <v>46</v>
      </c>
      <c r="DU92" s="15">
        <v>0.60416666666666663</v>
      </c>
      <c r="DV92" s="8" cm="1">
        <f t="array" ref="DV92">[1]!Abandon(CR37,300,E36,N36)</f>
        <v>0.61127889156341553</v>
      </c>
      <c r="DW92" s="8" cm="1">
        <f t="array" ref="DW92">[1]!Abandon(CS37,300,F36,O36)</f>
        <v>0.16692459583282471</v>
      </c>
      <c r="DX92" s="8" cm="1">
        <f t="array" ref="DX92">[1]!Abandon(CT37,300,G36,P36)</f>
        <v>1</v>
      </c>
      <c r="DY92" s="8" cm="1">
        <f t="array" ref="DY92">[1]!Abandon(CU37,300,H36,Q36)</f>
        <v>0.34800118207931519</v>
      </c>
      <c r="DZ92" s="8" cm="1">
        <f t="array" ref="DZ92">[1]!Abandon(CV37,300,I36,R36)</f>
        <v>6.1869598925113678E-2</v>
      </c>
      <c r="EA92" s="8" cm="1">
        <f t="array" ref="EA92">[1]!Abandon(CW37,300,J36,S36)</f>
        <v>0.70182627439498901</v>
      </c>
      <c r="EB92" s="8" cm="1">
        <f t="array" ref="EB92">[1]!Abandon(CX37,300,K36,T36)</f>
        <v>3.5900615155696869E-2</v>
      </c>
      <c r="ED92" s="15">
        <v>0.60416666666666663</v>
      </c>
      <c r="EE92" s="8">
        <f>1-ABS((('linear calc'!AN34 -'linear calc'!AW34) /'linear calc'!AN34))</f>
        <v>0.56901970103576804</v>
      </c>
      <c r="EF92" s="8">
        <f>1-ABS((('linear calc'!AO34 -'linear calc'!AX34) /'linear calc'!AO34))</f>
        <v>0.36918535901220095</v>
      </c>
      <c r="EG92" s="8">
        <f>1-ABS((('linear calc'!AP34 -'linear calc'!AY34) /'linear calc'!AP34))</f>
        <v>0.28412523070800777</v>
      </c>
      <c r="EH92" s="8">
        <f>1-ABS((('linear calc'!AQ34 -'linear calc'!AZ34) /'linear calc'!AQ34))</f>
        <v>0.30140120102945389</v>
      </c>
      <c r="EI92" s="8">
        <f>1-ABS((('linear calc'!AR34 -'linear calc'!BA34) /'linear calc'!AR34))</f>
        <v>0.26432662412043861</v>
      </c>
      <c r="EJ92" s="8">
        <f>1-ABS((('linear calc'!AS34 -'linear calc'!BB34) /'linear calc'!AS34))</f>
        <v>0.20726077937976062</v>
      </c>
      <c r="EK92" s="8">
        <f>1-ABS((('linear calc'!AT34 -'linear calc'!BC34) /'linear calc'!AT34))</f>
        <v>0.33745178856162938</v>
      </c>
    </row>
    <row r="93" spans="3:141" x14ac:dyDescent="0.3">
      <c r="C93" s="6">
        <v>0.47916666666666646</v>
      </c>
      <c r="D93" s="7">
        <v>42</v>
      </c>
      <c r="E93" s="7">
        <v>45</v>
      </c>
      <c r="F93" s="7">
        <v>30</v>
      </c>
      <c r="G93" s="7">
        <v>44</v>
      </c>
      <c r="H93" s="7">
        <v>34</v>
      </c>
      <c r="I93" s="7">
        <v>39</v>
      </c>
      <c r="J93" s="7">
        <v>46</v>
      </c>
      <c r="AE93" s="6">
        <v>0.45833333333333315</v>
      </c>
      <c r="AF93" s="7">
        <f t="shared" si="64"/>
        <v>7.2741579558652729</v>
      </c>
      <c r="AG93" s="7">
        <f t="shared" si="65"/>
        <v>5.2565445626260772</v>
      </c>
      <c r="AH93" s="7">
        <f t="shared" si="66"/>
        <v>5.6887018492351169</v>
      </c>
      <c r="AI93" s="7">
        <f t="shared" si="67"/>
        <v>6.3162763162763165</v>
      </c>
      <c r="AJ93" s="7">
        <f t="shared" si="68"/>
        <v>5.9722585465218199</v>
      </c>
      <c r="AK93" s="7">
        <f t="shared" si="69"/>
        <v>7.9326666364993885</v>
      </c>
      <c r="AL93" s="7">
        <f t="shared" si="70"/>
        <v>5.98973120187551</v>
      </c>
      <c r="AW93" s="15">
        <v>0.70833333333333348</v>
      </c>
      <c r="AX93" s="10">
        <v>9.1</v>
      </c>
      <c r="AY93" s="10">
        <v>11.2</v>
      </c>
      <c r="AZ93" s="10">
        <v>9.1</v>
      </c>
      <c r="BA93" s="10">
        <v>10.5</v>
      </c>
      <c r="BB93" s="10">
        <v>9.1</v>
      </c>
      <c r="BC93" s="10">
        <v>8.3999999999999986</v>
      </c>
      <c r="BD93" s="10">
        <v>11.2</v>
      </c>
      <c r="BJ93" s="15">
        <v>0.625</v>
      </c>
      <c r="BK93" s="68" cm="1">
        <f t="array" ref="BK93">[1]!FractionalAgents(82%,20,E37,N37)</f>
        <v>12.989068031311035</v>
      </c>
      <c r="BL93" s="68" cm="1">
        <f t="array" ref="BL93">[1]!FractionalAgents(82%,20,F37,O37)</f>
        <v>12.090579032897949</v>
      </c>
      <c r="BM93" s="68" cm="1">
        <f t="array" ref="BM93">[1]!FractionalAgents(82%,20,G37,P37)</f>
        <v>13.007077217102051</v>
      </c>
      <c r="BN93" s="68" cm="1">
        <f t="array" ref="BN93">[1]!FractionalAgents(82%,20,H37,Q37)</f>
        <v>12.943658828735352</v>
      </c>
      <c r="BO93" s="68" cm="1">
        <f t="array" ref="BO93">[1]!FractionalAgents(82%,20,I37,R37)</f>
        <v>10.405688285827637</v>
      </c>
      <c r="BP93" s="68" cm="1">
        <f t="array" ref="BP93">[1]!FractionalAgents(82%,20,J37,S37)</f>
        <v>12.571236610412598</v>
      </c>
      <c r="BQ93" s="68" cm="1">
        <f t="array" ref="BQ93">[1]!FractionalAgents(82%,20,K37,T37)</f>
        <v>12.467928886413574</v>
      </c>
      <c r="BS93" s="15">
        <v>0.625</v>
      </c>
      <c r="BT93" s="8" cm="1">
        <f t="array" ref="BT93">[1]!SLA(BK93,20,E37,N37)</f>
        <v>0.7562980055809021</v>
      </c>
      <c r="BU93" s="8" cm="1">
        <f t="array" ref="BU93">[1]!SLA(BL93,20,F37,O37)</f>
        <v>0.81616866588592529</v>
      </c>
      <c r="BV93" s="8" cm="1">
        <f t="array" ref="BV93">[1]!SLA(BM93,20,G37,P37)</f>
        <v>0.81972330808639526</v>
      </c>
      <c r="BW93" s="8" cm="1">
        <f t="array" ref="BW93">[1]!SLA(BN93,20,H37,Q37)</f>
        <v>0.76029026508331299</v>
      </c>
      <c r="BX93" s="8" cm="1">
        <f t="array" ref="BX93">[1]!SLA(BO93,20,I37,R37)</f>
        <v>0.79803019762039185</v>
      </c>
      <c r="BY93" s="8" cm="1">
        <f t="array" ref="BY93">[1]!SLA(BP93,20,J37,S37)</f>
        <v>0.78992646932601929</v>
      </c>
      <c r="BZ93" s="8" cm="1">
        <f t="array" ref="BZ93">[1]!SLA(BQ93,20,K37,T37)</f>
        <v>0.7964901328086853</v>
      </c>
      <c r="CB93" s="15">
        <v>0.625</v>
      </c>
      <c r="CC93" s="8" cm="1">
        <f t="array" ref="CC93">[1]!Utilisation(BK93,E37,N37)</f>
        <v>0.73509460687637329</v>
      </c>
      <c r="CD93" s="8" cm="1">
        <f t="array" ref="CD93">[1]!Utilisation(BL93,F37,O37)</f>
        <v>0.72342830896377563</v>
      </c>
      <c r="CE93" s="8" cm="1">
        <f t="array" ref="CE93">[1]!Utilisation(BM93,G37,P37)</f>
        <v>0.73500049114227295</v>
      </c>
      <c r="CF93" s="8" cm="1">
        <f t="array" ref="CF93">[1]!Utilisation(BN93,H37,Q37)</f>
        <v>0.73290926218032837</v>
      </c>
      <c r="CG93" s="8" cm="1">
        <f t="array" ref="CG93">[1]!Utilisation(BO93,I37,R37)</f>
        <v>0.69715088605880737</v>
      </c>
      <c r="CH93" s="8" cm="1">
        <f t="array" ref="CH93">[1]!Utilisation(BP93,J37,S37)</f>
        <v>0.72620862722396851</v>
      </c>
      <c r="CI93" s="8" cm="1">
        <f t="array" ref="CI93">[1]!Utilisation(BQ93,K37,T37)</f>
        <v>0.7248263955116272</v>
      </c>
      <c r="CK93" s="15">
        <v>0.625</v>
      </c>
      <c r="CL93" s="69" cm="1">
        <f t="array" ref="CL93">[1]!FractionalCallCapacity(BK93,BT93,20,N37)</f>
        <v>112</v>
      </c>
      <c r="CM93" s="69" cm="1">
        <f t="array" ref="CM93">[1]!FractionalCallCapacity(BL93,BU93,20,O37)</f>
        <v>96</v>
      </c>
      <c r="CN93" s="69" cm="1">
        <f t="array" ref="CN93">[1]!FractionalCallCapacity(BM93,BV93,20,P37)</f>
        <v>105</v>
      </c>
      <c r="CO93" s="69" cm="1">
        <f t="array" ref="CO93">[1]!FractionalCallCapacity(BN93,BW93,20,Q37)</f>
        <v>107</v>
      </c>
      <c r="CP93" s="69" cm="1">
        <f t="array" ref="CP93">[1]!FractionalCallCapacity(BO93,BX93,20,R37)</f>
        <v>80</v>
      </c>
      <c r="CQ93" s="69" cm="1">
        <f t="array" ref="CQ93">[1]!FractionalCallCapacity(BP93,BY93,20,S37)</f>
        <v>103</v>
      </c>
      <c r="CR93" s="69" cm="1">
        <f t="array" ref="CR93">[1]!FractionalCallCapacity(BQ93,BZ93,20,T37)</f>
        <v>101</v>
      </c>
      <c r="CT93" s="15">
        <v>0.625</v>
      </c>
      <c r="CU93" s="72">
        <f t="shared" si="55"/>
        <v>5.25</v>
      </c>
      <c r="CV93" s="72">
        <f t="shared" si="56"/>
        <v>0</v>
      </c>
      <c r="CW93" s="72">
        <f t="shared" si="57"/>
        <v>-0.25</v>
      </c>
      <c r="CX93" s="72">
        <f t="shared" si="58"/>
        <v>4.75</v>
      </c>
      <c r="CY93" s="72">
        <f t="shared" si="59"/>
        <v>1.3385416666666714</v>
      </c>
      <c r="CZ93" s="72">
        <f t="shared" si="60"/>
        <v>1.875</v>
      </c>
      <c r="DA93" s="72">
        <f t="shared" si="61"/>
        <v>1.8125</v>
      </c>
      <c r="DC93" s="15">
        <v>0.625</v>
      </c>
      <c r="DD93" s="72">
        <f>'linear calc'!BF35 -'linear calc'!AN35</f>
        <v>-0.93662458993011022</v>
      </c>
      <c r="DE93" s="72">
        <f>'linear calc'!BG35 -'linear calc'!AO35</f>
        <v>2.3117769654355023</v>
      </c>
      <c r="DF93" s="72">
        <f>'linear calc'!BH35 -'linear calc'!AP35</f>
        <v>2.0098233488477391</v>
      </c>
      <c r="DG93" s="72">
        <f>'linear calc'!BI35 -'linear calc'!AQ35</f>
        <v>2.1190607694120427</v>
      </c>
      <c r="DH93" s="72">
        <f>'linear calc'!BJ35 -'linear calc'!AR35</f>
        <v>1.4461753857443567</v>
      </c>
      <c r="DI93" s="72">
        <f>'linear calc'!BK35 -'linear calc'!AS35</f>
        <v>0.24141626854412657</v>
      </c>
      <c r="DJ93" s="72">
        <f>'linear calc'!BL35 -'linear calc'!AT35</f>
        <v>1.200975609756096</v>
      </c>
      <c r="DL93" s="15">
        <v>0.625</v>
      </c>
      <c r="DM93" s="75" cm="1">
        <f t="array" ref="DM93">[1]!asa(CR38,E37,N37)</f>
        <v>3538</v>
      </c>
      <c r="DN93" s="75" cm="1">
        <f t="array" ref="DN93">[1]!asa(CS38,F37,O37)</f>
        <v>48</v>
      </c>
      <c r="DO93" s="75" cm="1">
        <f t="array" ref="DO93">[1]!asa(CT38,G37,P37)</f>
        <v>3593</v>
      </c>
      <c r="DP93" s="75" cm="1">
        <f t="array" ref="DP93">[1]!asa(CU38,H37,Q37)</f>
        <v>234</v>
      </c>
      <c r="DQ93" s="75" cm="1">
        <f t="array" ref="DQ93">[1]!asa(CV38,I37,R37)</f>
        <v>78</v>
      </c>
      <c r="DR93" s="75" cm="1">
        <f t="array" ref="DR93">[1]!asa(CW38,J37,S37)</f>
        <v>3869</v>
      </c>
      <c r="DS93" s="75" cm="1">
        <f t="array" ref="DS93">[1]!asa(CX38,K37,T37)</f>
        <v>64</v>
      </c>
      <c r="DU93" s="15">
        <v>0.625</v>
      </c>
      <c r="DV93" s="8" cm="1">
        <f t="array" ref="DV93">[1]!Abandon(CR38,300,E37,N37)</f>
        <v>1</v>
      </c>
      <c r="DW93" s="8" cm="1">
        <f t="array" ref="DW93">[1]!Abandon(CS38,300,F37,O37)</f>
        <v>3.8355927914381027E-2</v>
      </c>
      <c r="DX93" s="8" cm="1">
        <f t="array" ref="DX93">[1]!Abandon(CT38,300,G37,P37)</f>
        <v>1</v>
      </c>
      <c r="DY93" s="8" cm="1">
        <f t="array" ref="DY93">[1]!Abandon(CU38,300,H37,Q37)</f>
        <v>0.28549489378929138</v>
      </c>
      <c r="DZ93" s="8" cm="1">
        <f t="array" ref="DZ93">[1]!Abandon(CV38,300,I37,R37)</f>
        <v>8.1997983157634735E-2</v>
      </c>
      <c r="EA93" s="8" cm="1">
        <f t="array" ref="EA93">[1]!Abandon(CW38,300,J37,S37)</f>
        <v>1</v>
      </c>
      <c r="EB93" s="8" cm="1">
        <f t="array" ref="EB93">[1]!Abandon(CX38,300,K37,T37)</f>
        <v>5.7986598461866379E-2</v>
      </c>
      <c r="ED93" s="15">
        <v>0.625</v>
      </c>
      <c r="EE93" s="8">
        <f>1-ABS((('linear calc'!AN35 -'linear calc'!AW35) /'linear calc'!AN35))</f>
        <v>0.70474382263504332</v>
      </c>
      <c r="EF93" s="8">
        <f>1-ABS((('linear calc'!AO35 -'linear calc'!AX35) /'linear calc'!AO35))</f>
        <v>0.19986515439821384</v>
      </c>
      <c r="EG93" s="8">
        <f>1-ABS((('linear calc'!AP35 -'linear calc'!AY35) /'linear calc'!AP35))</f>
        <v>0.16647727699601056</v>
      </c>
      <c r="EH93" s="8">
        <f>1-ABS((('linear calc'!AQ35 -'linear calc'!AZ35) /'linear calc'!AQ35))</f>
        <v>0.21022446443061871</v>
      </c>
      <c r="EI93" s="8">
        <f>1-ABS((('linear calc'!AR35 -'linear calc'!BA35) /'linear calc'!AR35))</f>
        <v>0.30150275774717517</v>
      </c>
      <c r="EJ93" s="8">
        <f>1-ABS((('linear calc'!AS35 -'linear calc'!BB35) /'linear calc'!AS35))</f>
        <v>0.52915648169015728</v>
      </c>
      <c r="EK93" s="8">
        <f>1-ABS((('linear calc'!AT35 -'linear calc'!BC35) /'linear calc'!AT35))</f>
        <v>0.39984388720850828</v>
      </c>
    </row>
    <row r="94" spans="3:141" x14ac:dyDescent="0.3">
      <c r="C94" s="14">
        <v>0.49999999999999978</v>
      </c>
      <c r="D94" s="7">
        <v>50</v>
      </c>
      <c r="E94" s="7">
        <v>42</v>
      </c>
      <c r="F94" s="7">
        <v>32</v>
      </c>
      <c r="G94" s="7">
        <v>38</v>
      </c>
      <c r="H94" s="7">
        <v>42</v>
      </c>
      <c r="I94" s="7">
        <v>50</v>
      </c>
      <c r="J94" s="7">
        <v>37</v>
      </c>
      <c r="AE94" s="6">
        <v>0.47916666666666646</v>
      </c>
      <c r="AF94" s="7">
        <f t="shared" si="64"/>
        <v>6.5246514933015645</v>
      </c>
      <c r="AG94" s="7">
        <f t="shared" si="65"/>
        <v>7.0662944400626975</v>
      </c>
      <c r="AH94" s="7">
        <f t="shared" si="66"/>
        <v>4.8073084182078079</v>
      </c>
      <c r="AI94" s="7">
        <f t="shared" si="67"/>
        <v>6.8948114709859274</v>
      </c>
      <c r="AJ94" s="7">
        <f t="shared" si="68"/>
        <v>5.3135357214465433</v>
      </c>
      <c r="AK94" s="7">
        <f t="shared" si="69"/>
        <v>6.273041698197412</v>
      </c>
      <c r="AL94" s="7">
        <f t="shared" si="70"/>
        <v>7.4628484547756271</v>
      </c>
      <c r="AW94" s="15">
        <v>0.72916666666666685</v>
      </c>
      <c r="AX94" s="10">
        <v>9.1</v>
      </c>
      <c r="AY94" s="10">
        <v>11.2</v>
      </c>
      <c r="AZ94" s="10">
        <v>9.1</v>
      </c>
      <c r="BA94" s="10">
        <v>10.5</v>
      </c>
      <c r="BB94" s="10">
        <v>9.1</v>
      </c>
      <c r="BC94" s="10">
        <v>8.3999999999999986</v>
      </c>
      <c r="BD94" s="10">
        <v>11.2</v>
      </c>
      <c r="BJ94" s="15">
        <v>0.64583333333333337</v>
      </c>
      <c r="BK94" s="68" cm="1">
        <f t="array" ref="BK94">[1]!FractionalAgents(82%,20,E38,N38)</f>
        <v>12.292215347290039</v>
      </c>
      <c r="BL94" s="68" cm="1">
        <f t="array" ref="BL94">[1]!FractionalAgents(82%,20,F38,O38)</f>
        <v>12.914646148681641</v>
      </c>
      <c r="BM94" s="68" cm="1">
        <f t="array" ref="BM94">[1]!FractionalAgents(82%,20,G38,P38)</f>
        <v>11.852806091308594</v>
      </c>
      <c r="BN94" s="68" cm="1">
        <f t="array" ref="BN94">[1]!FractionalAgents(82%,20,H38,Q38)</f>
        <v>12.963122367858887</v>
      </c>
      <c r="BO94" s="68" cm="1">
        <f t="array" ref="BO94">[1]!FractionalAgents(82%,20,I38,R38)</f>
        <v>9.6970386505126953</v>
      </c>
      <c r="BP94" s="68" cm="1">
        <f t="array" ref="BP94">[1]!FractionalAgents(82%,20,J38,S38)</f>
        <v>11.862619400024414</v>
      </c>
      <c r="BQ94" s="68" cm="1">
        <f t="array" ref="BQ94">[1]!FractionalAgents(82%,20,K38,T38)</f>
        <v>11.762420654296875</v>
      </c>
      <c r="BS94" s="15">
        <v>0.64583333333333337</v>
      </c>
      <c r="BT94" s="8" cm="1">
        <f t="array" ref="BT94">[1]!SLA(BK94,20,E38,N38)</f>
        <v>0.80647706985473633</v>
      </c>
      <c r="BU94" s="8" cm="1">
        <f t="array" ref="BU94">[1]!SLA(BL94,20,F38,O38)</f>
        <v>0.76313614845275879</v>
      </c>
      <c r="BV94" s="8" cm="1">
        <f t="array" ref="BV94">[1]!SLA(BM94,20,G38,P38)</f>
        <v>0.76581215858459473</v>
      </c>
      <c r="BW94" s="8" cm="1">
        <f t="array" ref="BW94">[1]!SLA(BN94,20,H38,Q38)</f>
        <v>0.75871694087982178</v>
      </c>
      <c r="BX94" s="8" cm="1">
        <f t="array" ref="BX94">[1]!SLA(BO94,20,I38,R38)</f>
        <v>0.7738192081451416</v>
      </c>
      <c r="BY94" s="8" cm="1">
        <f t="array" ref="BY94">[1]!SLA(BP94,20,J38,S38)</f>
        <v>0.76465213298797607</v>
      </c>
      <c r="BZ94" s="8" cm="1">
        <f t="array" ref="BZ94">[1]!SLA(BQ94,20,K38,T38)</f>
        <v>0.77355599403381348</v>
      </c>
      <c r="CB94" s="15">
        <v>0.64583333333333337</v>
      </c>
      <c r="CC94" s="8" cm="1">
        <f t="array" ref="CC94">[1]!Utilisation(BK94,E38,N38)</f>
        <v>0.72379821538925171</v>
      </c>
      <c r="CD94" s="8" cm="1">
        <f t="array" ref="CD94">[1]!Utilisation(BL94,F38,O38)</f>
        <v>0.73273825645446777</v>
      </c>
      <c r="CE94" s="8" cm="1">
        <f t="array" ref="CE94">[1]!Utilisation(BM94,G38,P38)</f>
        <v>0.71994209289550781</v>
      </c>
      <c r="CF94" s="8" cm="1">
        <f t="array" ref="CF94">[1]!Utilisation(BN94,H38,Q38)</f>
        <v>0.73419809341430664</v>
      </c>
      <c r="CG94" s="8" cm="1">
        <f t="array" ref="CG94">[1]!Utilisation(BO94,I38,R38)</f>
        <v>0.68710356950759888</v>
      </c>
      <c r="CH94" s="8" cm="1">
        <f t="array" ref="CH94">[1]!Utilisation(BP94,J38,S38)</f>
        <v>0.71936845779418945</v>
      </c>
      <c r="CI94" s="8" cm="1">
        <f t="array" ref="CI94">[1]!Utilisation(BQ94,K38,T38)</f>
        <v>0.71721172332763672</v>
      </c>
      <c r="CK94" s="15">
        <v>0.64583333333333337</v>
      </c>
      <c r="CL94" s="69" cm="1">
        <f t="array" ref="CL94">[1]!FractionalCallCapacity(BK94,BT94,20,N38)</f>
        <v>99</v>
      </c>
      <c r="CM94" s="69" cm="1">
        <f t="array" ref="CM94">[1]!FractionalCallCapacity(BL94,BU94,20,O38)</f>
        <v>109</v>
      </c>
      <c r="CN94" s="69" cm="1">
        <f t="array" ref="CN94">[1]!FractionalCallCapacity(BM94,BV94,20,P38)</f>
        <v>100</v>
      </c>
      <c r="CO94" s="69" cm="1">
        <f t="array" ref="CO94">[1]!FractionalCallCapacity(BN94,BW94,20,Q38)</f>
        <v>110</v>
      </c>
      <c r="CP94" s="69" cm="1">
        <f t="array" ref="CP94">[1]!FractionalCallCapacity(BO94,BX94,20,R38)</f>
        <v>79</v>
      </c>
      <c r="CQ94" s="69" cm="1">
        <f t="array" ref="CQ94">[1]!FractionalCallCapacity(BP94,BY94,20,S38)</f>
        <v>97</v>
      </c>
      <c r="CR94" s="69" cm="1">
        <f t="array" ref="CR94">[1]!FractionalCallCapacity(BQ94,BZ94,20,T38)</f>
        <v>96</v>
      </c>
      <c r="CT94" s="15">
        <v>0.64583333333333337</v>
      </c>
      <c r="CU94" s="72">
        <f t="shared" si="55"/>
        <v>0.75</v>
      </c>
      <c r="CV94" s="72">
        <f t="shared" si="56"/>
        <v>4.5</v>
      </c>
      <c r="CW94" s="72">
        <f t="shared" si="57"/>
        <v>4</v>
      </c>
      <c r="CX94" s="72">
        <f t="shared" si="58"/>
        <v>4.25</v>
      </c>
      <c r="CY94" s="72">
        <f t="shared" si="59"/>
        <v>3.3333333333333286</v>
      </c>
      <c r="CZ94" s="72">
        <f t="shared" si="60"/>
        <v>4.1875</v>
      </c>
      <c r="DA94" s="72">
        <f t="shared" si="61"/>
        <v>3.125</v>
      </c>
      <c r="DC94" s="15">
        <v>0.64583333333333337</v>
      </c>
      <c r="DD94" s="72">
        <f>'linear calc'!BF36 -'linear calc'!AN36</f>
        <v>1.5821485987256958</v>
      </c>
      <c r="DE94" s="72">
        <f>'linear calc'!BG36 -'linear calc'!AO36</f>
        <v>1.9264698533510138</v>
      </c>
      <c r="DF94" s="72">
        <f>'linear calc'!BH36 -'linear calc'!AP36</f>
        <v>-1.7304297328687586</v>
      </c>
      <c r="DG94" s="72">
        <f>'linear calc'!BI36 -'linear calc'!AQ36</f>
        <v>3.6967108087156522</v>
      </c>
      <c r="DH94" s="72">
        <f>'linear calc'!BJ36 -'linear calc'!AR36</f>
        <v>2.6549324471346898</v>
      </c>
      <c r="DI94" s="72">
        <f>'linear calc'!BK36 -'linear calc'!AS36</f>
        <v>-0.79260241674034937</v>
      </c>
      <c r="DJ94" s="72">
        <f>'linear calc'!BL36 -'linear calc'!AT36</f>
        <v>2.1216095795043159</v>
      </c>
      <c r="DL94" s="15">
        <v>0.64583333333333337</v>
      </c>
      <c r="DM94" s="75" cm="1">
        <f t="array" ref="DM94">[1]!asa(CR39,E38,N38)</f>
        <v>1488</v>
      </c>
      <c r="DN94" s="75" cm="1">
        <f t="array" ref="DN94">[1]!asa(CS39,F38,O38)</f>
        <v>96</v>
      </c>
      <c r="DO94" s="75" cm="1">
        <f t="array" ref="DO94">[1]!asa(CT39,G38,P38)</f>
        <v>452</v>
      </c>
      <c r="DP94" s="75" cm="1">
        <f t="array" ref="DP94">[1]!asa(CU39,H38,Q38)</f>
        <v>237</v>
      </c>
      <c r="DQ94" s="75" cm="1">
        <f t="array" ref="DQ94">[1]!asa(CV39,I38,R38)</f>
        <v>40</v>
      </c>
      <c r="DR94" s="75" cm="1">
        <f t="array" ref="DR94">[1]!asa(CW39,J38,S38)</f>
        <v>3940</v>
      </c>
      <c r="DS94" s="75" cm="1">
        <f t="array" ref="DS94">[1]!asa(CX39,K38,T38)</f>
        <v>36</v>
      </c>
      <c r="DU94" s="15">
        <v>0.64583333333333337</v>
      </c>
      <c r="DV94" s="8" cm="1">
        <f t="array" ref="DV94">[1]!Abandon(CR39,300,E38,N38)</f>
        <v>0.76858508586883545</v>
      </c>
      <c r="DW94" s="8" cm="1">
        <f t="array" ref="DW94">[1]!Abandon(CS39,300,F38,O38)</f>
        <v>0.10367242246866226</v>
      </c>
      <c r="DX94" s="8" cm="1">
        <f t="array" ref="DX94">[1]!Abandon(CT39,300,G38,P38)</f>
        <v>0.47098925709724426</v>
      </c>
      <c r="DY94" s="8" cm="1">
        <f t="array" ref="DY94">[1]!Abandon(CU39,300,H38,Q38)</f>
        <v>0.28898382186889648</v>
      </c>
      <c r="DZ94" s="8" cm="1">
        <f t="array" ref="DZ94">[1]!Abandon(CV39,300,I38,R38)</f>
        <v>3.0472652986645699E-2</v>
      </c>
      <c r="EA94" s="8" cm="1">
        <f t="array" ref="EA94">[1]!Abandon(CW39,300,J38,S38)</f>
        <v>1</v>
      </c>
      <c r="EB94" s="8" cm="1">
        <f t="array" ref="EB94">[1]!Abandon(CX39,300,K38,T38)</f>
        <v>2.4211274459958076E-2</v>
      </c>
      <c r="ED94" s="15">
        <v>0.64583333333333337</v>
      </c>
      <c r="EE94" s="8">
        <f>1-ABS((('linear calc'!AN36 -'linear calc'!AW36) /'linear calc'!AN36))</f>
        <v>0.27078252733268293</v>
      </c>
      <c r="EF94" s="8">
        <f>1-ABS((('linear calc'!AO36 -'linear calc'!AX36) /'linear calc'!AO36))</f>
        <v>0.27465919159365193</v>
      </c>
      <c r="EG94" s="8">
        <f>1-ABS((('linear calc'!AP36 -'linear calc'!AY36) /'linear calc'!AP36))</f>
        <v>0.7996782841823058</v>
      </c>
      <c r="EH94" s="8">
        <f>1-ABS((('linear calc'!AQ36 -'linear calc'!AZ36) /'linear calc'!AQ36))</f>
        <v>-0.20481587335966966</v>
      </c>
      <c r="EI94" s="8">
        <f>1-ABS((('linear calc'!AR36 -'linear calc'!BA36) /'linear calc'!AR36))</f>
        <v>-1.7046352636061579E-2</v>
      </c>
      <c r="EJ94" s="8">
        <f>1-ABS((('linear calc'!AS36 -'linear calc'!BB36) /'linear calc'!AS36))</f>
        <v>0.69460252320418081</v>
      </c>
      <c r="EK94" s="8">
        <f>1-ABS((('linear calc'!AT36 -'linear calc'!BC36) /'linear calc'!AT36))</f>
        <v>0.2375730433582306</v>
      </c>
    </row>
    <row r="95" spans="3:141" x14ac:dyDescent="0.3">
      <c r="C95" s="15">
        <v>0.52083333333333315</v>
      </c>
      <c r="D95" s="7">
        <v>46</v>
      </c>
      <c r="E95" s="7">
        <v>36</v>
      </c>
      <c r="F95" s="7">
        <v>36</v>
      </c>
      <c r="G95" s="7">
        <v>49</v>
      </c>
      <c r="H95" s="7">
        <v>41</v>
      </c>
      <c r="I95" s="7">
        <v>31</v>
      </c>
      <c r="J95" s="7">
        <v>38</v>
      </c>
      <c r="AE95" s="14">
        <v>0.49999999999999978</v>
      </c>
      <c r="AF95" s="7">
        <f t="shared" si="64"/>
        <v>7.7171247902955216</v>
      </c>
      <c r="AG95" s="7">
        <f t="shared" si="65"/>
        <v>6.5328635476328376</v>
      </c>
      <c r="AH95" s="7">
        <f t="shared" si="66"/>
        <v>5.1734747965346628</v>
      </c>
      <c r="AI95" s="7">
        <f t="shared" si="67"/>
        <v>6.0501822938985477</v>
      </c>
      <c r="AJ95" s="7">
        <f t="shared" si="68"/>
        <v>6.6202915905128039</v>
      </c>
      <c r="AK95" s="7">
        <f t="shared" si="69"/>
        <v>7.8865316356768371</v>
      </c>
      <c r="AL95" s="7">
        <f t="shared" si="70"/>
        <v>5.6755603467636888</v>
      </c>
      <c r="AW95" s="15">
        <v>0.75000000000000022</v>
      </c>
      <c r="AX95" s="10">
        <v>9.1</v>
      </c>
      <c r="AY95" s="10">
        <v>11.2</v>
      </c>
      <c r="AZ95" s="10">
        <v>9.1</v>
      </c>
      <c r="BA95" s="10">
        <v>10.5</v>
      </c>
      <c r="BB95" s="10">
        <v>9.1</v>
      </c>
      <c r="BC95" s="10">
        <v>8.3999999999999986</v>
      </c>
      <c r="BD95" s="10">
        <v>11.2</v>
      </c>
      <c r="BJ95" s="15">
        <v>0.66666666666666674</v>
      </c>
      <c r="BK95" s="68" cm="1">
        <f t="array" ref="BK95">[1]!FractionalAgents(82%,20,E39,N39)</f>
        <v>11.495016098022461</v>
      </c>
      <c r="BL95" s="68" cm="1">
        <f t="array" ref="BL95">[1]!FractionalAgents(82%,20,F39,O39)</f>
        <v>12.140781402587891</v>
      </c>
      <c r="BM95" s="68" cm="1">
        <f t="array" ref="BM95">[1]!FractionalAgents(82%,20,G39,P39)</f>
        <v>11.915105819702148</v>
      </c>
      <c r="BN95" s="68" cm="1">
        <f t="array" ref="BN95">[1]!FractionalAgents(82%,20,H39,Q39)</f>
        <v>12.125378608703613</v>
      </c>
      <c r="BO95" s="68" cm="1">
        <f t="array" ref="BO95">[1]!FractionalAgents(82%,20,I39,R39)</f>
        <v>10.189792633056641</v>
      </c>
      <c r="BP95" s="68" cm="1">
        <f t="array" ref="BP95">[1]!FractionalAgents(82%,20,J39,S39)</f>
        <v>13.278876304626465</v>
      </c>
      <c r="BQ95" s="68" cm="1">
        <f t="array" ref="BQ95">[1]!FractionalAgents(82%,20,K39,T39)</f>
        <v>12.683346748352051</v>
      </c>
      <c r="BS95" s="15">
        <v>0.66666666666666674</v>
      </c>
      <c r="BT95" s="8" cm="1">
        <f t="array" ref="BT95">[1]!SLA(BK95,20,E39,N39)</f>
        <v>0.79372179508209229</v>
      </c>
      <c r="BU95" s="8" cm="1">
        <f t="array" ref="BU95">[1]!SLA(BL95,20,F39,O39)</f>
        <v>0.81393462419509888</v>
      </c>
      <c r="BV95" s="8" cm="1">
        <f t="array" ref="BV95">[1]!SLA(BM95,20,G39,P39)</f>
        <v>0.75975573062896729</v>
      </c>
      <c r="BW95" s="8" cm="1">
        <f t="array" ref="BW95">[1]!SLA(BN95,20,H39,Q39)</f>
        <v>0.81462806463241577</v>
      </c>
      <c r="BX95" s="8" cm="1">
        <f t="array" ref="BX95">[1]!SLA(BO95,20,I39,R39)</f>
        <v>0.81072872877120972</v>
      </c>
      <c r="BY95" s="8" cm="1">
        <f t="array" ref="BY95">[1]!SLA(BP95,20,J39,S39)</f>
        <v>0.80766361951828003</v>
      </c>
      <c r="BZ95" s="8" cm="1">
        <f t="array" ref="BZ95">[1]!SLA(BQ95,20,K39,T39)</f>
        <v>0.78203499317169189</v>
      </c>
      <c r="CB95" s="15">
        <v>0.66666666666666674</v>
      </c>
      <c r="CC95" s="8" cm="1">
        <f t="array" ref="CC95">[1]!Utilisation(BK95,E39,N39)</f>
        <v>0.71362447738647461</v>
      </c>
      <c r="CD95" s="8" cm="1">
        <f t="array" ref="CD95">[1]!Utilisation(BL95,F39,O39)</f>
        <v>0.72383445501327515</v>
      </c>
      <c r="CE95" s="8" cm="1">
        <f t="array" ref="CE95">[1]!Utilisation(BM95,G39,P39)</f>
        <v>0.72098016738891602</v>
      </c>
      <c r="CF95" s="8" cm="1">
        <f t="array" ref="CF95">[1]!Utilisation(BN95,H39,Q39)</f>
        <v>0.72368878126144409</v>
      </c>
      <c r="CG95" s="8" cm="1">
        <f t="array" ref="CG95">[1]!Utilisation(BO95,I39,R39)</f>
        <v>0.69581902027130127</v>
      </c>
      <c r="CH95" s="8" cm="1">
        <f t="array" ref="CH95">[1]!Utilisation(BP95,J39,S39)</f>
        <v>0.73447245359420776</v>
      </c>
      <c r="CI95" s="8" cm="1">
        <f t="array" ref="CI95">[1]!Utilisation(BQ95,K39,T39)</f>
        <v>0.72780525684356689</v>
      </c>
      <c r="CK95" s="15">
        <v>0.66666666666666674</v>
      </c>
      <c r="CL95" s="69" cm="1">
        <f t="array" ref="CL95">[1]!FractionalCallCapacity(BK95,BT95,20,N39)</f>
        <v>96</v>
      </c>
      <c r="CM95" s="69" cm="1">
        <f t="array" ref="CM95">[1]!FractionalCallCapacity(BL95,BU95,20,O39)</f>
        <v>98</v>
      </c>
      <c r="CN95" s="69" cm="1">
        <f t="array" ref="CN95">[1]!FractionalCallCapacity(BM95,BV95,20,P39)</f>
        <v>98</v>
      </c>
      <c r="CO95" s="69" cm="1">
        <f t="array" ref="CO95">[1]!FractionalCallCapacity(BN95,BW95,20,Q39)</f>
        <v>97</v>
      </c>
      <c r="CP95" s="69" cm="1">
        <f t="array" ref="CP95">[1]!FractionalCallCapacity(BO95,BX95,20,R39)</f>
        <v>77</v>
      </c>
      <c r="CQ95" s="69" cm="1">
        <f t="array" ref="CQ95">[1]!FractionalCallCapacity(BP95,BY95,20,S39)</f>
        <v>106</v>
      </c>
      <c r="CR95" s="69" cm="1">
        <f t="array" ref="CR95">[1]!FractionalCallCapacity(BQ95,BZ95,20,T39)</f>
        <v>105</v>
      </c>
      <c r="CT95" s="15">
        <v>0.66666666666666674</v>
      </c>
      <c r="CU95" s="72">
        <f t="shared" si="55"/>
        <v>2.25</v>
      </c>
      <c r="CV95" s="72">
        <f t="shared" si="56"/>
        <v>-0.25</v>
      </c>
      <c r="CW95" s="72">
        <f t="shared" si="57"/>
        <v>4</v>
      </c>
      <c r="CX95" s="72">
        <f t="shared" si="58"/>
        <v>-0.5</v>
      </c>
      <c r="CY95" s="72">
        <f t="shared" si="59"/>
        <v>0.578125</v>
      </c>
      <c r="CZ95" s="72">
        <f t="shared" si="60"/>
        <v>0.5625</v>
      </c>
      <c r="DA95" s="72">
        <f t="shared" si="61"/>
        <v>3.0625</v>
      </c>
      <c r="DC95" s="15">
        <v>0.66666666666666674</v>
      </c>
      <c r="DD95" s="72">
        <f>'linear calc'!BF37 -'linear calc'!AN37</f>
        <v>2.2803940655814534</v>
      </c>
      <c r="DE95" s="72">
        <f>'linear calc'!BG37 -'linear calc'!AO37</f>
        <v>2.2583600427350419</v>
      </c>
      <c r="DF95" s="72">
        <f>'linear calc'!BH37 -'linear calc'!AP37</f>
        <v>0.3955771141252562</v>
      </c>
      <c r="DG95" s="72">
        <f>'linear calc'!BI37 -'linear calc'!AQ37</f>
        <v>2.1612924157410571</v>
      </c>
      <c r="DH95" s="72">
        <f>'linear calc'!BJ37 -'linear calc'!AR37</f>
        <v>0.96083911934009869</v>
      </c>
      <c r="DI95" s="72">
        <f>'linear calc'!BK37 -'linear calc'!AS37</f>
        <v>-2.1891451431521123</v>
      </c>
      <c r="DJ95" s="72">
        <f>'linear calc'!BL37 -'linear calc'!AT37</f>
        <v>4.3557835419624036</v>
      </c>
      <c r="DL95" s="15">
        <v>0.66666666666666674</v>
      </c>
      <c r="DM95" s="75" cm="1">
        <f t="array" ref="DM95">[1]!asa(CR40,E39,N39)</f>
        <v>244</v>
      </c>
      <c r="DN95" s="75" cm="1">
        <f t="array" ref="DN95">[1]!asa(CS40,F39,O39)</f>
        <v>49</v>
      </c>
      <c r="DO95" s="75" cm="1">
        <f t="array" ref="DO95">[1]!asa(CT40,G39,P39)</f>
        <v>530</v>
      </c>
      <c r="DP95" s="75" cm="1">
        <f t="array" ref="DP95">[1]!asa(CU40,H39,Q39)</f>
        <v>100</v>
      </c>
      <c r="DQ95" s="75" cm="1">
        <f t="array" ref="DQ95">[1]!asa(CV40,I39,R39)</f>
        <v>66</v>
      </c>
      <c r="DR95" s="75" cm="1">
        <f t="array" ref="DR95">[1]!asa(CW40,J39,S39)</f>
        <v>3964</v>
      </c>
      <c r="DS95" s="75" cm="1">
        <f t="array" ref="DS95">[1]!asa(CX40,K39,T39)</f>
        <v>76</v>
      </c>
      <c r="DU95" s="15">
        <v>0.66666666666666674</v>
      </c>
      <c r="DV95" s="8" cm="1">
        <f t="array" ref="DV95">[1]!Abandon(CR40,300,E39,N39)</f>
        <v>0.29595449566841125</v>
      </c>
      <c r="DW95" s="8" cm="1">
        <f t="array" ref="DW95">[1]!Abandon(CS40,300,F39,O39)</f>
        <v>3.9058435708284378E-2</v>
      </c>
      <c r="DX95" s="8" cm="1">
        <f t="array" ref="DX95">[1]!Abandon(CT40,300,G39,P39)</f>
        <v>0.5154881477355957</v>
      </c>
      <c r="DY95" s="8" cm="1">
        <f t="array" ref="DY95">[1]!Abandon(CU40,300,H39,Q39)</f>
        <v>0.10773167014122009</v>
      </c>
      <c r="DZ95" s="8" cm="1">
        <f t="array" ref="DZ95">[1]!Abandon(CV40,300,I39,R39)</f>
        <v>6.5166950225830078E-2</v>
      </c>
      <c r="EA95" s="8" cm="1">
        <f t="array" ref="EA95">[1]!Abandon(CW40,300,J39,S39)</f>
        <v>1</v>
      </c>
      <c r="EB95" s="8" cm="1">
        <f t="array" ref="EB95">[1]!Abandon(CX40,300,K39,T39)</f>
        <v>7.5209878385066986E-2</v>
      </c>
      <c r="ED95" s="15">
        <v>0.66666666666666674</v>
      </c>
      <c r="EE95" s="8">
        <f>1-ABS((('linear calc'!AN37 -'linear calc'!AW37) /'linear calc'!AN37))</f>
        <v>9.3731496362713607E-2</v>
      </c>
      <c r="EF95" s="8">
        <f>1-ABS((('linear calc'!AO37 -'linear calc'!AX37) /'linear calc'!AO37))</f>
        <v>0.21061907251138823</v>
      </c>
      <c r="EG95" s="8">
        <f>1-ABS((('linear calc'!AP37 -'linear calc'!AY37) /'linear calc'!AP37))</f>
        <v>0.50650638526581926</v>
      </c>
      <c r="EH95" s="8">
        <f>1-ABS((('linear calc'!AQ37 -'linear calc'!AZ37) /'linear calc'!AQ37))</f>
        <v>0.20116009004613111</v>
      </c>
      <c r="EI95" s="8">
        <f>1-ABS((('linear calc'!AR37 -'linear calc'!BA37) /'linear calc'!AR37))</f>
        <v>0.40278375245164144</v>
      </c>
      <c r="EJ95" s="8">
        <f>1-ABS((('linear calc'!AS37 -'linear calc'!BB37) /'linear calc'!AS37))</f>
        <v>0.86676404584365585</v>
      </c>
      <c r="EK95" s="8">
        <f>1-ABS((('linear calc'!AT37 -'linear calc'!BC37) /'linear calc'!AT37))</f>
        <v>-0.33774020709268893</v>
      </c>
    </row>
    <row r="96" spans="3:141" x14ac:dyDescent="0.3">
      <c r="C96" s="15">
        <v>0.54166666666666652</v>
      </c>
      <c r="D96" s="7">
        <v>31</v>
      </c>
      <c r="E96" s="7">
        <v>32</v>
      </c>
      <c r="F96" s="7">
        <v>30</v>
      </c>
      <c r="G96" s="7">
        <v>46</v>
      </c>
      <c r="H96" s="7">
        <v>30</v>
      </c>
      <c r="I96" s="7">
        <v>37</v>
      </c>
      <c r="J96" s="7">
        <v>37</v>
      </c>
      <c r="AE96" s="15">
        <v>0.52083333333333315</v>
      </c>
      <c r="AF96" s="7">
        <f t="shared" si="64"/>
        <v>7.1517317758743069</v>
      </c>
      <c r="AG96" s="7">
        <f t="shared" si="65"/>
        <v>5.5826911018866126</v>
      </c>
      <c r="AH96" s="7">
        <f t="shared" si="66"/>
        <v>5.666480836236933</v>
      </c>
      <c r="AI96" s="7">
        <f t="shared" si="67"/>
        <v>7.4981880632759816</v>
      </c>
      <c r="AJ96" s="7">
        <f t="shared" si="68"/>
        <v>6.2882205513784459</v>
      </c>
      <c r="AK96" s="7">
        <f t="shared" si="69"/>
        <v>4.7454324577504075</v>
      </c>
      <c r="AL96" s="7">
        <f t="shared" si="70"/>
        <v>5.735821954879107</v>
      </c>
      <c r="AW96" s="15">
        <v>0.77083333333333359</v>
      </c>
      <c r="AX96" s="10">
        <v>9.1</v>
      </c>
      <c r="AY96" s="10">
        <v>11.2</v>
      </c>
      <c r="AZ96" s="10">
        <v>9.1</v>
      </c>
      <c r="BA96" s="10">
        <v>10.5</v>
      </c>
      <c r="BB96" s="10">
        <v>9.1</v>
      </c>
      <c r="BC96" s="10">
        <v>8.3999999999999986</v>
      </c>
      <c r="BD96" s="10">
        <v>11.2</v>
      </c>
      <c r="BJ96" s="15">
        <v>0.68750000000000011</v>
      </c>
      <c r="BK96" s="68" cm="1">
        <f t="array" ref="BK96">[1]!FractionalAgents(82%,20,E40,N40)</f>
        <v>11.781242370605469</v>
      </c>
      <c r="BL96" s="68" cm="1">
        <f t="array" ref="BL96">[1]!FractionalAgents(82%,20,F40,O40)</f>
        <v>13.182131767272949</v>
      </c>
      <c r="BM96" s="68" cm="1">
        <f t="array" ref="BM96">[1]!FractionalAgents(82%,20,G40,P40)</f>
        <v>12.997551918029785</v>
      </c>
      <c r="BN96" s="68" cm="1">
        <f t="array" ref="BN96">[1]!FractionalAgents(82%,20,H40,Q40)</f>
        <v>11.870040893554688</v>
      </c>
      <c r="BO96" s="68" cm="1">
        <f t="array" ref="BO96">[1]!FractionalAgents(82%,20,I40,R40)</f>
        <v>9.0721111297607422</v>
      </c>
      <c r="BP96" s="68" cm="1">
        <f t="array" ref="BP96">[1]!FractionalAgents(82%,20,J40,S40)</f>
        <v>12.636765480041504</v>
      </c>
      <c r="BQ96" s="68" cm="1">
        <f t="array" ref="BQ96">[1]!FractionalAgents(82%,20,K40,T40)</f>
        <v>12.866435050964355</v>
      </c>
      <c r="BS96" s="15">
        <v>0.68750000000000011</v>
      </c>
      <c r="BT96" s="8" cm="1">
        <f t="array" ref="BT96">[1]!SLA(BK96,20,E40,N40)</f>
        <v>0.77223348617553711</v>
      </c>
      <c r="BU96" s="8" cm="1">
        <f t="array" ref="BU96">[1]!SLA(BL96,20,F40,O40)</f>
        <v>0.81235921382904053</v>
      </c>
      <c r="BV96" s="8" cm="1">
        <f t="array" ref="BV96">[1]!SLA(BM96,20,G40,P40)</f>
        <v>0.75537455081939697</v>
      </c>
      <c r="BW96" s="8" cm="1">
        <f t="array" ref="BW96">[1]!SLA(BN96,20,H40,Q40)</f>
        <v>0.76387465000152588</v>
      </c>
      <c r="BX96" s="8" cm="1">
        <f t="array" ref="BX96">[1]!SLA(BO96,20,I40,R40)</f>
        <v>0.81650197505950928</v>
      </c>
      <c r="BY96" s="8" cm="1">
        <f t="array" ref="BY96">[1]!SLA(BP96,20,J40,S40)</f>
        <v>0.78531157970428467</v>
      </c>
      <c r="BZ96" s="8" cm="1">
        <f t="array" ref="BZ96">[1]!SLA(BQ96,20,K40,T40)</f>
        <v>0.76746731996536255</v>
      </c>
      <c r="CB96" s="15">
        <v>0.68750000000000011</v>
      </c>
      <c r="CC96" s="8" cm="1">
        <f t="array" ref="CC96">[1]!Utilisation(BK96,E40,N40)</f>
        <v>0.71856808662414551</v>
      </c>
      <c r="CD96" s="8" cm="1">
        <f t="array" ref="CD96">[1]!Utilisation(BL96,F40,O40)</f>
        <v>0.73543363809585571</v>
      </c>
      <c r="CE96" s="8" cm="1">
        <f t="array" ref="CE96">[1]!Utilisation(BM96,G40,P40)</f>
        <v>0.73503154516220093</v>
      </c>
      <c r="CF96" s="8" cm="1">
        <f t="array" ref="CF96">[1]!Utilisation(BN96,H40,Q40)</f>
        <v>0.719277024269104</v>
      </c>
      <c r="CG96" s="8" cm="1">
        <f t="array" ref="CG96">[1]!Utilisation(BO96,I40,R40)</f>
        <v>0.6796802282333374</v>
      </c>
      <c r="CH96" s="8" cm="1">
        <f t="array" ref="CH96">[1]!Utilisation(BP96,J40,S40)</f>
        <v>0.72668522596359253</v>
      </c>
      <c r="CI96" s="8" cm="1">
        <f t="array" ref="CI96">[1]!Utilisation(BQ96,K40,T40)</f>
        <v>0.7317664623260498</v>
      </c>
      <c r="CK96" s="15">
        <v>0.68750000000000011</v>
      </c>
      <c r="CL96" s="69" cm="1">
        <f t="array" ref="CL96">[1]!FractionalCallCapacity(BK96,BT96,20,N40)</f>
        <v>100</v>
      </c>
      <c r="CM96" s="69" cm="1">
        <f t="array" ref="CM96">[1]!FractionalCallCapacity(BL96,BU96,20,O40)</f>
        <v>110</v>
      </c>
      <c r="CN96" s="69" cm="1">
        <f t="array" ref="CN96">[1]!FractionalCallCapacity(BM96,BV96,20,P40)</f>
        <v>110</v>
      </c>
      <c r="CO96" s="69" cm="1">
        <f t="array" ref="CO96">[1]!FractionalCallCapacity(BN96,BW96,20,Q40)</f>
        <v>96</v>
      </c>
      <c r="CP96" s="69" cm="1">
        <f t="array" ref="CP96">[1]!FractionalCallCapacity(BO96,BX96,20,R40)</f>
        <v>67</v>
      </c>
      <c r="CQ96" s="69" cm="1">
        <f t="array" ref="CQ96">[1]!FractionalCallCapacity(BP96,BY96,20,S40)</f>
        <v>102</v>
      </c>
      <c r="CR96" s="69" cm="1">
        <f t="array" ref="CR96">[1]!FractionalCallCapacity(BQ96,BZ96,20,T40)</f>
        <v>109</v>
      </c>
      <c r="CT96" s="15">
        <v>0.68750000000000011</v>
      </c>
      <c r="CU96" s="72">
        <f t="shared" si="55"/>
        <v>3.25</v>
      </c>
      <c r="CV96" s="72">
        <f t="shared" si="56"/>
        <v>0.25</v>
      </c>
      <c r="CW96" s="72">
        <f t="shared" si="57"/>
        <v>4.5</v>
      </c>
      <c r="CX96" s="72">
        <f t="shared" si="58"/>
        <v>4.25</v>
      </c>
      <c r="CY96" s="72">
        <f t="shared" si="59"/>
        <v>-0.6770833333333286</v>
      </c>
      <c r="CZ96" s="72">
        <f t="shared" si="60"/>
        <v>2.125</v>
      </c>
      <c r="DA96" s="72">
        <f t="shared" si="61"/>
        <v>4.0625</v>
      </c>
      <c r="DC96" s="15">
        <v>0.68750000000000011</v>
      </c>
      <c r="DD96" s="72">
        <f>'linear calc'!BF38 -'linear calc'!AN38</f>
        <v>-1.3561756004379522</v>
      </c>
      <c r="DE96" s="72">
        <f>'linear calc'!BG38 -'linear calc'!AO38</f>
        <v>3.8681984211146441</v>
      </c>
      <c r="DF96" s="72">
        <f>'linear calc'!BH38 -'linear calc'!AP38</f>
        <v>-1.5132999791536381</v>
      </c>
      <c r="DG96" s="72">
        <f>'linear calc'!BI38 -'linear calc'!AQ38</f>
        <v>1.6558092266969187</v>
      </c>
      <c r="DH96" s="72">
        <f>'linear calc'!BJ38 -'linear calc'!AR38</f>
        <v>0.20731574146208231</v>
      </c>
      <c r="DI96" s="72">
        <f>'linear calc'!BK38 -'linear calc'!AS38</f>
        <v>-0.7830416335189625</v>
      </c>
      <c r="DJ96" s="72">
        <f>'linear calc'!BL38 -'linear calc'!AT38</f>
        <v>1.1297943957434669</v>
      </c>
      <c r="DL96" s="15">
        <v>0.68750000000000011</v>
      </c>
      <c r="DM96" s="75" cm="1">
        <f t="array" ref="DM96">[1]!asa(CR41,E40,N40)</f>
        <v>387</v>
      </c>
      <c r="DN96" s="75" cm="1">
        <f t="array" ref="DN96">[1]!asa(CS41,F40,O40)</f>
        <v>120</v>
      </c>
      <c r="DO96" s="75" cm="1">
        <f t="array" ref="DO96">[1]!asa(CT41,G40,P40)</f>
        <v>3582</v>
      </c>
      <c r="DP96" s="75" cm="1">
        <f t="array" ref="DP96">[1]!asa(CU41,H40,Q40)</f>
        <v>82</v>
      </c>
      <c r="DQ96" s="75" cm="1">
        <f t="array" ref="DQ96">[1]!asa(CV41,I40,R40)</f>
        <v>24</v>
      </c>
      <c r="DR96" s="75" cm="1">
        <f t="array" ref="DR96">[1]!asa(CW41,J40,S40)</f>
        <v>3940</v>
      </c>
      <c r="DS96" s="75" cm="1">
        <f t="array" ref="DS96">[1]!asa(CX41,K40,T40)</f>
        <v>91</v>
      </c>
      <c r="DU96" s="15">
        <v>0.68750000000000011</v>
      </c>
      <c r="DV96" s="8" cm="1">
        <f t="array" ref="DV96">[1]!Abandon(CR41,300,E40,N40)</f>
        <v>0.42566931247711182</v>
      </c>
      <c r="DW96" s="8" cm="1">
        <f t="array" ref="DW96">[1]!Abandon(CS41,300,F40,O40)</f>
        <v>0.13724265992641449</v>
      </c>
      <c r="DX96" s="8" cm="1">
        <f t="array" ref="DX96">[1]!Abandon(CT41,300,G40,P40)</f>
        <v>1</v>
      </c>
      <c r="DY96" s="8" cm="1">
        <f t="array" ref="DY96">[1]!Abandon(CU41,300,H40,Q40)</f>
        <v>8.2558222115039825E-2</v>
      </c>
      <c r="DZ96" s="8" cm="1">
        <f t="array" ref="DZ96">[1]!Abandon(CV41,300,I40,R40)</f>
        <v>1.4893396757543087E-2</v>
      </c>
      <c r="EA96" s="8" cm="1">
        <f t="array" ref="EA96">[1]!Abandon(CW41,300,J40,S40)</f>
        <v>1</v>
      </c>
      <c r="EB96" s="8" cm="1">
        <f t="array" ref="EB96">[1]!Abandon(CX41,300,K40,T40)</f>
        <v>9.5606118440628052E-2</v>
      </c>
      <c r="ED96" s="15">
        <v>0.68750000000000011</v>
      </c>
      <c r="EE96" s="8">
        <f>1-ABS((('linear calc'!AN38 -'linear calc'!AW38) /'linear calc'!AN38))</f>
        <v>0.75671560073498556</v>
      </c>
      <c r="EF96" s="8">
        <f>1-ABS((('linear calc'!AO38 -'linear calc'!AX38) /'linear calc'!AO38))</f>
        <v>-0.18227400562474871</v>
      </c>
      <c r="EG96" s="8">
        <f>1-ABS((('linear calc'!AP38 -'linear calc'!AY38) /'linear calc'!AP38))</f>
        <v>0.7751217787554997</v>
      </c>
      <c r="EH96" s="8">
        <f>1-ABS((('linear calc'!AQ38 -'linear calc'!AZ38) /'linear calc'!AQ38))</f>
        <v>0.30397145601169795</v>
      </c>
      <c r="EI96" s="8">
        <f>1-ABS((('linear calc'!AR38 -'linear calc'!BA38) /'linear calc'!AR38))</f>
        <v>0.53812419039632209</v>
      </c>
      <c r="EJ96" s="8">
        <f>1-ABS((('linear calc'!AS38 -'linear calc'!BB38) /'linear calc'!AS38))</f>
        <v>0.69324342860443133</v>
      </c>
      <c r="EK96" s="8">
        <f>1-ABS((('linear calc'!AT38 -'linear calc'!BC38) /'linear calc'!AT38))</f>
        <v>0.4111545852413353</v>
      </c>
    </row>
    <row r="97" spans="3:141" x14ac:dyDescent="0.3">
      <c r="C97" s="15">
        <v>0.56249999999999989</v>
      </c>
      <c r="D97" s="7">
        <v>48</v>
      </c>
      <c r="E97" s="7">
        <v>40</v>
      </c>
      <c r="F97" s="7">
        <v>44</v>
      </c>
      <c r="G97" s="7">
        <v>49</v>
      </c>
      <c r="H97" s="7">
        <v>35</v>
      </c>
      <c r="I97" s="7">
        <v>39</v>
      </c>
      <c r="J97" s="7">
        <v>41</v>
      </c>
      <c r="AE97" s="15">
        <v>0.54166666666666652</v>
      </c>
      <c r="AF97" s="7">
        <f t="shared" si="64"/>
        <v>4.6849007996252796</v>
      </c>
      <c r="AG97" s="7">
        <f t="shared" si="65"/>
        <v>5.0226899912592646</v>
      </c>
      <c r="AH97" s="7">
        <f t="shared" si="66"/>
        <v>4.9453628263457716</v>
      </c>
      <c r="AI97" s="7">
        <f t="shared" si="67"/>
        <v>7.1862302620945755</v>
      </c>
      <c r="AJ97" s="7">
        <f t="shared" si="68"/>
        <v>4.919314235366139</v>
      </c>
      <c r="AK97" s="7">
        <f t="shared" si="69"/>
        <v>5.7705734409771621</v>
      </c>
      <c r="AL97" s="7">
        <f t="shared" si="70"/>
        <v>5.7847186672611475</v>
      </c>
      <c r="AW97" s="15">
        <v>0.79166666666666696</v>
      </c>
      <c r="AX97" s="10">
        <v>9.1</v>
      </c>
      <c r="AY97" s="10">
        <v>11.2</v>
      </c>
      <c r="AZ97" s="10">
        <v>9.1</v>
      </c>
      <c r="BA97" s="10">
        <v>10.5</v>
      </c>
      <c r="BB97" s="10">
        <v>9.1</v>
      </c>
      <c r="BC97" s="10">
        <v>8.3999999999999986</v>
      </c>
      <c r="BD97" s="10">
        <v>11.2</v>
      </c>
      <c r="BJ97" s="15">
        <v>0.70833333333333348</v>
      </c>
      <c r="BK97" s="68" cm="1">
        <f t="array" ref="BK97">[1]!FractionalAgents(82%,20,E41,N41)</f>
        <v>13.212899208068848</v>
      </c>
      <c r="BL97" s="68" cm="1">
        <f t="array" ref="BL97">[1]!FractionalAgents(82%,20,F41,O41)</f>
        <v>13.247118949890137</v>
      </c>
      <c r="BM97" s="68" cm="1">
        <f t="array" ref="BM97">[1]!FractionalAgents(82%,20,G41,P41)</f>
        <v>12.028473854064941</v>
      </c>
      <c r="BN97" s="68" cm="1">
        <f t="array" ref="BN97">[1]!FractionalAgents(82%,20,H41,Q41)</f>
        <v>11.346464157104492</v>
      </c>
      <c r="BO97" s="68" cm="1">
        <f t="array" ref="BO97">[1]!FractionalAgents(82%,20,I41,R41)</f>
        <v>10.198362350463867</v>
      </c>
      <c r="BP97" s="68" cm="1">
        <f t="array" ref="BP97">[1]!FractionalAgents(82%,20,J41,S41)</f>
        <v>12.276570320129395</v>
      </c>
      <c r="BQ97" s="68" cm="1">
        <f t="array" ref="BQ97">[1]!FractionalAgents(82%,20,K41,T41)</f>
        <v>12.089164733886719</v>
      </c>
      <c r="BS97" s="15">
        <v>0.70833333333333348</v>
      </c>
      <c r="BT97" s="8" cm="1">
        <f t="array" ref="BT97">[1]!SLA(BK97,20,E41,N41)</f>
        <v>0.81091350317001343</v>
      </c>
      <c r="BU97" s="8" cm="1">
        <f t="array" ref="BU97">[1]!SLA(BL97,20,F41,O41)</f>
        <v>0.80922770500183105</v>
      </c>
      <c r="BV97" s="8" cm="1">
        <f t="array" ref="BV97">[1]!SLA(BM97,20,G41,P41)</f>
        <v>0.81883543729782104</v>
      </c>
      <c r="BW97" s="8" cm="1">
        <f t="array" ref="BW97">[1]!SLA(BN97,20,H41,Q41)</f>
        <v>0.80270582437515259</v>
      </c>
      <c r="BX97" s="8" cm="1">
        <f t="array" ref="BX97">[1]!SLA(BO97,20,I41,R41)</f>
        <v>0.81031173467636108</v>
      </c>
      <c r="BY97" s="8" cm="1">
        <f t="array" ref="BY97">[1]!SLA(BP97,20,J41,S41)</f>
        <v>0.80736738443374634</v>
      </c>
      <c r="BZ97" s="8" cm="1">
        <f t="array" ref="BZ97">[1]!SLA(BQ97,20,K41,T41)</f>
        <v>0.81626051664352417</v>
      </c>
      <c r="CB97" s="15">
        <v>0.70833333333333348</v>
      </c>
      <c r="CC97" s="8" cm="1">
        <f t="array" ref="CC97">[1]!Utilisation(BK97,E41,N41)</f>
        <v>0.73507189750671387</v>
      </c>
      <c r="CD97" s="8" cm="1">
        <f t="array" ref="CD97">[1]!Utilisation(BL97,F41,O41)</f>
        <v>0.73445737361907959</v>
      </c>
      <c r="CE97" s="8" cm="1">
        <f t="array" ref="CE97">[1]!Utilisation(BM97,G41,P41)</f>
        <v>0.72420752048492432</v>
      </c>
      <c r="CF97" s="8" cm="1">
        <f t="array" ref="CF97">[1]!Utilisation(BN97,H41,Q41)</f>
        <v>0.71106952428817749</v>
      </c>
      <c r="CG97" s="8" cm="1">
        <f t="array" ref="CG97">[1]!Utilisation(BO97,I41,R41)</f>
        <v>0.69634294509887695</v>
      </c>
      <c r="CH97" s="8" cm="1">
        <f t="array" ref="CH97">[1]!Utilisation(BP97,J41,S41)</f>
        <v>0.72443777322769165</v>
      </c>
      <c r="CI97" s="8" cm="1">
        <f t="array" ref="CI97">[1]!Utilisation(BQ97,K41,T41)</f>
        <v>0.72428697347640991</v>
      </c>
      <c r="CK97" s="15">
        <v>0.70833333333333348</v>
      </c>
      <c r="CL97" s="69" cm="1">
        <f t="array" ref="CL97">[1]!FractionalCallCapacity(BK97,BT97,20,N41)</f>
        <v>109</v>
      </c>
      <c r="CM97" s="69" cm="1">
        <f t="array" ref="CM97">[1]!FractionalCallCapacity(BL97,BU97,20,O41)</f>
        <v>106</v>
      </c>
      <c r="CN97" s="69" cm="1">
        <f t="array" ref="CN97">[1]!FractionalCallCapacity(BM97,BV97,20,P41)</f>
        <v>98</v>
      </c>
      <c r="CO97" s="69" cm="1">
        <f t="array" ref="CO97">[1]!FractionalCallCapacity(BN97,BW97,20,Q41)</f>
        <v>89</v>
      </c>
      <c r="CP97" s="69" cm="1">
        <f t="array" ref="CP97">[1]!FractionalCallCapacity(BO97,BX97,20,R41)</f>
        <v>78</v>
      </c>
      <c r="CQ97" s="69" cm="1">
        <f t="array" ref="CQ97">[1]!FractionalCallCapacity(BP97,BY97,20,S41)</f>
        <v>102</v>
      </c>
      <c r="CR97" s="69" cm="1">
        <f t="array" ref="CR97">[1]!FractionalCallCapacity(BQ97,BZ97,20,T41)</f>
        <v>99</v>
      </c>
      <c r="CT97" s="15">
        <v>0.70833333333333348</v>
      </c>
      <c r="CU97" s="72">
        <f t="shared" si="55"/>
        <v>0.75</v>
      </c>
      <c r="CV97" s="72">
        <f t="shared" si="56"/>
        <v>0.5</v>
      </c>
      <c r="CW97" s="72">
        <f t="shared" si="57"/>
        <v>0</v>
      </c>
      <c r="CX97" s="72">
        <f t="shared" si="58"/>
        <v>1.25</v>
      </c>
      <c r="CY97" s="72">
        <f t="shared" si="59"/>
        <v>-0.1822916666666714</v>
      </c>
      <c r="CZ97" s="72">
        <f t="shared" si="60"/>
        <v>1</v>
      </c>
      <c r="DA97" s="72">
        <f t="shared" si="61"/>
        <v>-0.4375</v>
      </c>
      <c r="DC97" s="15">
        <v>0.70833333333333348</v>
      </c>
      <c r="DD97" s="72">
        <f>'linear calc'!BF39 -'linear calc'!AN39</f>
        <v>0.3414776779346731</v>
      </c>
      <c r="DE97" s="72">
        <f>'linear calc'!BG39 -'linear calc'!AO39</f>
        <v>1.3010082894946589</v>
      </c>
      <c r="DF97" s="72">
        <f>'linear calc'!BH39 -'linear calc'!AP39</f>
        <v>1.7250765494667935</v>
      </c>
      <c r="DG97" s="72">
        <f>'linear calc'!BI39 -'linear calc'!AQ39</f>
        <v>-0.26920133907221278</v>
      </c>
      <c r="DH97" s="72">
        <f>'linear calc'!BJ39 -'linear calc'!AR39</f>
        <v>1.1125231081161671</v>
      </c>
      <c r="DI97" s="72">
        <f>'linear calc'!BK39 -'linear calc'!AS39</f>
        <v>0.23994163018553039</v>
      </c>
      <c r="DJ97" s="72">
        <f>'linear calc'!BL39 -'linear calc'!AT39</f>
        <v>2.6203650764687207</v>
      </c>
      <c r="DL97" s="15">
        <v>0.70833333333333348</v>
      </c>
      <c r="DM97" s="75" cm="1">
        <f t="array" ref="DM97">[1]!asa(CR42,E41,N41)</f>
        <v>3549</v>
      </c>
      <c r="DN97" s="75" cm="1">
        <f t="array" ref="DN97">[1]!asa(CS42,F41,O41)</f>
        <v>130</v>
      </c>
      <c r="DO97" s="75" cm="1">
        <f t="array" ref="DO97">[1]!asa(CT42,G41,P41)</f>
        <v>709</v>
      </c>
      <c r="DP97" s="75" cm="1">
        <f t="array" ref="DP97">[1]!asa(CU42,H41,Q41)</f>
        <v>52</v>
      </c>
      <c r="DQ97" s="75" cm="1">
        <f t="array" ref="DQ97">[1]!asa(CV42,I41,R41)</f>
        <v>65</v>
      </c>
      <c r="DR97" s="75" cm="1">
        <f t="array" ref="DR97">[1]!asa(CW42,J41,S41)</f>
        <v>3774</v>
      </c>
      <c r="DS97" s="75" cm="1">
        <f t="array" ref="DS97">[1]!asa(CX42,K41,T41)</f>
        <v>47</v>
      </c>
      <c r="DU97" s="15">
        <v>0.70833333333333348</v>
      </c>
      <c r="DV97" s="8" cm="1">
        <f t="array" ref="DV97">[1]!Abandon(CR42,300,E41,N41)</f>
        <v>1</v>
      </c>
      <c r="DW97" s="8" cm="1">
        <f t="array" ref="DW97">[1]!Abandon(CS42,300,F41,O41)</f>
        <v>0.15264922380447388</v>
      </c>
      <c r="DX97" s="8" cm="1">
        <f t="array" ref="DX97">[1]!Abandon(CT42,300,G41,P41)</f>
        <v>0.5981370210647583</v>
      </c>
      <c r="DY97" s="8" cm="1">
        <f t="array" ref="DY97">[1]!Abandon(CU42,300,H41,Q41)</f>
        <v>4.2037650942802429E-2</v>
      </c>
      <c r="DZ97" s="8" cm="1">
        <f t="array" ref="DZ97">[1]!Abandon(CV42,300,I41,R41)</f>
        <v>6.3762456178665161E-2</v>
      </c>
      <c r="EA97" s="8" cm="1">
        <f t="array" ref="EA97">[1]!Abandon(CW42,300,J41,S41)</f>
        <v>1</v>
      </c>
      <c r="EB97" s="8" cm="1">
        <f t="array" ref="EB97">[1]!Abandon(CX42,300,K41,T41)</f>
        <v>3.5974174737930298E-2</v>
      </c>
      <c r="ED97" s="15">
        <v>0.70833333333333348</v>
      </c>
      <c r="EE97" s="8">
        <f>1-ABS((('linear calc'!AN39 -'linear calc'!AW39) /'linear calc'!AN39))</f>
        <v>0.51573136175618028</v>
      </c>
      <c r="EF97" s="8">
        <f>1-ABS((('linear calc'!AO39 -'linear calc'!AX39) /'linear calc'!AO39))</f>
        <v>0.38367376517550345</v>
      </c>
      <c r="EG97" s="8">
        <f>1-ABS((('linear calc'!AP39 -'linear calc'!AY39) /'linear calc'!AP39))</f>
        <v>0.23726983917913058</v>
      </c>
      <c r="EH97" s="8">
        <f>1-ABS((('linear calc'!AQ39 -'linear calc'!AZ39) /'linear calc'!AQ39))</f>
        <v>0.60713905073184571</v>
      </c>
      <c r="EI97" s="8">
        <f>1-ABS((('linear calc'!AR39 -'linear calc'!BA39) /'linear calc'!AR39))</f>
        <v>0.37245225545385308</v>
      </c>
      <c r="EJ97" s="8">
        <f>1-ABS((('linear calc'!AS39 -'linear calc'!BB39) /'linear calc'!AS39))</f>
        <v>0.52942228398878</v>
      </c>
      <c r="EK97" s="8">
        <f>1-ABS((('linear calc'!AT39 -'linear calc'!BC39) /'linear calc'!AT39))</f>
        <v>0.13511878505261798</v>
      </c>
    </row>
    <row r="98" spans="3:141" x14ac:dyDescent="0.3">
      <c r="C98" s="15">
        <v>0.58333333333333326</v>
      </c>
      <c r="D98" s="7">
        <v>47</v>
      </c>
      <c r="E98" s="7">
        <v>33</v>
      </c>
      <c r="F98" s="7">
        <v>44</v>
      </c>
      <c r="G98" s="7">
        <v>50</v>
      </c>
      <c r="H98" s="7">
        <v>31</v>
      </c>
      <c r="I98" s="7">
        <v>47</v>
      </c>
      <c r="J98" s="7">
        <v>40</v>
      </c>
      <c r="AE98" s="15">
        <v>0.56249999999999989</v>
      </c>
      <c r="AF98" s="7">
        <f t="shared" si="64"/>
        <v>7.7624926513815407</v>
      </c>
      <c r="AG98" s="7">
        <f t="shared" si="65"/>
        <v>6.3414144087191326</v>
      </c>
      <c r="AH98" s="7">
        <f t="shared" si="66"/>
        <v>6.8998109935139951</v>
      </c>
      <c r="AI98" s="7">
        <f t="shared" si="67"/>
        <v>7.8264512908286967</v>
      </c>
      <c r="AJ98" s="7">
        <f t="shared" si="68"/>
        <v>5.2253139917185978</v>
      </c>
      <c r="AK98" s="7">
        <f t="shared" si="69"/>
        <v>6.2944514834758731</v>
      </c>
      <c r="AL98" s="7">
        <f t="shared" si="70"/>
        <v>6.5911323275184657</v>
      </c>
      <c r="AW98" s="15">
        <v>0.81250000000000033</v>
      </c>
      <c r="AX98" s="10">
        <v>9.1</v>
      </c>
      <c r="AY98" s="10">
        <v>11.2</v>
      </c>
      <c r="AZ98" s="10">
        <v>9.1</v>
      </c>
      <c r="BA98" s="10">
        <v>10.5</v>
      </c>
      <c r="BB98" s="10">
        <v>9.1</v>
      </c>
      <c r="BC98" s="10">
        <v>8.3999999999999986</v>
      </c>
      <c r="BD98" s="10">
        <v>11.2</v>
      </c>
      <c r="BJ98" s="15">
        <v>0.72916666666666685</v>
      </c>
      <c r="BK98" s="68" cm="1">
        <f t="array" ref="BK98">[1]!FractionalAgents(82%,20,E42,N42)</f>
        <v>13.257773399353027</v>
      </c>
      <c r="BL98" s="68" cm="1">
        <f t="array" ref="BL98">[1]!FractionalAgents(82%,20,F42,O42)</f>
        <v>12.591568946838379</v>
      </c>
      <c r="BM98" s="68" cm="1">
        <f t="array" ref="BM98">[1]!FractionalAgents(82%,20,G42,P42)</f>
        <v>12.140376091003418</v>
      </c>
      <c r="BN98" s="68" cm="1">
        <f t="array" ref="BN98">[1]!FractionalAgents(82%,20,H42,Q42)</f>
        <v>11.557553291320801</v>
      </c>
      <c r="BO98" s="68" cm="1">
        <f t="array" ref="BO98">[1]!FractionalAgents(82%,20,I42,R42)</f>
        <v>8.8637228012084961</v>
      </c>
      <c r="BP98" s="68" cm="1">
        <f t="array" ref="BP98">[1]!FractionalAgents(82%,20,J42,S42)</f>
        <v>12.888069152832031</v>
      </c>
      <c r="BQ98" s="68" cm="1">
        <f t="array" ref="BQ98">[1]!FractionalAgents(82%,20,K42,T42)</f>
        <v>12.534354209899902</v>
      </c>
      <c r="BS98" s="15">
        <v>0.72916666666666685</v>
      </c>
      <c r="BT98" s="8" cm="1">
        <f t="array" ref="BT98">[1]!SLA(BK98,20,E42,N42)</f>
        <v>0.80872470140457153</v>
      </c>
      <c r="BU98" s="8" cm="1">
        <f t="array" ref="BU98">[1]!SLA(BL98,20,F42,O42)</f>
        <v>0.78874814510345459</v>
      </c>
      <c r="BV98" s="8" cm="1">
        <f t="array" ref="BV98">[1]!SLA(BM98,20,G42,P42)</f>
        <v>0.81393635272979736</v>
      </c>
      <c r="BW98" s="8" cm="1">
        <f t="array" ref="BW98">[1]!SLA(BN98,20,H42,Q42)</f>
        <v>0.78945308923721313</v>
      </c>
      <c r="BX98" s="8" cm="1">
        <f t="array" ref="BX98">[1]!SLA(BO98,20,I42,R42)</f>
        <v>0.75253736972808838</v>
      </c>
      <c r="BY98" s="8" cm="1">
        <f t="array" ref="BY98">[1]!SLA(BP98,20,J42,S42)</f>
        <v>0.76539009809494019</v>
      </c>
      <c r="BZ98" s="8" cm="1">
        <f t="array" ref="BZ98">[1]!SLA(BQ98,20,K42,T42)</f>
        <v>0.79227650165557861</v>
      </c>
      <c r="CB98" s="15">
        <v>0.72916666666666685</v>
      </c>
      <c r="CC98" s="8" cm="1">
        <f t="array" ref="CC98">[1]!Utilisation(BK98,E42,N42)</f>
        <v>0.73463189601898193</v>
      </c>
      <c r="CD98" s="8" cm="1">
        <f t="array" ref="CD98">[1]!Utilisation(BL98,F42,O42)</f>
        <v>0.72733855247497559</v>
      </c>
      <c r="CE98" s="8" cm="1">
        <f t="array" ref="CE98">[1]!Utilisation(BM98,G42,P42)</f>
        <v>0.72352689504623413</v>
      </c>
      <c r="CF98" s="8" cm="1">
        <f t="array" ref="CF98">[1]!Utilisation(BN98,H42,Q42)</f>
        <v>0.71426951885223389</v>
      </c>
      <c r="CG98" s="8" cm="1">
        <f t="array" ref="CG98">[1]!Utilisation(BO98,I42,R42)</f>
        <v>0.67455434799194336</v>
      </c>
      <c r="CH98" s="8" cm="1">
        <f t="array" ref="CH98">[1]!Utilisation(BP98,J42,S42)</f>
        <v>0.73168849945068359</v>
      </c>
      <c r="CI98" s="8" cm="1">
        <f t="array" ref="CI98">[1]!Utilisation(BQ98,K42,T42)</f>
        <v>0.72538143396377563</v>
      </c>
      <c r="CK98" s="15">
        <v>0.72916666666666685</v>
      </c>
      <c r="CL98" s="69" cm="1">
        <f t="array" ref="CL98">[1]!FractionalCallCapacity(BK98,BT98,20,N42)</f>
        <v>107</v>
      </c>
      <c r="CM98" s="69" cm="1">
        <f t="array" ref="CM98">[1]!FractionalCallCapacity(BL98,BU98,20,O42)</f>
        <v>107</v>
      </c>
      <c r="CN98" s="69" cm="1">
        <f t="array" ref="CN98">[1]!FractionalCallCapacity(BM98,BV98,20,P42)</f>
        <v>97</v>
      </c>
      <c r="CO98" s="69" cm="1">
        <f t="array" ref="CO98">[1]!FractionalCallCapacity(BN98,BW98,20,Q42)</f>
        <v>96</v>
      </c>
      <c r="CP98" s="69" cm="1">
        <f t="array" ref="CP98">[1]!FractionalCallCapacity(BO98,BX98,20,R42)</f>
        <v>72</v>
      </c>
      <c r="CQ98" s="69" cm="1">
        <f t="array" ref="CQ98">[1]!FractionalCallCapacity(BP98,BY98,20,S42)</f>
        <v>107</v>
      </c>
      <c r="CR98" s="69" cm="1">
        <f t="array" ref="CR98">[1]!FractionalCallCapacity(BQ98,BZ98,20,T42)</f>
        <v>101</v>
      </c>
      <c r="CT98" s="15">
        <v>0.72916666666666685</v>
      </c>
      <c r="CU98" s="72">
        <f t="shared" si="55"/>
        <v>0.75</v>
      </c>
      <c r="CV98" s="72">
        <f t="shared" si="56"/>
        <v>2</v>
      </c>
      <c r="CW98" s="72">
        <f t="shared" si="57"/>
        <v>0</v>
      </c>
      <c r="CX98" s="72">
        <f t="shared" si="58"/>
        <v>2.25</v>
      </c>
      <c r="CY98" s="72">
        <f t="shared" si="59"/>
        <v>4.3125</v>
      </c>
      <c r="CZ98" s="72">
        <f t="shared" si="60"/>
        <v>4.4375</v>
      </c>
      <c r="DA98" s="72">
        <f t="shared" si="61"/>
        <v>1.8125</v>
      </c>
      <c r="DC98" s="15">
        <v>0.72916666666666685</v>
      </c>
      <c r="DD98" s="72">
        <f>'linear calc'!BF40 -'linear calc'!AN40</f>
        <v>-1.6410704955378606</v>
      </c>
      <c r="DE98" s="72">
        <f>'linear calc'!BG40 -'linear calc'!AO40</f>
        <v>2.063833831546745</v>
      </c>
      <c r="DF98" s="72">
        <f>'linear calc'!BH40 -'linear calc'!AP40</f>
        <v>0.71394982664910422</v>
      </c>
      <c r="DG98" s="72">
        <f>'linear calc'!BI40 -'linear calc'!AQ40</f>
        <v>3.2001355013550148</v>
      </c>
      <c r="DH98" s="72">
        <f>'linear calc'!BJ40 -'linear calc'!AR40</f>
        <v>0.91643667526263606</v>
      </c>
      <c r="DI98" s="72">
        <f>'linear calc'!BK40 -'linear calc'!AS40</f>
        <v>-2.6003767952118046</v>
      </c>
      <c r="DJ98" s="72">
        <f>'linear calc'!BL40 -'linear calc'!AT40</f>
        <v>3.8230108272646692</v>
      </c>
      <c r="DL98" s="15">
        <v>0.72916666666666685</v>
      </c>
      <c r="DM98" s="75" cm="1">
        <f t="array" ref="DM98">[1]!asa(CR43,E42,N42)</f>
        <v>3626</v>
      </c>
      <c r="DN98" s="75" cm="1">
        <f t="array" ref="DN98">[1]!asa(CS43,F42,O42)</f>
        <v>68</v>
      </c>
      <c r="DO98" s="75" cm="1">
        <f t="array" ref="DO98">[1]!asa(CT43,G42,P42)</f>
        <v>914</v>
      </c>
      <c r="DP98" s="75" cm="1">
        <f t="array" ref="DP98">[1]!asa(CU43,H42,Q42)</f>
        <v>59</v>
      </c>
      <c r="DQ98" s="75" cm="1">
        <f t="array" ref="DQ98">[1]!asa(CV43,I42,R42)</f>
        <v>19</v>
      </c>
      <c r="DR98" s="75" cm="1">
        <f t="array" ref="DR98">[1]!asa(CW43,J42,S42)</f>
        <v>3940</v>
      </c>
      <c r="DS98" s="75" cm="1">
        <f t="array" ref="DS98">[1]!asa(CX43,K42,T42)</f>
        <v>67</v>
      </c>
      <c r="DU98" s="15">
        <v>0.72916666666666685</v>
      </c>
      <c r="DV98" s="8" cm="1">
        <f t="array" ref="DV98">[1]!Abandon(CR43,300,E42,N42)</f>
        <v>1</v>
      </c>
      <c r="DW98" s="8" cm="1">
        <f t="array" ref="DW98">[1]!Abandon(CS43,300,F42,O42)</f>
        <v>6.3238158822059631E-2</v>
      </c>
      <c r="DX98" s="8" cm="1">
        <f t="array" ref="DX98">[1]!Abandon(CT43,300,G42,P42)</f>
        <v>0.66272050142288208</v>
      </c>
      <c r="DY98" s="8" cm="1">
        <f t="array" ref="DY98">[1]!Abandon(CU43,300,H42,Q42)</f>
        <v>5.0000321120023727E-2</v>
      </c>
      <c r="DZ98" s="8" cm="1">
        <f t="array" ref="DZ98">[1]!Abandon(CV43,300,I42,R42)</f>
        <v>9.9762463942170143E-3</v>
      </c>
      <c r="EA98" s="8" cm="1">
        <f t="array" ref="EA98">[1]!Abandon(CW43,300,J42,S42)</f>
        <v>1</v>
      </c>
      <c r="EB98" s="8" cm="1">
        <f t="array" ref="EB98">[1]!Abandon(CX43,300,K42,T42)</f>
        <v>6.3390791416168213E-2</v>
      </c>
      <c r="ED98" s="15">
        <v>0.72916666666666685</v>
      </c>
      <c r="EE98" s="8">
        <f>1-ABS((('linear calc'!AN40 -'linear calc'!AW40) /'linear calc'!AN40))</f>
        <v>0.78969233044317488</v>
      </c>
      <c r="EF98" s="8">
        <f>1-ABS((('linear calc'!AO40 -'linear calc'!AX40) /'linear calc'!AO40))</f>
        <v>0.2487183677495669</v>
      </c>
      <c r="EG98" s="8">
        <f>1-ABS((('linear calc'!AP40 -'linear calc'!AY40) /'linear calc'!AP40))</f>
        <v>0.44980655597419783</v>
      </c>
      <c r="EH98" s="8">
        <f>1-ABS((('linear calc'!AQ40 -'linear calc'!AZ40) /'linear calc'!AQ40))</f>
        <v>-5.4832662001373933E-2</v>
      </c>
      <c r="EI98" s="8">
        <f>1-ABS((('linear calc'!AR40 -'linear calc'!BA40) /'linear calc'!AR40))</f>
        <v>0.41144994128615597</v>
      </c>
      <c r="EJ98" s="8">
        <f>1-ABS((('linear calc'!AS40 -'linear calc'!BB40) /'linear calc'!AS40))</f>
        <v>0.90912827593112011</v>
      </c>
      <c r="EK98" s="8">
        <f>1-ABS((('linear calc'!AT40 -'linear calc'!BC40) /'linear calc'!AT40))</f>
        <v>-0.16890653156094104</v>
      </c>
    </row>
    <row r="99" spans="3:141" x14ac:dyDescent="0.3">
      <c r="C99" s="15">
        <v>0.60416666666666663</v>
      </c>
      <c r="D99" s="7">
        <v>42</v>
      </c>
      <c r="E99" s="7">
        <v>43</v>
      </c>
      <c r="F99" s="7">
        <v>35</v>
      </c>
      <c r="G99" s="7">
        <v>41</v>
      </c>
      <c r="H99" s="7">
        <v>35</v>
      </c>
      <c r="I99" s="7">
        <v>32</v>
      </c>
      <c r="J99" s="7">
        <v>43</v>
      </c>
      <c r="AE99" s="15">
        <v>0.58333333333333326</v>
      </c>
      <c r="AF99" s="7">
        <f t="shared" si="64"/>
        <v>7.4215669405371303</v>
      </c>
      <c r="AG99" s="7">
        <f t="shared" si="65"/>
        <v>5.0278710661461181</v>
      </c>
      <c r="AH99" s="7">
        <f t="shared" si="66"/>
        <v>6.5219329897875955</v>
      </c>
      <c r="AI99" s="7">
        <f t="shared" si="67"/>
        <v>8.0406462386565085</v>
      </c>
      <c r="AJ99" s="7">
        <f t="shared" si="68"/>
        <v>5.0003893975816833</v>
      </c>
      <c r="AK99" s="7">
        <f t="shared" si="69"/>
        <v>7.3915910684203352</v>
      </c>
      <c r="AL99" s="7">
        <f t="shared" si="70"/>
        <v>6.2832264556086299</v>
      </c>
      <c r="AW99" s="15">
        <v>0.8333333333333337</v>
      </c>
      <c r="AX99" s="10">
        <v>9.1</v>
      </c>
      <c r="AY99" s="10">
        <v>11.2</v>
      </c>
      <c r="AZ99" s="10">
        <v>9.1</v>
      </c>
      <c r="BA99" s="10">
        <v>10.5</v>
      </c>
      <c r="BB99" s="10">
        <v>9.1</v>
      </c>
      <c r="BC99" s="10">
        <v>8.3999999999999986</v>
      </c>
      <c r="BD99" s="10">
        <v>11.2</v>
      </c>
      <c r="BJ99" s="15">
        <v>0.75000000000000022</v>
      </c>
      <c r="BK99" s="68" cm="1">
        <f t="array" ref="BK99">[1]!FractionalAgents(82%,20,E43,N43)</f>
        <v>12.283461570739746</v>
      </c>
      <c r="BL99" s="68" cm="1">
        <f t="array" ref="BL99">[1]!FractionalAgents(82%,20,F43,O43)</f>
        <v>11.931599617004395</v>
      </c>
      <c r="BM99" s="68" cm="1">
        <f t="array" ref="BM99">[1]!FractionalAgents(82%,20,G43,P43)</f>
        <v>12.171648025512695</v>
      </c>
      <c r="BN99" s="68" cm="1">
        <f t="array" ref="BN99">[1]!FractionalAgents(82%,20,H43,Q43)</f>
        <v>11.967491149902344</v>
      </c>
      <c r="BO99" s="68" cm="1">
        <f t="array" ref="BO99">[1]!FractionalAgents(82%,20,I43,R43)</f>
        <v>10.274200439453125</v>
      </c>
      <c r="BP99" s="68" cm="1">
        <f t="array" ref="BP99">[1]!FractionalAgents(82%,20,J43,S43)</f>
        <v>11.748211860656738</v>
      </c>
      <c r="BQ99" s="68" cm="1">
        <f t="array" ref="BQ99">[1]!FractionalAgents(82%,20,K43,T43)</f>
        <v>11.200878143310547</v>
      </c>
      <c r="BS99" s="15">
        <v>0.75000000000000022</v>
      </c>
      <c r="BT99" s="8" cm="1">
        <f t="array" ref="BT99">[1]!SLA(BK99,20,E43,N43)</f>
        <v>0.80690973997116089</v>
      </c>
      <c r="BU99" s="8" cm="1">
        <f t="array" ref="BU99">[1]!SLA(BL99,20,F43,O43)</f>
        <v>0.75840848684310913</v>
      </c>
      <c r="BV99" s="8" cm="1">
        <f t="array" ref="BV99">[1]!SLA(BM99,20,G43,P43)</f>
        <v>0.81250065565109253</v>
      </c>
      <c r="BW99" s="8" cm="1">
        <f t="array" ref="BW99">[1]!SLA(BN99,20,H43,Q43)</f>
        <v>0.75476568937301636</v>
      </c>
      <c r="BX99" s="8" cm="1">
        <f t="array" ref="BX99">[1]!SLA(BO99,20,I43,R43)</f>
        <v>0.80623149871826172</v>
      </c>
      <c r="BY99" s="8" cm="1">
        <f t="array" ref="BY99">[1]!SLA(BP99,20,J43,S43)</f>
        <v>0.77478498220443726</v>
      </c>
      <c r="BZ99" s="8" cm="1">
        <f t="array" ref="BZ99">[1]!SLA(BQ99,20,K43,T43)</f>
        <v>0.8106151819229126</v>
      </c>
      <c r="CB99" s="15">
        <v>0.75000000000000022</v>
      </c>
      <c r="CC99" s="8" cm="1">
        <f t="array" ref="CC99">[1]!Utilisation(BK99,E43,N43)</f>
        <v>0.72353947162628174</v>
      </c>
      <c r="CD99" s="8" cm="1">
        <f t="array" ref="CD99">[1]!Utilisation(BL99,F43,O43)</f>
        <v>0.72223597764968872</v>
      </c>
      <c r="CE99" s="8" cm="1">
        <f t="array" ref="CE99">[1]!Utilisation(BM99,G43,P43)</f>
        <v>0.72383606433868408</v>
      </c>
      <c r="CF99" s="8" cm="1">
        <f t="array" ref="CF99">[1]!Utilisation(BN99,H43,Q43)</f>
        <v>0.72310483455657959</v>
      </c>
      <c r="CG99" s="8" cm="1">
        <f t="array" ref="CG99">[1]!Utilisation(BO99,I43,R43)</f>
        <v>0.69766360521316528</v>
      </c>
      <c r="CH99" s="8" cm="1">
        <f t="array" ref="CH99">[1]!Utilisation(BP99,J43,S43)</f>
        <v>0.71704906225204468</v>
      </c>
      <c r="CI99" s="8" cm="1">
        <f t="array" ref="CI99">[1]!Utilisation(BQ99,K43,T43)</f>
        <v>0.71027415990829468</v>
      </c>
      <c r="CK99" s="15">
        <v>0.75000000000000022</v>
      </c>
      <c r="CL99" s="69" cm="1">
        <f t="array" ref="CL99">[1]!FractionalCallCapacity(BK99,BT99,20,N43)</f>
        <v>98</v>
      </c>
      <c r="CM99" s="69" cm="1">
        <f t="array" ref="CM99">[1]!FractionalCallCapacity(BL99,BU99,20,O43)</f>
        <v>102</v>
      </c>
      <c r="CN99" s="69" cm="1">
        <f t="array" ref="CN99">[1]!FractionalCallCapacity(BM99,BV99,20,P43)</f>
        <v>99</v>
      </c>
      <c r="CO99" s="69" cm="1">
        <f t="array" ref="CO99">[1]!FractionalCallCapacity(BN99,BW99,20,Q43)</f>
        <v>102</v>
      </c>
      <c r="CP99" s="69" cm="1">
        <f t="array" ref="CP99">[1]!FractionalCallCapacity(BO99,BX99,20,R43)</f>
        <v>83</v>
      </c>
      <c r="CQ99" s="69" cm="1">
        <f t="array" ref="CQ99">[1]!FractionalCallCapacity(BP99,BY99,20,S43)</f>
        <v>97</v>
      </c>
      <c r="CR99" s="69" cm="1">
        <f t="array" ref="CR99">[1]!FractionalCallCapacity(BQ99,BZ99,20,T43)</f>
        <v>86</v>
      </c>
      <c r="CT99" s="15">
        <v>0.75000000000000022</v>
      </c>
      <c r="CU99" s="72">
        <f t="shared" si="55"/>
        <v>0.75</v>
      </c>
      <c r="CV99" s="72">
        <f t="shared" si="56"/>
        <v>4.75</v>
      </c>
      <c r="CW99" s="72">
        <f t="shared" si="57"/>
        <v>0.5</v>
      </c>
      <c r="CX99" s="72">
        <f t="shared" si="58"/>
        <v>5.25</v>
      </c>
      <c r="CY99" s="72">
        <f t="shared" si="59"/>
        <v>0.5572916666666714</v>
      </c>
      <c r="CZ99" s="72">
        <f t="shared" si="60"/>
        <v>3.6875</v>
      </c>
      <c r="DA99" s="72">
        <f t="shared" si="61"/>
        <v>0.25</v>
      </c>
      <c r="DC99" s="15">
        <v>0.75000000000000022</v>
      </c>
      <c r="DD99" s="72">
        <f>'linear calc'!BF41 -'linear calc'!AN41</f>
        <v>-0.93548339700264371</v>
      </c>
      <c r="DE99" s="72">
        <f>'linear calc'!BG41 -'linear calc'!AO41</f>
        <v>4.7163703263048884</v>
      </c>
      <c r="DF99" s="72">
        <f>'linear calc'!BH41 -'linear calc'!AP41</f>
        <v>0.15320366132723073</v>
      </c>
      <c r="DG99" s="72">
        <f>'linear calc'!BI41 -'linear calc'!AQ41</f>
        <v>2.000287142760623</v>
      </c>
      <c r="DH99" s="72">
        <f>'linear calc'!BJ41 -'linear calc'!AR41</f>
        <v>0.41154970760233844</v>
      </c>
      <c r="DI99" s="72">
        <f>'linear calc'!BK41 -'linear calc'!AS41</f>
        <v>-2.5974107166814271</v>
      </c>
      <c r="DJ99" s="72">
        <f>'linear calc'!BL41 -'linear calc'!AT41</f>
        <v>1.2572009291521482</v>
      </c>
      <c r="DL99" s="15">
        <v>0.75000000000000022</v>
      </c>
      <c r="DM99" s="75" cm="1">
        <f t="array" ref="DM99">[1]!asa(CR44,E43,N43)</f>
        <v>1429</v>
      </c>
      <c r="DN99" s="75" cm="1">
        <f t="array" ref="DN99">[1]!asa(CS44,F43,O43)</f>
        <v>42</v>
      </c>
      <c r="DO99" s="75" cm="1">
        <f t="array" ref="DO99">[1]!asa(CT44,G43,P43)</f>
        <v>995</v>
      </c>
      <c r="DP99" s="75" cm="1">
        <f t="array" ref="DP99">[1]!asa(CU44,H43,Q43)</f>
        <v>88</v>
      </c>
      <c r="DQ99" s="75" cm="1">
        <f t="array" ref="DQ99">[1]!asa(CV44,I43,R43)</f>
        <v>67</v>
      </c>
      <c r="DR99" s="75" cm="1">
        <f t="array" ref="DR99">[1]!asa(CW44,J43,S43)</f>
        <v>3869</v>
      </c>
      <c r="DS99" s="75" cm="1">
        <f t="array" ref="DS99">[1]!asa(CX44,K43,T43)</f>
        <v>24</v>
      </c>
      <c r="DU99" s="15">
        <v>0.75000000000000022</v>
      </c>
      <c r="DV99" s="8" cm="1">
        <f t="array" ref="DV99">[1]!Abandon(CR44,300,E43,N43)</f>
        <v>0.76045477390289307</v>
      </c>
      <c r="DW99" s="8" cm="1">
        <f t="array" ref="DW99">[1]!Abandon(CS44,300,F43,O43)</f>
        <v>2.976594865322113E-2</v>
      </c>
      <c r="DX99" s="8" cm="1">
        <f t="array" ref="DX99">[1]!Abandon(CT44,300,G43,P43)</f>
        <v>0.68381088972091675</v>
      </c>
      <c r="DY99" s="8" cm="1">
        <f t="array" ref="DY99">[1]!Abandon(CU44,300,H43,Q43)</f>
        <v>9.030161052942276E-2</v>
      </c>
      <c r="DZ99" s="8" cm="1">
        <f t="array" ref="DZ99">[1]!Abandon(CV44,300,I43,R43)</f>
        <v>6.5005794167518616E-2</v>
      </c>
      <c r="EA99" s="8" cm="1">
        <f t="array" ref="EA99">[1]!Abandon(CW44,300,J43,S43)</f>
        <v>1</v>
      </c>
      <c r="EB99" s="8" cm="1">
        <f t="array" ref="EB99">[1]!Abandon(CX44,300,K43,T43)</f>
        <v>1.2480963952839375E-2</v>
      </c>
      <c r="ED99" s="15">
        <v>0.75000000000000022</v>
      </c>
      <c r="EE99" s="8">
        <f>1-ABS((('linear calc'!AN41 -'linear calc'!AW41) /'linear calc'!AN41))</f>
        <v>0.70459653155494373</v>
      </c>
      <c r="EF99" s="8">
        <f>1-ABS((('linear calc'!AO41 -'linear calc'!AX41) /'linear calc'!AO41))</f>
        <v>-0.46775352776763035</v>
      </c>
      <c r="EG99" s="8">
        <f>1-ABS((('linear calc'!AP41 -'linear calc'!AY41) /'linear calc'!AP41))</f>
        <v>0.54696591853699084</v>
      </c>
      <c r="EH99" s="8">
        <f>1-ABS((('linear calc'!AQ41 -'linear calc'!AZ41) /'linear calc'!AQ41))</f>
        <v>0.23523450121915623</v>
      </c>
      <c r="EI99" s="8">
        <f>1-ABS((('linear calc'!AR41 -'linear calc'!BA41) /'linear calc'!AR41))</f>
        <v>0.50376079018660924</v>
      </c>
      <c r="EJ99" s="8">
        <f>1-ABS((('linear calc'!AS41 -'linear calc'!BB41) /'linear calc'!AS41))</f>
        <v>0.90883406020311708</v>
      </c>
      <c r="EK99" s="8">
        <f>1-ABS((('linear calc'!AT41 -'linear calc'!BC41) /'linear calc'!AT41))</f>
        <v>0.39079519901877757</v>
      </c>
    </row>
    <row r="100" spans="3:141" x14ac:dyDescent="0.3">
      <c r="C100" s="15">
        <v>0.625</v>
      </c>
      <c r="D100" s="7">
        <v>46</v>
      </c>
      <c r="E100" s="7">
        <v>40</v>
      </c>
      <c r="F100" s="7">
        <v>32</v>
      </c>
      <c r="G100" s="7">
        <v>37</v>
      </c>
      <c r="H100" s="7">
        <v>34</v>
      </c>
      <c r="I100" s="7">
        <v>37</v>
      </c>
      <c r="J100" s="7">
        <v>45</v>
      </c>
      <c r="AE100" s="15">
        <v>0.60416666666666663</v>
      </c>
      <c r="AF100" s="7">
        <f t="shared" si="64"/>
        <v>6.4890580900627661</v>
      </c>
      <c r="AG100" s="7">
        <f t="shared" si="65"/>
        <v>7.007891112413021</v>
      </c>
      <c r="AH100" s="7">
        <f t="shared" si="66"/>
        <v>5.4116503441249248</v>
      </c>
      <c r="AI100" s="7">
        <f t="shared" si="67"/>
        <v>6.3077200577200578</v>
      </c>
      <c r="AJ100" s="7">
        <f t="shared" si="68"/>
        <v>5.3499203333741878</v>
      </c>
      <c r="AK100" s="7">
        <f t="shared" si="69"/>
        <v>4.7811909690150518</v>
      </c>
      <c r="AL100" s="7">
        <f t="shared" si="70"/>
        <v>6.8741293334789271</v>
      </c>
      <c r="AW100" s="15">
        <v>0.85416666666666707</v>
      </c>
      <c r="AX100" s="10">
        <v>9.1</v>
      </c>
      <c r="AY100" s="10">
        <v>11.2</v>
      </c>
      <c r="AZ100" s="10">
        <v>9.1</v>
      </c>
      <c r="BA100" s="10">
        <v>10.5</v>
      </c>
      <c r="BB100" s="10">
        <v>9.1</v>
      </c>
      <c r="BC100" s="10">
        <v>8.3999999999999986</v>
      </c>
      <c r="BD100" s="10">
        <v>11.2</v>
      </c>
      <c r="BJ100" s="15">
        <v>0.77083333333333359</v>
      </c>
      <c r="BK100" s="68" cm="1">
        <f t="array" ref="BK100">[1]!FractionalAgents(82%,20,E44,N44)</f>
        <v>12.652960777282715</v>
      </c>
      <c r="BL100" s="68" cm="1">
        <f t="array" ref="BL100">[1]!FractionalAgents(82%,20,F44,O44)</f>
        <v>12.179680824279785</v>
      </c>
      <c r="BM100" s="68" cm="1">
        <f t="array" ref="BM100">[1]!FractionalAgents(82%,20,G44,P44)</f>
        <v>11.951936721801758</v>
      </c>
      <c r="BN100" s="68" cm="1">
        <f t="array" ref="BN100">[1]!FractionalAgents(82%,20,H44,Q44)</f>
        <v>11.549914360046387</v>
      </c>
      <c r="BO100" s="68" cm="1">
        <f t="array" ref="BO100">[1]!FractionalAgents(82%,20,I44,R44)</f>
        <v>9.9341440200805664</v>
      </c>
      <c r="BP100" s="68" cm="1">
        <f t="array" ref="BP100">[1]!FractionalAgents(82%,20,J44,S44)</f>
        <v>12.642722129821777</v>
      </c>
      <c r="BQ100" s="68" cm="1">
        <f t="array" ref="BQ100">[1]!FractionalAgents(82%,20,K44,T44)</f>
        <v>12.971348762512207</v>
      </c>
      <c r="BS100" s="15">
        <v>0.77083333333333359</v>
      </c>
      <c r="BT100" s="8" cm="1">
        <f t="array" ref="BT100">[1]!SLA(BK100,20,E44,N44)</f>
        <v>0.78406655788421631</v>
      </c>
      <c r="BU100" s="8" cm="1">
        <f t="array" ref="BU100">[1]!SLA(BL100,20,F44,O44)</f>
        <v>0.81211555004119873</v>
      </c>
      <c r="BV100" s="8" cm="1">
        <f t="array" ref="BV100">[1]!SLA(BM100,20,G44,P44)</f>
        <v>0.75629860162734985</v>
      </c>
      <c r="BW100" s="8" cm="1">
        <f t="array" ref="BW100">[1]!SLA(BN100,20,H44,Q44)</f>
        <v>0.78983432054519653</v>
      </c>
      <c r="BX100" s="8" cm="1">
        <f t="array" ref="BX100">[1]!SLA(BO100,20,I44,R44)</f>
        <v>0.74927753210067749</v>
      </c>
      <c r="BY100" s="8" cm="1">
        <f t="array" ref="BY100">[1]!SLA(BP100,20,J44,S44)</f>
        <v>0.7849237322807312</v>
      </c>
      <c r="BZ100" s="8" cm="1">
        <f t="array" ref="BZ100">[1]!SLA(BQ100,20,K44,T44)</f>
        <v>0.75781387090682983</v>
      </c>
      <c r="CB100" s="15">
        <v>0.77083333333333359</v>
      </c>
      <c r="CC100" s="8" cm="1">
        <f t="array" ref="CC100">[1]!Utilisation(BK100,E44,N44)</f>
        <v>0.72657567262649536</v>
      </c>
      <c r="CD100" s="8" cm="1">
        <f t="array" ref="CD100">[1]!Utilisation(BL100,F44,O44)</f>
        <v>0.72376352548599243</v>
      </c>
      <c r="CE100" s="8" cm="1">
        <f t="array" ref="CE100">[1]!Utilisation(BM100,G44,P44)</f>
        <v>0.72254097461700439</v>
      </c>
      <c r="CF100" s="8" cm="1">
        <f t="array" ref="CF100">[1]!Utilisation(BN100,H44,Q44)</f>
        <v>0.71347332000732422</v>
      </c>
      <c r="CG100" s="8" cm="1">
        <f t="array" ref="CG100">[1]!Utilisation(BO100,I44,R44)</f>
        <v>0.69367265701293945</v>
      </c>
      <c r="CH100" s="8" cm="1">
        <f t="array" ref="CH100">[1]!Utilisation(BP100,J44,S44)</f>
        <v>0.72692376375198364</v>
      </c>
      <c r="CI100" s="8" cm="1">
        <f t="array" ref="CI100">[1]!Utilisation(BQ100,K44,T44)</f>
        <v>0.73404699563980103</v>
      </c>
      <c r="CK100" s="15">
        <v>0.77083333333333359</v>
      </c>
      <c r="CL100" s="69" cm="1">
        <f t="array" ref="CL100">[1]!FractionalCallCapacity(BK100,BT100,20,N44)</f>
        <v>101</v>
      </c>
      <c r="CM100" s="69" cm="1">
        <f t="array" ref="CM100">[1]!FractionalCallCapacity(BL100,BU100,20,O44)</f>
        <v>98</v>
      </c>
      <c r="CN100" s="69" cm="1">
        <f t="array" ref="CN100">[1]!FractionalCallCapacity(BM100,BV100,20,P44)</f>
        <v>101</v>
      </c>
      <c r="CO100" s="69" cm="1">
        <f t="array" ref="CO100">[1]!FractionalCallCapacity(BN100,BW100,20,Q44)</f>
        <v>93</v>
      </c>
      <c r="CP100" s="69" cm="1">
        <f t="array" ref="CP100">[1]!FractionalCallCapacity(BO100,BX100,20,R44)</f>
        <v>79</v>
      </c>
      <c r="CQ100" s="69" cm="1">
        <f t="array" ref="CQ100">[1]!FractionalCallCapacity(BP100,BY100,20,S44)</f>
        <v>103</v>
      </c>
      <c r="CR100" s="69" cm="1">
        <f t="array" ref="CR100">[1]!FractionalCallCapacity(BQ100,BZ100,20,T44)</f>
        <v>109</v>
      </c>
      <c r="CT100" s="15">
        <v>0.77083333333333359</v>
      </c>
      <c r="CU100" s="72">
        <f t="shared" si="55"/>
        <v>2.5</v>
      </c>
      <c r="CV100" s="72">
        <f t="shared" si="56"/>
        <v>-0.25</v>
      </c>
      <c r="CW100" s="72">
        <f t="shared" si="57"/>
        <v>4.75</v>
      </c>
      <c r="CX100" s="72">
        <f t="shared" si="58"/>
        <v>2</v>
      </c>
      <c r="CY100" s="72">
        <f t="shared" si="59"/>
        <v>4.0520833333333286</v>
      </c>
      <c r="CZ100" s="72">
        <f t="shared" si="60"/>
        <v>2.4375</v>
      </c>
      <c r="DA100" s="72">
        <f t="shared" si="61"/>
        <v>4.8125</v>
      </c>
      <c r="DC100" s="15">
        <v>0.77083333333333359</v>
      </c>
      <c r="DD100" s="72">
        <f>'linear calc'!BF42 -'linear calc'!AN42</f>
        <v>0.21358622380193637</v>
      </c>
      <c r="DE100" s="72">
        <f>'linear calc'!BG42 -'linear calc'!AO42</f>
        <v>0.25739250691476023</v>
      </c>
      <c r="DF100" s="72">
        <f>'linear calc'!BH42 -'linear calc'!AP42</f>
        <v>2.3064815900562845</v>
      </c>
      <c r="DG100" s="72">
        <f>'linear calc'!BI42 -'linear calc'!AQ42</f>
        <v>-8.7789243277047291E-2</v>
      </c>
      <c r="DH100" s="72">
        <f>'linear calc'!BJ42 -'linear calc'!AR42</f>
        <v>0.79325446459592719</v>
      </c>
      <c r="DI100" s="72">
        <f>'linear calc'!BK42 -'linear calc'!AS42</f>
        <v>0.83156133880926308</v>
      </c>
      <c r="DJ100" s="72">
        <f>'linear calc'!BL42 -'linear calc'!AT42</f>
        <v>2.9567309194395186</v>
      </c>
      <c r="DL100" s="15">
        <v>0.77083333333333359</v>
      </c>
      <c r="DM100" s="75" cm="1">
        <f t="array" ref="DM100">[1]!asa(CR45,E44,N44)</f>
        <v>3692</v>
      </c>
      <c r="DN100" s="75" cm="1">
        <f t="array" ref="DN100">[1]!asa(CS45,F44,O44)</f>
        <v>51</v>
      </c>
      <c r="DO100" s="75" cm="1">
        <f t="array" ref="DO100">[1]!asa(CT45,G44,P44)</f>
        <v>581</v>
      </c>
      <c r="DP100" s="75" cm="1">
        <f t="array" ref="DP100">[1]!asa(CU45,H44,Q44)</f>
        <v>60</v>
      </c>
      <c r="DQ100" s="75" cm="1">
        <f t="array" ref="DQ100">[1]!asa(CV45,I44,R44)</f>
        <v>53</v>
      </c>
      <c r="DR100" s="75" cm="1">
        <f t="array" ref="DR100">[1]!asa(CW45,J44,S44)</f>
        <v>3917</v>
      </c>
      <c r="DS100" s="75" cm="1">
        <f t="array" ref="DS100">[1]!asa(CX45,K44,T44)</f>
        <v>103</v>
      </c>
      <c r="DU100" s="15">
        <v>0.77083333333333359</v>
      </c>
      <c r="DV100" s="8" cm="1">
        <f t="array" ref="DV100">[1]!Abandon(CR45,300,E44,N44)</f>
        <v>1</v>
      </c>
      <c r="DW100" s="8" cm="1">
        <f t="array" ref="DW100">[1]!Abandon(CS45,300,F44,O44)</f>
        <v>4.0915437042713165E-2</v>
      </c>
      <c r="DX100" s="8" cm="1">
        <f t="array" ref="DX100">[1]!Abandon(CT45,300,G44,P44)</f>
        <v>0.54288560152053833</v>
      </c>
      <c r="DY100" s="8" cm="1">
        <f t="array" ref="DY100">[1]!Abandon(CU45,300,H44,Q44)</f>
        <v>5.1935262978076935E-2</v>
      </c>
      <c r="DZ100" s="8" cm="1">
        <f t="array" ref="DZ100">[1]!Abandon(CV45,300,I44,R44)</f>
        <v>4.7599662095308304E-2</v>
      </c>
      <c r="EA100" s="8" cm="1">
        <f t="array" ref="EA100">[1]!Abandon(CW45,300,J44,S44)</f>
        <v>1</v>
      </c>
      <c r="EB100" s="8" cm="1">
        <f t="array" ref="EB100">[1]!Abandon(CX45,300,K44,T44)</f>
        <v>0.11391846835613251</v>
      </c>
      <c r="ED100" s="15">
        <v>0.77083333333333359</v>
      </c>
      <c r="EE100" s="8">
        <f>1-ABS((('linear calc'!AN42 -'linear calc'!AW42) /'linear calc'!AN42))</f>
        <v>0.53709265318929578</v>
      </c>
      <c r="EF100" s="8">
        <f>1-ABS((('linear calc'!AO42 -'linear calc'!AX42) /'linear calc'!AO42))</f>
        <v>0.5378256498635644</v>
      </c>
      <c r="EG100" s="8">
        <f>1-ABS((('linear calc'!AP42 -'linear calc'!AY42) /'linear calc'!AP42))</f>
        <v>8.641130920145601E-2</v>
      </c>
      <c r="EH100" s="8">
        <f>1-ABS((('linear calc'!AQ42 -'linear calc'!AZ42) /'linear calc'!AQ42))</f>
        <v>0.58327365086865668</v>
      </c>
      <c r="EI100" s="8">
        <f>1-ABS((('linear calc'!AR42 -'linear calc'!BA42) /'linear calc'!AR42))</f>
        <v>0.43500683335093526</v>
      </c>
      <c r="EJ100" s="8">
        <f>1-ABS((('linear calc'!AS42 -'linear calc'!BB42) /'linear calc'!AS42))</f>
        <v>0.41446822294625674</v>
      </c>
      <c r="EK100" s="8">
        <f>1-ABS((('linear calc'!AT42 -'linear calc'!BC42) /'linear calc'!AT42))</f>
        <v>5.9022477170899368E-2</v>
      </c>
    </row>
    <row r="101" spans="3:141" x14ac:dyDescent="0.3">
      <c r="C101" s="15">
        <v>0.64583333333333337</v>
      </c>
      <c r="D101" s="7">
        <v>34</v>
      </c>
      <c r="E101" s="7">
        <v>42</v>
      </c>
      <c r="F101" s="7">
        <v>50</v>
      </c>
      <c r="G101" s="7">
        <v>31</v>
      </c>
      <c r="H101" s="7">
        <v>30</v>
      </c>
      <c r="I101" s="7">
        <v>41</v>
      </c>
      <c r="J101" s="7">
        <v>41</v>
      </c>
      <c r="AE101" s="15">
        <v>0.625</v>
      </c>
      <c r="AF101" s="7">
        <f t="shared" si="64"/>
        <v>7.1690175642357916</v>
      </c>
      <c r="AG101" s="7">
        <f t="shared" si="65"/>
        <v>6.3487307389746412</v>
      </c>
      <c r="AH101" s="7">
        <f t="shared" si="66"/>
        <v>5.0644118936801856</v>
      </c>
      <c r="AI101" s="7">
        <f t="shared" si="67"/>
        <v>5.986385164705684</v>
      </c>
      <c r="AJ101" s="7">
        <f t="shared" si="68"/>
        <v>5.4670175816111728</v>
      </c>
      <c r="AK101" s="7">
        <f t="shared" si="69"/>
        <v>5.8275598081827651</v>
      </c>
      <c r="AL101" s="7">
        <f t="shared" si="70"/>
        <v>7.1421602787456449</v>
      </c>
      <c r="AW101" s="15">
        <v>0.87500000000000044</v>
      </c>
      <c r="AX101" s="10">
        <v>9.1</v>
      </c>
      <c r="AY101" s="10">
        <v>11.2</v>
      </c>
      <c r="AZ101" s="10">
        <v>9.1</v>
      </c>
      <c r="BA101" s="10">
        <v>10.5</v>
      </c>
      <c r="BB101" s="10">
        <v>9.1</v>
      </c>
      <c r="BC101" s="10">
        <v>8.3999999999999986</v>
      </c>
      <c r="BD101" s="10">
        <v>11.2</v>
      </c>
      <c r="BJ101" s="15">
        <v>0.79166666666666696</v>
      </c>
      <c r="BK101" s="68" cm="1">
        <f t="array" ref="BK101">[1]!FractionalAgents(82%,20,E45,N45)</f>
        <v>13.277021408081055</v>
      </c>
      <c r="BL101" s="68" cm="1">
        <f t="array" ref="BL101">[1]!FractionalAgents(82%,20,F45,O45)</f>
        <v>12.864714622497559</v>
      </c>
      <c r="BM101" s="68" cm="1">
        <f t="array" ref="BM101">[1]!FractionalAgents(82%,20,G45,P45)</f>
        <v>13.87800121307373</v>
      </c>
      <c r="BN101" s="68" cm="1">
        <f t="array" ref="BN101">[1]!FractionalAgents(82%,20,H45,Q45)</f>
        <v>12.53277587890625</v>
      </c>
      <c r="BO101" s="68" cm="1">
        <f t="array" ref="BO101">[1]!FractionalAgents(82%,20,I45,R45)</f>
        <v>10.71767520904541</v>
      </c>
      <c r="BP101" s="68" cm="1">
        <f t="array" ref="BP101">[1]!FractionalAgents(82%,20,J45,S45)</f>
        <v>12.533502578735352</v>
      </c>
      <c r="BQ101" s="68" cm="1">
        <f t="array" ref="BQ101">[1]!FractionalAgents(82%,20,K45,T45)</f>
        <v>12.617951393127441</v>
      </c>
      <c r="BS101" s="15">
        <v>0.79166666666666696</v>
      </c>
      <c r="BT101" s="8" cm="1">
        <f t="array" ref="BT101">[1]!SLA(BK101,20,E45,N45)</f>
        <v>0.80776339769363403</v>
      </c>
      <c r="BU101" s="8" cm="1">
        <f t="array" ref="BU101">[1]!SLA(BL101,20,F45,O45)</f>
        <v>0.76756888628005981</v>
      </c>
      <c r="BV101" s="8" cm="1">
        <f t="array" ref="BV101">[1]!SLA(BM101,20,G45,P45)</f>
        <v>0.76904737949371338</v>
      </c>
      <c r="BW101" s="8" cm="1">
        <f t="array" ref="BW101">[1]!SLA(BN101,20,H45,Q45)</f>
        <v>0.79245477914810181</v>
      </c>
      <c r="BX101" s="8" cm="1">
        <f t="array" ref="BX101">[1]!SLA(BO101,20,I45,R45)</f>
        <v>0.77497720718383789</v>
      </c>
      <c r="BY101" s="8" cm="1">
        <f t="array" ref="BY101">[1]!SLA(BP101,20,J45,S45)</f>
        <v>0.79239237308502197</v>
      </c>
      <c r="BZ101" s="8" cm="1">
        <f t="array" ref="BZ101">[1]!SLA(BQ101,20,K45,T45)</f>
        <v>0.78665226697921753</v>
      </c>
      <c r="CB101" s="15">
        <v>0.79166666666666696</v>
      </c>
      <c r="CC101" s="8" cm="1">
        <f t="array" ref="CC101">[1]!Utilisation(BK101,E45,N45)</f>
        <v>0.73453980684280396</v>
      </c>
      <c r="CD101" s="8" cm="1">
        <f t="array" ref="CD101">[1]!Utilisation(BL101,F45,O45)</f>
        <v>0.73157143592834473</v>
      </c>
      <c r="CE101" s="8" cm="1">
        <f t="array" ref="CE101">[1]!Utilisation(BM101,G45,P45)</f>
        <v>0.74223184585571289</v>
      </c>
      <c r="CF101" s="8" cm="1">
        <f t="array" ref="CF101">[1]!Utilisation(BN101,H45,Q45)</f>
        <v>0.72573590278625488</v>
      </c>
      <c r="CG101" s="8" cm="1">
        <f t="array" ref="CG101">[1]!Utilisation(BO101,I45,R45)</f>
        <v>0.70356994867324829</v>
      </c>
      <c r="CH101" s="8" cm="1">
        <f t="array" ref="CH101">[1]!Utilisation(BP101,J45,S45)</f>
        <v>0.72566896677017212</v>
      </c>
      <c r="CI101" s="8" cm="1">
        <f t="array" ref="CI101">[1]!Utilisation(BQ101,K45,T45)</f>
        <v>0.7264782190322876</v>
      </c>
      <c r="CK101" s="15">
        <v>0.79166666666666696</v>
      </c>
      <c r="CL101" s="69" cm="1">
        <f t="array" ref="CL101">[1]!FractionalCallCapacity(BK101,BT101,20,N45)</f>
        <v>106</v>
      </c>
      <c r="CM101" s="69" cm="1">
        <f t="array" ref="CM101">[1]!FractionalCallCapacity(BL101,BU101,20,O45)</f>
        <v>108</v>
      </c>
      <c r="CN101" s="69" cm="1">
        <f t="array" ref="CN101">[1]!FractionalCallCapacity(BM101,BV101,20,P45)</f>
        <v>118</v>
      </c>
      <c r="CO101" s="69" cm="1">
        <f t="array" ref="CO101">[1]!FractionalCallCapacity(BN101,BW101,20,Q45)</f>
        <v>103</v>
      </c>
      <c r="CP101" s="69" cm="1">
        <f t="array" ref="CP101">[1]!FractionalCallCapacity(BO101,BX101,20,R45)</f>
        <v>90</v>
      </c>
      <c r="CQ101" s="69" cm="1">
        <f t="array" ref="CQ101">[1]!FractionalCallCapacity(BP101,BY101,20,S45)</f>
        <v>102</v>
      </c>
      <c r="CR101" s="69" cm="1">
        <f t="array" ref="CR101">[1]!FractionalCallCapacity(BQ101,BZ101,20,T45)</f>
        <v>102</v>
      </c>
      <c r="CT101" s="15">
        <v>0.79166666666666696</v>
      </c>
      <c r="CU101" s="72">
        <f t="shared" si="55"/>
        <v>0.25</v>
      </c>
      <c r="CV101" s="72">
        <f t="shared" si="56"/>
        <v>3.75</v>
      </c>
      <c r="CW101" s="72">
        <f t="shared" si="57"/>
        <v>4.25</v>
      </c>
      <c r="CX101" s="72">
        <f t="shared" si="58"/>
        <v>2.25</v>
      </c>
      <c r="CY101" s="72">
        <f t="shared" si="59"/>
        <v>3.546875</v>
      </c>
      <c r="CZ101" s="72">
        <f t="shared" si="60"/>
        <v>1.5625</v>
      </c>
      <c r="DA101" s="72">
        <f t="shared" si="61"/>
        <v>2</v>
      </c>
      <c r="DC101" s="15">
        <v>0.79166666666666696</v>
      </c>
      <c r="DD101" s="72">
        <f>'linear calc'!BF43 -'linear calc'!AN43</f>
        <v>-1.2346743776716114</v>
      </c>
      <c r="DE101" s="72">
        <f>'linear calc'!BG43 -'linear calc'!AO43</f>
        <v>1.0743103328469168</v>
      </c>
      <c r="DF101" s="72">
        <f>'linear calc'!BH43 -'linear calc'!AP43</f>
        <v>-1.5002986560477858</v>
      </c>
      <c r="DG101" s="72">
        <f>'linear calc'!BI43 -'linear calc'!AQ43</f>
        <v>3.4636152465420755</v>
      </c>
      <c r="DH101" s="72">
        <f>'linear calc'!BJ43 -'linear calc'!AR43</f>
        <v>-0.90502971400272436</v>
      </c>
      <c r="DI101" s="72">
        <f>'linear calc'!BK43 -'linear calc'!AS43</f>
        <v>-1.9902899913352883</v>
      </c>
      <c r="DJ101" s="72">
        <f>'linear calc'!BL43 -'linear calc'!AT43</f>
        <v>3.3642896513710898</v>
      </c>
      <c r="DL101" s="15">
        <v>0.79166666666666696</v>
      </c>
      <c r="DM101" s="75" cm="1">
        <f t="array" ref="DM101">[1]!asa(CR46,E45,N45)</f>
        <v>3648</v>
      </c>
      <c r="DN101" s="75" cm="1">
        <f t="array" ref="DN101">[1]!asa(CS46,F45,O45)</f>
        <v>91</v>
      </c>
      <c r="DO101" s="75" cm="1">
        <f t="array" ref="DO101">[1]!asa(CT46,G45,P45)</f>
        <v>3582</v>
      </c>
      <c r="DP101" s="75" cm="1">
        <f t="array" ref="DP101">[1]!asa(CU46,H45,Q45)</f>
        <v>141</v>
      </c>
      <c r="DQ101" s="75" cm="1">
        <f t="array" ref="DQ101">[1]!asa(CV46,I45,R45)</f>
        <v>102</v>
      </c>
      <c r="DR101" s="75" cm="1">
        <f t="array" ref="DR101">[1]!asa(CW46,J45,S45)</f>
        <v>3881</v>
      </c>
      <c r="DS101" s="75" cm="1">
        <f t="array" ref="DS101">[1]!asa(CX46,K45,T45)</f>
        <v>72</v>
      </c>
      <c r="DU101" s="15">
        <v>0.79166666666666696</v>
      </c>
      <c r="DV101" s="8" cm="1">
        <f t="array" ref="DV101">[1]!Abandon(CR46,300,E45,N45)</f>
        <v>1</v>
      </c>
      <c r="DW101" s="8" cm="1">
        <f t="array" ref="DW101">[1]!Abandon(CS46,300,F45,O45)</f>
        <v>9.6085578203201294E-2</v>
      </c>
      <c r="DX101" s="8" cm="1">
        <f t="array" ref="DX101">[1]!Abandon(CT46,300,G45,P45)</f>
        <v>1</v>
      </c>
      <c r="DY101" s="8" cm="1">
        <f t="array" ref="DY101">[1]!Abandon(CU46,300,H45,Q45)</f>
        <v>0.16656701266765594</v>
      </c>
      <c r="DZ101" s="8" cm="1">
        <f t="array" ref="DZ101">[1]!Abandon(CV46,300,I45,R45)</f>
        <v>0.11413028836250305</v>
      </c>
      <c r="EA101" s="8" cm="1">
        <f t="array" ref="EA101">[1]!Abandon(CW46,300,J45,S45)</f>
        <v>1</v>
      </c>
      <c r="EB101" s="8" cm="1">
        <f t="array" ref="EB101">[1]!Abandon(CX46,300,K45,T45)</f>
        <v>7.0320583879947662E-2</v>
      </c>
      <c r="ED101" s="15">
        <v>0.79166666666666696</v>
      </c>
      <c r="EE101" s="8">
        <f>1-ABS((('linear calc'!AN43 -'linear calc'!AW43) /'linear calc'!AN43))</f>
        <v>0.74209873239093938</v>
      </c>
      <c r="EF101" s="8">
        <f>1-ABS((('linear calc'!AO43 -'linear calc'!AX43) /'linear calc'!AO43))</f>
        <v>0.41986071804050007</v>
      </c>
      <c r="EG101" s="8">
        <f>1-ABS((('linear calc'!AP43 -'linear calc'!AY43) /'linear calc'!AP43))</f>
        <v>0.77361945905334339</v>
      </c>
      <c r="EH101" s="8">
        <f>1-ABS((('linear calc'!AQ43 -'linear calc'!AZ43) /'linear calc'!AQ43))</f>
        <v>-0.13177654798204119</v>
      </c>
      <c r="EI101" s="8">
        <f>1-ABS((('linear calc'!AR43 -'linear calc'!BA43) /'linear calc'!AR43))</f>
        <v>0.70065353411138698</v>
      </c>
      <c r="EJ101" s="8">
        <f>1-ABS((('linear calc'!AS43 -'linear calc'!BB43) /'linear calc'!AS43))</f>
        <v>0.84507554553269548</v>
      </c>
      <c r="EK101" s="8">
        <f>1-ABS((('linear calc'!AT43 -'linear calc'!BC43) /'linear calc'!AT43))</f>
        <v>-4.1933569277439631E-2</v>
      </c>
    </row>
    <row r="102" spans="3:141" x14ac:dyDescent="0.3">
      <c r="C102" s="15">
        <v>0.66666666666666674</v>
      </c>
      <c r="D102" s="7">
        <v>32</v>
      </c>
      <c r="E102" s="7">
        <v>41</v>
      </c>
      <c r="F102" s="7">
        <v>39</v>
      </c>
      <c r="G102" s="7">
        <v>38</v>
      </c>
      <c r="H102" s="7">
        <v>36</v>
      </c>
      <c r="I102" s="7">
        <v>47</v>
      </c>
      <c r="J102" s="7">
        <v>31</v>
      </c>
      <c r="AE102" s="15">
        <v>0.64583333333333337</v>
      </c>
      <c r="AF102" s="7">
        <f t="shared" si="64"/>
        <v>5.3698938580530742</v>
      </c>
      <c r="AG102" s="7">
        <f t="shared" si="65"/>
        <v>6.6239501047492748</v>
      </c>
      <c r="AH102" s="7">
        <f t="shared" si="66"/>
        <v>7.7360212377633983</v>
      </c>
      <c r="AI102" s="7">
        <f t="shared" si="67"/>
        <v>4.85949227948882</v>
      </c>
      <c r="AJ102" s="7">
        <f t="shared" si="68"/>
        <v>4.6036196806180785</v>
      </c>
      <c r="AK102" s="7">
        <f t="shared" si="69"/>
        <v>6.5661445833859622</v>
      </c>
      <c r="AL102" s="7">
        <f t="shared" si="70"/>
        <v>6.4845645860683447</v>
      </c>
      <c r="AW102" s="15">
        <v>0.89583333333333381</v>
      </c>
      <c r="AX102" s="10">
        <v>9.1</v>
      </c>
      <c r="AY102" s="10">
        <v>11.2</v>
      </c>
      <c r="AZ102" s="10">
        <v>9.1</v>
      </c>
      <c r="BA102" s="10">
        <v>10.5</v>
      </c>
      <c r="BB102" s="10">
        <v>9.1</v>
      </c>
      <c r="BC102" s="10">
        <v>8.3999999999999986</v>
      </c>
      <c r="BD102" s="10">
        <v>11.2</v>
      </c>
      <c r="BJ102" s="15">
        <v>0.81250000000000033</v>
      </c>
      <c r="BK102" s="68" cm="1">
        <f t="array" ref="BK102">[1]!FractionalAgents(82%,20,E46,N46)</f>
        <v>11.671568870544434</v>
      </c>
      <c r="BL102" s="68" cm="1">
        <f t="array" ref="BL102">[1]!FractionalAgents(82%,20,F46,O46)</f>
        <v>11.870040893554688</v>
      </c>
      <c r="BM102" s="68" cm="1">
        <f t="array" ref="BM102">[1]!FractionalAgents(82%,20,G46,P46)</f>
        <v>11.436607360839844</v>
      </c>
      <c r="BN102" s="68" cm="1">
        <f t="array" ref="BN102">[1]!FractionalAgents(82%,20,H46,Q46)</f>
        <v>11.992092132568359</v>
      </c>
      <c r="BO102" s="68" cm="1">
        <f t="array" ref="BO102">[1]!FractionalAgents(82%,20,I46,R46)</f>
        <v>9.4324426651000977</v>
      </c>
      <c r="BP102" s="68" cm="1">
        <f t="array" ref="BP102">[1]!FractionalAgents(82%,20,J46,S46)</f>
        <v>12.308220863342285</v>
      </c>
      <c r="BQ102" s="68" cm="1">
        <f t="array" ref="BQ102">[1]!FractionalAgents(82%,20,K46,T46)</f>
        <v>12.363921165466309</v>
      </c>
      <c r="BS102" s="15">
        <v>0.81250000000000033</v>
      </c>
      <c r="BT102" s="8" cm="1">
        <f t="array" ref="BT102">[1]!SLA(BK102,20,E46,N46)</f>
        <v>0.78102588653564453</v>
      </c>
      <c r="BU102" s="8" cm="1">
        <f t="array" ref="BU102">[1]!SLA(BL102,20,F46,O46)</f>
        <v>0.76387465000152588</v>
      </c>
      <c r="BV102" s="8" cm="1">
        <f t="array" ref="BV102">[1]!SLA(BM102,20,G46,P46)</f>
        <v>0.79748076200485229</v>
      </c>
      <c r="BW102" s="8" cm="1">
        <f t="array" ref="BW102">[1]!SLA(BN102,20,H46,Q46)</f>
        <v>0.75233572721481323</v>
      </c>
      <c r="BX102" s="8" cm="1">
        <f t="array" ref="BX102">[1]!SLA(BO102,20,I46,R46)</f>
        <v>0.79493135213851929</v>
      </c>
      <c r="BY102" s="8" cm="1">
        <f t="array" ref="BY102">[1]!SLA(BP102,20,J46,S46)</f>
        <v>0.80556952953338623</v>
      </c>
      <c r="BZ102" s="8" cm="1">
        <f t="array" ref="BZ102">[1]!SLA(BQ102,20,K46,T46)</f>
        <v>0.80260622501373291</v>
      </c>
      <c r="CB102" s="15">
        <v>0.81250000000000033</v>
      </c>
      <c r="CC102" s="8" cm="1">
        <f t="array" ref="CC102">[1]!Utilisation(BK102,E46,N46)</f>
        <v>0.71588969230651855</v>
      </c>
      <c r="CD102" s="8" cm="1">
        <f t="array" ref="CD102">[1]!Utilisation(BL102,F46,O46)</f>
        <v>0.719277024269104</v>
      </c>
      <c r="CE102" s="8" cm="1">
        <f t="array" ref="CE102">[1]!Utilisation(BM102,G46,P46)</f>
        <v>0.71308541297912598</v>
      </c>
      <c r="CF102" s="8" cm="1">
        <f t="array" ref="CF102">[1]!Utilisation(BN102,H46,Q46)</f>
        <v>0.72413456439971924</v>
      </c>
      <c r="CG102" s="8" cm="1">
        <f t="array" ref="CG102">[1]!Utilisation(BO102,I46,R46)</f>
        <v>0.68153399229049683</v>
      </c>
      <c r="CH102" s="8" cm="1">
        <f t="array" ref="CH102">[1]!Utilisation(BP102,J46,S46)</f>
        <v>0.72334784269332886</v>
      </c>
      <c r="CI102" s="8" cm="1">
        <f t="array" ref="CI102">[1]!Utilisation(BQ102,K46,T46)</f>
        <v>0.72423839569091797</v>
      </c>
      <c r="CK102" s="15">
        <v>0.81250000000000033</v>
      </c>
      <c r="CL102" s="69" cm="1">
        <f t="array" ref="CL102">[1]!FractionalCallCapacity(BK102,BT102,20,N46)</f>
        <v>97</v>
      </c>
      <c r="CM102" s="69" cm="1">
        <f t="array" ref="CM102">[1]!FractionalCallCapacity(BL102,BU102,20,O46)</f>
        <v>96</v>
      </c>
      <c r="CN102" s="69" cm="1">
        <f t="array" ref="CN102">[1]!FractionalCallCapacity(BM102,BV102,20,P46)</f>
        <v>95</v>
      </c>
      <c r="CO102" s="69" cm="1">
        <f t="array" ref="CO102">[1]!FractionalCallCapacity(BN102,BW102,20,Q46)</f>
        <v>103</v>
      </c>
      <c r="CP102" s="69" cm="1">
        <f t="array" ref="CP102">[1]!FractionalCallCapacity(BO102,BX102,20,R46)</f>
        <v>73</v>
      </c>
      <c r="CQ102" s="69" cm="1">
        <f t="array" ref="CQ102">[1]!FractionalCallCapacity(BP102,BY102,20,S46)</f>
        <v>97</v>
      </c>
      <c r="CR102" s="69" cm="1">
        <f t="array" ref="CR102">[1]!FractionalCallCapacity(BQ102,BZ102,20,T46)</f>
        <v>100</v>
      </c>
      <c r="CT102" s="15">
        <v>0.81250000000000033</v>
      </c>
      <c r="CU102" s="72">
        <f t="shared" si="55"/>
        <v>3</v>
      </c>
      <c r="CV102" s="72">
        <f t="shared" si="56"/>
        <v>4.25</v>
      </c>
      <c r="CW102" s="72">
        <f t="shared" si="57"/>
        <v>1.5</v>
      </c>
      <c r="CX102" s="72">
        <f t="shared" si="58"/>
        <v>5</v>
      </c>
      <c r="CY102" s="72">
        <f t="shared" si="59"/>
        <v>1.7916666666666714</v>
      </c>
      <c r="CZ102" s="72">
        <f t="shared" si="60"/>
        <v>0.75</v>
      </c>
      <c r="DA102" s="72">
        <f t="shared" si="61"/>
        <v>0.8125</v>
      </c>
      <c r="DC102" s="15">
        <v>0.81250000000000033</v>
      </c>
      <c r="DD102" s="72">
        <f>'linear calc'!BF44 -'linear calc'!AN44</f>
        <v>-0.43453280094931124</v>
      </c>
      <c r="DE102" s="72">
        <f>'linear calc'!BG44 -'linear calc'!AO44</f>
        <v>1.9080260570304812</v>
      </c>
      <c r="DF102" s="72">
        <f>'linear calc'!BH44 -'linear calc'!AP44</f>
        <v>2.0815775817332645</v>
      </c>
      <c r="DG102" s="72">
        <f>'linear calc'!BI44 -'linear calc'!AQ44</f>
        <v>2.0618385792796481</v>
      </c>
      <c r="DH102" s="72">
        <f>'linear calc'!BJ44 -'linear calc'!AR44</f>
        <v>2.0472809394760612</v>
      </c>
      <c r="DI102" s="72">
        <f>'linear calc'!BK44 -'linear calc'!AS44</f>
        <v>0.26791257522964784</v>
      </c>
      <c r="DJ102" s="72">
        <f>'linear calc'!BL44 -'linear calc'!AT44</f>
        <v>0.84909922811965188</v>
      </c>
      <c r="DL102" s="15">
        <v>0.81250000000000033</v>
      </c>
      <c r="DM102" s="75" cm="1">
        <f t="array" ref="DM102">[1]!asa(CR47,E46,N46)</f>
        <v>319</v>
      </c>
      <c r="DN102" s="75" cm="1">
        <f t="array" ref="DN102">[1]!asa(CS47,F46,O46)</f>
        <v>41</v>
      </c>
      <c r="DO102" s="75" cm="1">
        <f t="array" ref="DO102">[1]!asa(CT47,G46,P46)</f>
        <v>226</v>
      </c>
      <c r="DP102" s="75" cm="1">
        <f t="array" ref="DP102">[1]!asa(CU47,H46,Q46)</f>
        <v>90</v>
      </c>
      <c r="DQ102" s="75" cm="1">
        <f t="array" ref="DQ102">[1]!asa(CV47,I46,R46)</f>
        <v>32</v>
      </c>
      <c r="DR102" s="75" cm="1">
        <f t="array" ref="DR102">[1]!asa(CW47,J46,S46)</f>
        <v>3964</v>
      </c>
      <c r="DS102" s="75" cm="1">
        <f t="array" ref="DS102">[1]!asa(CX47,K46,T46)</f>
        <v>58</v>
      </c>
      <c r="DU102" s="15">
        <v>0.81250000000000033</v>
      </c>
      <c r="DV102" s="8" cm="1">
        <f t="array" ref="DV102">[1]!Abandon(CR47,300,E46,N46)</f>
        <v>0.36985498666763306</v>
      </c>
      <c r="DW102" s="8" cm="1">
        <f t="array" ref="DW102">[1]!Abandon(CS47,300,F46,O46)</f>
        <v>2.9809681698679924E-2</v>
      </c>
      <c r="DX102" s="8" cm="1">
        <f t="array" ref="DX102">[1]!Abandon(CT47,300,G46,P46)</f>
        <v>0.27599796652793884</v>
      </c>
      <c r="DY102" s="8" cm="1">
        <f t="array" ref="DY102">[1]!Abandon(CU47,300,H46,Q46)</f>
        <v>9.2645451426506042E-2</v>
      </c>
      <c r="DZ102" s="8" cm="1">
        <f t="array" ref="DZ102">[1]!Abandon(CV47,300,I46,R46)</f>
        <v>2.2263016551733017E-2</v>
      </c>
      <c r="EA102" s="8" cm="1">
        <f t="array" ref="EA102">[1]!Abandon(CW47,300,J46,S46)</f>
        <v>1</v>
      </c>
      <c r="EB102" s="8" cm="1">
        <f t="array" ref="EB102">[1]!Abandon(CX47,300,K46,T46)</f>
        <v>5.0629463046789169E-2</v>
      </c>
      <c r="ED102" s="15">
        <v>0.81250000000000033</v>
      </c>
      <c r="EE102" s="8">
        <f>1-ABS((('linear calc'!AN44 -'linear calc'!AW44) /'linear calc'!AN44))</f>
        <v>0.63653518516338337</v>
      </c>
      <c r="EF102" s="8">
        <f>1-ABS((('linear calc'!AO44 -'linear calc'!AX44) /'linear calc'!AO44))</f>
        <v>0.27808384976091105</v>
      </c>
      <c r="EG102" s="8">
        <f>1-ABS((('linear calc'!AP44 -'linear calc'!AY44) /'linear calc'!AP44))</f>
        <v>0.14773189397020203</v>
      </c>
      <c r="EH102" s="8">
        <f>1-ABS((('linear calc'!AQ44 -'linear calc'!AZ44) /'linear calc'!AQ44))</f>
        <v>0.22236157237206833</v>
      </c>
      <c r="EI102" s="8">
        <f>1-ABS((('linear calc'!AR44 -'linear calc'!BA44) /'linear calc'!AR44))</f>
        <v>0.15673928190835307</v>
      </c>
      <c r="EJ102" s="8">
        <f>1-ABS((('linear calc'!AS44 -'linear calc'!BB44) /'linear calc'!AS44))</f>
        <v>0.52436411794492255</v>
      </c>
      <c r="EK102" s="8">
        <f>1-ABS((('linear calc'!AT44 -'linear calc'!BC44) /'linear calc'!AT44))</f>
        <v>0.45424080931524224</v>
      </c>
    </row>
    <row r="103" spans="3:141" x14ac:dyDescent="0.3">
      <c r="C103" s="15">
        <v>0.68750000000000011</v>
      </c>
      <c r="D103" s="7">
        <v>49</v>
      </c>
      <c r="E103" s="7">
        <v>34</v>
      </c>
      <c r="F103" s="7">
        <v>48</v>
      </c>
      <c r="G103" s="7">
        <v>39</v>
      </c>
      <c r="H103" s="7">
        <v>40</v>
      </c>
      <c r="I103" s="7">
        <v>41</v>
      </c>
      <c r="J103" s="7">
        <v>46</v>
      </c>
      <c r="AE103" s="15">
        <v>0.66666666666666674</v>
      </c>
      <c r="AF103" s="7">
        <f t="shared" si="64"/>
        <v>4.8711470960132468</v>
      </c>
      <c r="AG103" s="7">
        <f t="shared" si="65"/>
        <v>6.3868856837606831</v>
      </c>
      <c r="AH103" s="7">
        <f t="shared" si="66"/>
        <v>6.2174449184819593</v>
      </c>
      <c r="AI103" s="7">
        <f t="shared" si="67"/>
        <v>5.9562197030421009</v>
      </c>
      <c r="AJ103" s="7">
        <f t="shared" si="68"/>
        <v>5.8136863433285004</v>
      </c>
      <c r="AK103" s="7">
        <f t="shared" si="69"/>
        <v>7.5636751022515076</v>
      </c>
      <c r="AL103" s="7">
        <f t="shared" si="70"/>
        <v>4.888726041455425</v>
      </c>
      <c r="AW103" s="15">
        <v>0.91666666666666718</v>
      </c>
      <c r="AX103" s="10">
        <v>9.7999999999999989</v>
      </c>
      <c r="AY103" s="10">
        <v>10.5</v>
      </c>
      <c r="AZ103" s="10">
        <v>9.7999999999999989</v>
      </c>
      <c r="BA103" s="10">
        <v>11.2</v>
      </c>
      <c r="BB103" s="10">
        <v>11.2</v>
      </c>
      <c r="BC103" s="10">
        <v>8.3999999999999986</v>
      </c>
      <c r="BD103" s="10">
        <v>12.6</v>
      </c>
      <c r="BJ103" s="15">
        <v>0.8333333333333337</v>
      </c>
      <c r="BK103" s="68" cm="1">
        <f t="array" ref="BK103">[1]!FractionalAgents(82%,20,E47,N47)</f>
        <v>12.262717247009277</v>
      </c>
      <c r="BL103" s="68" cm="1">
        <f t="array" ref="BL103">[1]!FractionalAgents(82%,20,F47,O47)</f>
        <v>12.325724601745605</v>
      </c>
      <c r="BM103" s="68" cm="1">
        <f t="array" ref="BM103">[1]!FractionalAgents(82%,20,G47,P47)</f>
        <v>11.76554012298584</v>
      </c>
      <c r="BN103" s="68" cm="1">
        <f t="array" ref="BN103">[1]!FractionalAgents(82%,20,H47,Q47)</f>
        <v>14.38963508605957</v>
      </c>
      <c r="BO103" s="68" cm="1">
        <f t="array" ref="BO103">[1]!FractionalAgents(82%,20,I47,R47)</f>
        <v>9.8138179779052734</v>
      </c>
      <c r="BP103" s="68" cm="1">
        <f t="array" ref="BP103">[1]!FractionalAgents(82%,20,J47,S47)</f>
        <v>10.012195587158203</v>
      </c>
      <c r="BQ103" s="68" cm="1">
        <f t="array" ref="BQ103">[1]!FractionalAgents(82%,20,K47,T47)</f>
        <v>10.933896064758301</v>
      </c>
      <c r="BS103" s="15">
        <v>0.8333333333333337</v>
      </c>
      <c r="BT103" s="8" cm="1">
        <f t="array" ref="BT103">[1]!SLA(BK103,20,E47,N47)</f>
        <v>0.80800473690032959</v>
      </c>
      <c r="BU103" s="8" cm="1">
        <f t="array" ref="BU103">[1]!SLA(BL103,20,F47,O47)</f>
        <v>0.80464625358581543</v>
      </c>
      <c r="BV103" s="8" cm="1">
        <f t="array" ref="BV103">[1]!SLA(BM103,20,G47,P47)</f>
        <v>0.77333682775497437</v>
      </c>
      <c r="BW103" s="8" cm="1">
        <f t="array" ref="BW103">[1]!SLA(BN103,20,H47,Q47)</f>
        <v>0.80253726243972778</v>
      </c>
      <c r="BX103" s="8" cm="1">
        <f t="array" ref="BX103">[1]!SLA(BO103,20,I47,R47)</f>
        <v>0.76268088817596436</v>
      </c>
      <c r="BY103" s="8" cm="1">
        <f t="array" ref="BY103">[1]!SLA(BP103,20,J47,S47)</f>
        <v>0.81945371627807617</v>
      </c>
      <c r="BZ103" s="8" cm="1">
        <f t="array" ref="BZ103">[1]!SLA(BQ103,20,K47,T47)</f>
        <v>0.75428760051727295</v>
      </c>
      <c r="CB103" s="15">
        <v>0.8333333333333337</v>
      </c>
      <c r="CC103" s="8" cm="1">
        <f t="array" ref="CC103">[1]!Utilisation(BK103,E47,N47)</f>
        <v>0.7236931324005127</v>
      </c>
      <c r="CD103" s="8" cm="1">
        <f t="array" ref="CD103">[1]!Utilisation(BL103,F47,O47)</f>
        <v>0.72357708215713501</v>
      </c>
      <c r="CE103" s="8" cm="1">
        <f t="array" ref="CE103">[1]!Utilisation(BM103,G47,P47)</f>
        <v>0.71743178367614746</v>
      </c>
      <c r="CF103" s="8" cm="1">
        <f t="array" ref="CF103">[1]!Utilisation(BN103,H47,Q47)</f>
        <v>0.74437260627746582</v>
      </c>
      <c r="CG103" s="8" cm="1">
        <f t="array" ref="CG103">[1]!Utilisation(BO103,I47,R47)</f>
        <v>0.69069427251815796</v>
      </c>
      <c r="CH103" s="8" cm="1">
        <f t="array" ref="CH103">[1]!Utilisation(BP103,J47,S47)</f>
        <v>0.69639027118682861</v>
      </c>
      <c r="CI103" s="8" cm="1">
        <f t="array" ref="CI103">[1]!Utilisation(BQ103,K47,T47)</f>
        <v>0.70942419767379761</v>
      </c>
      <c r="CK103" s="15">
        <v>0.8333333333333337</v>
      </c>
      <c r="CL103" s="69" cm="1">
        <f t="array" ref="CL103">[1]!FractionalCallCapacity(BK103,BT103,20,N47)</f>
        <v>99</v>
      </c>
      <c r="CM103" s="69" cm="1">
        <f t="array" ref="CM103">[1]!FractionalCallCapacity(BL103,BU103,20,O47)</f>
        <v>98</v>
      </c>
      <c r="CN103" s="69" cm="1">
        <f t="array" ref="CN103">[1]!FractionalCallCapacity(BM103,BV103,20,P47)</f>
        <v>97</v>
      </c>
      <c r="CO103" s="69" cm="1">
        <f t="array" ref="CO103">[1]!FractionalCallCapacity(BN103,BW103,20,Q47)</f>
        <v>114</v>
      </c>
      <c r="CP103" s="69" cm="1">
        <f t="array" ref="CP103">[1]!FractionalCallCapacity(BO103,BX103,20,R47)</f>
        <v>82</v>
      </c>
      <c r="CQ103" s="69" cm="1">
        <f t="array" ref="CQ103">[1]!FractionalCallCapacity(BP103,BY103,20,S47)</f>
        <v>76</v>
      </c>
      <c r="CR103" s="69" cm="1">
        <f t="array" ref="CR103">[1]!FractionalCallCapacity(BQ103,BZ103,20,T47)</f>
        <v>92</v>
      </c>
      <c r="CT103" s="15">
        <v>0.8333333333333337</v>
      </c>
      <c r="CU103" s="72">
        <f t="shared" si="55"/>
        <v>1</v>
      </c>
      <c r="CV103" s="72">
        <f t="shared" si="56"/>
        <v>1</v>
      </c>
      <c r="CW103" s="72">
        <f t="shared" si="57"/>
        <v>3.5</v>
      </c>
      <c r="CX103" s="72">
        <f t="shared" si="58"/>
        <v>1.25</v>
      </c>
      <c r="CY103" s="72">
        <f t="shared" si="59"/>
        <v>4.2864583333333286</v>
      </c>
      <c r="CZ103" s="72">
        <f t="shared" si="60"/>
        <v>-6.25E-2</v>
      </c>
      <c r="DA103" s="72">
        <f t="shared" si="61"/>
        <v>4.1875</v>
      </c>
      <c r="DC103" s="15">
        <v>0.8333333333333337</v>
      </c>
      <c r="DD103" s="72">
        <f>'linear calc'!BF45 -'linear calc'!AN45</f>
        <v>-0.16478196600147754</v>
      </c>
      <c r="DE103" s="72">
        <f>'linear calc'!BG45 -'linear calc'!AO45</f>
        <v>2.2253843744467598</v>
      </c>
      <c r="DF103" s="72">
        <f>'linear calc'!BH45 -'linear calc'!AP45</f>
        <v>-0.59533483364758943</v>
      </c>
      <c r="DG103" s="72">
        <f>'linear calc'!BI45 -'linear calc'!AQ45</f>
        <v>3.3194473901260748</v>
      </c>
      <c r="DH103" s="72">
        <f>'linear calc'!BJ45 -'linear calc'!AR45</f>
        <v>1.2271836564519489</v>
      </c>
      <c r="DI103" s="72">
        <f>'linear calc'!BK45 -'linear calc'!AS45</f>
        <v>-0.98211382113821344</v>
      </c>
      <c r="DJ103" s="72">
        <f>'linear calc'!BL45 -'linear calc'!AT45</f>
        <v>2.3601180195739779</v>
      </c>
      <c r="DL103" s="15">
        <v>0.8333333333333337</v>
      </c>
      <c r="DM103" s="75" cm="1">
        <f t="array" ref="DM103">[1]!asa(CR48,E47,N47)</f>
        <v>1327</v>
      </c>
      <c r="DN103" s="75" cm="1">
        <f t="array" ref="DN103">[1]!asa(CS48,F47,O47)</f>
        <v>57</v>
      </c>
      <c r="DO103" s="75" cm="1">
        <f t="array" ref="DO103">[1]!asa(CT48,G47,P47)</f>
        <v>380</v>
      </c>
      <c r="DP103" s="75" cm="1">
        <f t="array" ref="DP103">[1]!asa(CU48,H47,Q47)</f>
        <v>3257</v>
      </c>
      <c r="DQ103" s="75" cm="1">
        <f t="array" ref="DQ103">[1]!asa(CV48,I47,R47)</f>
        <v>44</v>
      </c>
      <c r="DR103" s="75" cm="1">
        <f t="array" ref="DR103">[1]!asa(CW48,J47,S47)</f>
        <v>129</v>
      </c>
      <c r="DS103" s="75" cm="1">
        <f t="array" ref="DS103">[1]!asa(CX48,K47,T47)</f>
        <v>19</v>
      </c>
      <c r="DU103" s="15">
        <v>0.8333333333333337</v>
      </c>
      <c r="DV103" s="8" cm="1">
        <f t="array" ref="DV103">[1]!Abandon(CR48,300,E47,N47)</f>
        <v>0.74619853496551514</v>
      </c>
      <c r="DW103" s="8" cm="1">
        <f t="array" ref="DW103">[1]!Abandon(CS48,300,F47,O47)</f>
        <v>4.9979273229837418E-2</v>
      </c>
      <c r="DX103" s="8" cm="1">
        <f t="array" ref="DX103">[1]!Abandon(CT48,300,G47,P47)</f>
        <v>0.4195188581943512</v>
      </c>
      <c r="DY103" s="8" cm="1">
        <f t="array" ref="DY103">[1]!Abandon(CU48,300,H47,Q47)</f>
        <v>1</v>
      </c>
      <c r="DZ103" s="8" cm="1">
        <f t="array" ref="DZ103">[1]!Abandon(CV48,300,I47,R47)</f>
        <v>3.579571470618248E-2</v>
      </c>
      <c r="EA103" s="8" cm="1">
        <f t="array" ref="EA103">[1]!Abandon(CW48,300,J47,S47)</f>
        <v>0.15267263352870941</v>
      </c>
      <c r="EB103" s="8" cm="1">
        <f t="array" ref="EB103">[1]!Abandon(CX48,300,K47,T47)</f>
        <v>7.8687500208616257E-3</v>
      </c>
      <c r="ED103" s="15">
        <v>0.8333333333333337</v>
      </c>
      <c r="EE103" s="8">
        <f>1-ABS((('linear calc'!AN45 -'linear calc'!AW45) /'linear calc'!AN45))</f>
        <v>0.59683691988592158</v>
      </c>
      <c r="EF103" s="8">
        <f>1-ABS((('linear calc'!AO45 -'linear calc'!AX45) /'linear calc'!AO45))</f>
        <v>0.21719384232528827</v>
      </c>
      <c r="EG103" s="8">
        <f>1-ABS((('linear calc'!AP45 -'linear calc'!AY45) /'linear calc'!AP45))</f>
        <v>0.65914893883978154</v>
      </c>
      <c r="EH103" s="8">
        <f>1-ABS((('linear calc'!AQ45 -'linear calc'!AZ45) /'linear calc'!AQ45))</f>
        <v>-8.897571189348441E-2</v>
      </c>
      <c r="EI103" s="8">
        <f>1-ABS((('linear calc'!AR45 -'linear calc'!BA45) /'linear calc'!AR45))</f>
        <v>0.34874847415260857</v>
      </c>
      <c r="EJ103" s="8">
        <f>1-ABS((('linear calc'!AS45 -'linear calc'!BB45) /'linear calc'!AS45))</f>
        <v>0.72097053726169857</v>
      </c>
      <c r="EK103" s="8">
        <f>1-ABS((('linear calc'!AT45 -'linear calc'!BC45) /'linear calc'!AT45))</f>
        <v>0.19002108450899136</v>
      </c>
    </row>
    <row r="104" spans="3:141" x14ac:dyDescent="0.3">
      <c r="C104" s="15">
        <v>0.70833333333333348</v>
      </c>
      <c r="D104" s="7">
        <v>40</v>
      </c>
      <c r="E104" s="7">
        <v>44</v>
      </c>
      <c r="F104" s="7">
        <v>34</v>
      </c>
      <c r="G104" s="7">
        <v>48</v>
      </c>
      <c r="H104" s="7">
        <v>36</v>
      </c>
      <c r="I104" s="7">
        <v>38</v>
      </c>
      <c r="J104" s="7">
        <v>40</v>
      </c>
      <c r="AE104" s="15">
        <v>0.68750000000000011</v>
      </c>
      <c r="AF104" s="7">
        <f t="shared" si="64"/>
        <v>7.4686968574556793</v>
      </c>
      <c r="AG104" s="7">
        <f t="shared" si="65"/>
        <v>5.2370011277752537</v>
      </c>
      <c r="AH104" s="7">
        <f t="shared" si="66"/>
        <v>7.5809285565383124</v>
      </c>
      <c r="AI104" s="7">
        <f t="shared" si="67"/>
        <v>6.3172791237879151</v>
      </c>
      <c r="AJ104" s="7">
        <f t="shared" si="68"/>
        <v>6.351917327527083</v>
      </c>
      <c r="AK104" s="7">
        <f t="shared" si="69"/>
        <v>6.5593154525135429</v>
      </c>
      <c r="AL104" s="7">
        <f t="shared" si="70"/>
        <v>7.1930040030403797</v>
      </c>
      <c r="AW104" s="15">
        <v>0.93750000000000056</v>
      </c>
      <c r="AX104" s="10">
        <v>9.7999999999999989</v>
      </c>
      <c r="AY104" s="10">
        <v>10.5</v>
      </c>
      <c r="AZ104" s="10">
        <v>9.7999999999999989</v>
      </c>
      <c r="BA104" s="10">
        <v>11.2</v>
      </c>
      <c r="BB104" s="10">
        <v>11.2</v>
      </c>
      <c r="BC104" s="10">
        <v>8.3999999999999986</v>
      </c>
      <c r="BD104" s="10">
        <v>12.6</v>
      </c>
      <c r="BJ104" s="15">
        <v>0.85416666666666707</v>
      </c>
      <c r="BK104" s="68" cm="1">
        <f t="array" ref="BK104">[1]!FractionalAgents(82%,20,E48,N48)</f>
        <v>3.9827659130096436</v>
      </c>
      <c r="BL104" s="68" cm="1">
        <f t="array" ref="BL104">[1]!FractionalAgents(82%,20,F48,O48)</f>
        <v>3.8719534873962402</v>
      </c>
      <c r="BM104" s="68" cm="1">
        <f t="array" ref="BM104">[1]!FractionalAgents(82%,20,G48,P48)</f>
        <v>4.1636552810668945</v>
      </c>
      <c r="BN104" s="68" cm="1">
        <f t="array" ref="BN104">[1]!FractionalAgents(82%,20,H48,Q48)</f>
        <v>4.0849747657775879</v>
      </c>
      <c r="BO104" s="68" cm="1">
        <f t="array" ref="BO104">[1]!FractionalAgents(82%,20,I48,R48)</f>
        <v>3.6323158740997314</v>
      </c>
      <c r="BP104" s="68" cm="1">
        <f t="array" ref="BP104">[1]!FractionalAgents(82%,20,J48,S48)</f>
        <v>4.4120869636535645</v>
      </c>
      <c r="BQ104" s="68" cm="1">
        <f t="array" ref="BQ104">[1]!FractionalAgents(82%,20,K48,T48)</f>
        <v>4.3125777244567871</v>
      </c>
      <c r="BS104" s="15">
        <v>0.85416666666666707</v>
      </c>
      <c r="BT104" s="8" cm="1">
        <f t="array" ref="BT104">[1]!SLA(BK104,20,E48,N48)</f>
        <v>0.66412830352783203</v>
      </c>
      <c r="BU104" s="8" cm="1">
        <f t="array" ref="BU104">[1]!SLA(BL104,20,F48,O48)</f>
        <v>0.69269669055938721</v>
      </c>
      <c r="BV104" s="8" cm="1">
        <f t="array" ref="BV104">[1]!SLA(BM104,20,G48,P48)</f>
        <v>0.80758887529373169</v>
      </c>
      <c r="BW104" s="8" cm="1">
        <f t="array" ref="BW104">[1]!SLA(BN104,20,H48,Q48)</f>
        <v>0.81386011838912964</v>
      </c>
      <c r="BX104" s="8" cm="1">
        <f t="array" ref="BX104">[1]!SLA(BO104,20,I48,R48)</f>
        <v>0.7425915002822876</v>
      </c>
      <c r="BY104" s="8" cm="1">
        <f t="array" ref="BY104">[1]!SLA(BP104,20,J48,S48)</f>
        <v>0.78332817554473877</v>
      </c>
      <c r="BZ104" s="8" cm="1">
        <f t="array" ref="BZ104">[1]!SLA(BQ104,20,K48,T48)</f>
        <v>0.79407328367233276</v>
      </c>
      <c r="CB104" s="15">
        <v>0.85416666666666707</v>
      </c>
      <c r="CC104" s="8" cm="1">
        <f t="array" ref="CC104">[1]!Utilisation(BK104,E48,N48)</f>
        <v>0.52559792995452881</v>
      </c>
      <c r="CD104" s="8" cm="1">
        <f t="array" ref="CD104">[1]!Utilisation(BL104,F48,O48)</f>
        <v>0.50919961929321289</v>
      </c>
      <c r="CE104" s="8" cm="1">
        <f t="array" ref="CE104">[1]!Utilisation(BM104,G48,P48)</f>
        <v>0.52678072452545166</v>
      </c>
      <c r="CF104" s="8" cm="1">
        <f t="array" ref="CF104">[1]!Utilisation(BN104,H48,Q48)</f>
        <v>0.52647203207015991</v>
      </c>
      <c r="CG104" s="8" cm="1">
        <f t="array" ref="CG104">[1]!Utilisation(BO104,I48,R48)</f>
        <v>0.4824148416519165</v>
      </c>
      <c r="CH104" s="8" cm="1">
        <f t="array" ref="CH104">[1]!Utilisation(BP104,J48,S48)</f>
        <v>0.53163617849349976</v>
      </c>
      <c r="CI104" s="8" cm="1">
        <f t="array" ref="CI104">[1]!Utilisation(BQ104,K48,T48)</f>
        <v>0.52964425086975098</v>
      </c>
      <c r="CK104" s="15">
        <v>0.85416666666666707</v>
      </c>
      <c r="CL104" s="69" cm="1">
        <f t="array" ref="CL104">[1]!FractionalCallCapacity(BK104,BT104,20,N48)</f>
        <v>29</v>
      </c>
      <c r="CM104" s="69" cm="1">
        <f t="array" ref="CM104">[1]!FractionalCallCapacity(BL104,BU104,20,O48)</f>
        <v>27</v>
      </c>
      <c r="CN104" s="69" cm="1">
        <f t="array" ref="CN104">[1]!FractionalCallCapacity(BM104,BV104,20,P48)</f>
        <v>24</v>
      </c>
      <c r="CO104" s="69" cm="1">
        <f t="array" ref="CO104">[1]!FractionalCallCapacity(BN104,BW104,20,Q48)</f>
        <v>23</v>
      </c>
      <c r="CP104" s="69" cm="1">
        <f t="array" ref="CP104">[1]!FractionalCallCapacity(BO104,BX104,20,R48)</f>
        <v>21</v>
      </c>
      <c r="CQ104" s="69" cm="1">
        <f t="array" ref="CQ104">[1]!FractionalCallCapacity(BP104,BY104,20,S48)</f>
        <v>27</v>
      </c>
      <c r="CR104" s="69" cm="1">
        <f t="array" ref="CR104">[1]!FractionalCallCapacity(BQ104,BZ104,20,T48)</f>
        <v>27</v>
      </c>
      <c r="CT104" s="15">
        <v>0.85416666666666707</v>
      </c>
      <c r="CU104" s="72">
        <f t="shared" si="55"/>
        <v>5</v>
      </c>
      <c r="CV104" s="72">
        <f t="shared" si="56"/>
        <v>4.75</v>
      </c>
      <c r="CW104" s="72">
        <f t="shared" si="57"/>
        <v>0</v>
      </c>
      <c r="CX104" s="72">
        <f t="shared" si="58"/>
        <v>-0.25</v>
      </c>
      <c r="CY104" s="72">
        <f t="shared" si="59"/>
        <v>2.28125</v>
      </c>
      <c r="CZ104" s="72">
        <f t="shared" si="60"/>
        <v>0.9375</v>
      </c>
      <c r="DA104" s="72">
        <f t="shared" si="61"/>
        <v>0.8125</v>
      </c>
      <c r="DC104" s="15">
        <v>0.85416666666666707</v>
      </c>
      <c r="DD104" s="72">
        <f>'linear calc'!BF46 -'linear calc'!AN46</f>
        <v>2.50298382365267</v>
      </c>
      <c r="DE104" s="72">
        <f>'linear calc'!BG46 -'linear calc'!AO46</f>
        <v>3.6300573888091821</v>
      </c>
      <c r="DF104" s="72">
        <f>'linear calc'!BH46 -'linear calc'!AP46</f>
        <v>1.065701219512194</v>
      </c>
      <c r="DG104" s="72">
        <f>'linear calc'!BI46 -'linear calc'!AQ46</f>
        <v>2.6129065040650401</v>
      </c>
      <c r="DH104" s="72">
        <f>'linear calc'!BJ46 -'linear calc'!AR46</f>
        <v>-4.3730886850152473E-2</v>
      </c>
      <c r="DI104" s="72">
        <f>'linear calc'!BK46 -'linear calc'!AS46</f>
        <v>-2.5866560622127981</v>
      </c>
      <c r="DJ104" s="72">
        <f>'linear calc'!BL46 -'linear calc'!AT46</f>
        <v>3.1133910146440904</v>
      </c>
      <c r="DL104" s="15">
        <v>0.85416666666666707</v>
      </c>
      <c r="DM104" s="75" cm="1">
        <f t="array" ref="DM104">[1]!asa(CR49,E48,N48)</f>
        <v>0</v>
      </c>
      <c r="DN104" s="75" cm="1">
        <f t="array" ref="DN104">[1]!asa(CS49,F48,O48)</f>
        <v>0</v>
      </c>
      <c r="DO104" s="75" cm="1">
        <f t="array" ref="DO104">[1]!asa(CT49,G48,P48)</f>
        <v>0</v>
      </c>
      <c r="DP104" s="75" cm="1">
        <f t="array" ref="DP104">[1]!asa(CU49,H48,Q48)</f>
        <v>0</v>
      </c>
      <c r="DQ104" s="75" cm="1">
        <f t="array" ref="DQ104">[1]!asa(CV49,I48,R48)</f>
        <v>0</v>
      </c>
      <c r="DR104" s="75" cm="1">
        <f t="array" ref="DR104">[1]!asa(CW49,J48,S48)</f>
        <v>0</v>
      </c>
      <c r="DS104" s="75" cm="1">
        <f t="array" ref="DS104">[1]!asa(CX49,K48,T48)</f>
        <v>0</v>
      </c>
      <c r="DU104" s="15">
        <v>0.85416666666666707</v>
      </c>
      <c r="DV104" s="8" cm="1">
        <f t="array" ref="DV104">[1]!Abandon(CR49,300,E48,N48)</f>
        <v>4.2160061752838374E-7</v>
      </c>
      <c r="DW104" s="8" cm="1">
        <f t="array" ref="DW104">[1]!Abandon(CS49,300,F48,O48)</f>
        <v>1.2605190224945773E-9</v>
      </c>
      <c r="DX104" s="8" cm="1">
        <f t="array" ref="DX104">[1]!Abandon(CT49,300,G48,P48)</f>
        <v>8.755092153478472E-7</v>
      </c>
      <c r="DY104" s="8" cm="1">
        <f t="array" ref="DY104">[1]!Abandon(CU49,300,H48,Q48)</f>
        <v>4.6202831782693465E-8</v>
      </c>
      <c r="DZ104" s="8" cm="1">
        <f t="array" ref="DZ104">[1]!Abandon(CV49,300,I48,R48)</f>
        <v>1.3299602130700805E-7</v>
      </c>
      <c r="EA104" s="8" cm="1">
        <f t="array" ref="EA104">[1]!Abandon(CW49,300,J48,S48)</f>
        <v>1.1102147254860029E-5</v>
      </c>
      <c r="EB104" s="8" cm="1">
        <f t="array" ref="EB104">[1]!Abandon(CX49,300,K48,T48)</f>
        <v>5.6542561743810893E-9</v>
      </c>
      <c r="ED104" s="15">
        <v>0.85416666666666707</v>
      </c>
      <c r="EE104" s="8">
        <f>1-ABS((('linear calc'!AN46 -'linear calc'!AW46) /'linear calc'!AN46))</f>
        <v>2.9412138383157926E-2</v>
      </c>
      <c r="EF104" s="8">
        <f>1-ABS((('linear calc'!AO46 -'linear calc'!AX46) /'linear calc'!AO46))</f>
        <v>-0.11362236436863316</v>
      </c>
      <c r="EG104" s="8">
        <f>1-ABS((('linear calc'!AP46 -'linear calc'!AY46) /'linear calc'!AP46))</f>
        <v>0.38193719760933509</v>
      </c>
      <c r="EH104" s="8">
        <f>1-ABS((('linear calc'!AQ46 -'linear calc'!AZ46) /'linear calc'!AQ46))</f>
        <v>9.8158718705304904E-2</v>
      </c>
      <c r="EI104" s="8">
        <f>1-ABS((('linear calc'!AR46 -'linear calc'!BA46) /'linear calc'!AR46))</f>
        <v>0.57826086956521727</v>
      </c>
      <c r="EJ104" s="8">
        <f>1-ABS((('linear calc'!AS46 -'linear calc'!BB46) /'linear calc'!AS46))</f>
        <v>0.90776593605469547</v>
      </c>
      <c r="EK104" s="8">
        <f>1-ABS((('linear calc'!AT46 -'linear calc'!BC46) /'linear calc'!AT46))</f>
        <v>2.1420347023764719E-2</v>
      </c>
    </row>
    <row r="105" spans="3:141" x14ac:dyDescent="0.3">
      <c r="C105" s="15">
        <v>0.72916666666666685</v>
      </c>
      <c r="D105" s="7">
        <v>48</v>
      </c>
      <c r="E105" s="7">
        <v>43</v>
      </c>
      <c r="F105" s="7">
        <v>38</v>
      </c>
      <c r="G105" s="7">
        <v>34</v>
      </c>
      <c r="H105" s="7">
        <v>38</v>
      </c>
      <c r="I105" s="7">
        <v>49</v>
      </c>
      <c r="J105" s="7">
        <v>33</v>
      </c>
      <c r="AE105" s="15">
        <v>0.70833333333333348</v>
      </c>
      <c r="AF105" s="7">
        <f t="shared" si="64"/>
        <v>6.2560873729038047</v>
      </c>
      <c r="AG105" s="7">
        <f t="shared" si="65"/>
        <v>7.0707083646466717</v>
      </c>
      <c r="AH105" s="7">
        <f t="shared" si="66"/>
        <v>5.2678024646665751</v>
      </c>
      <c r="AI105" s="7">
        <f t="shared" si="67"/>
        <v>7.6922866707658661</v>
      </c>
      <c r="AJ105" s="7">
        <f t="shared" si="68"/>
        <v>5.70534063705988</v>
      </c>
      <c r="AK105" s="7">
        <f t="shared" si="69"/>
        <v>5.8286131212960477</v>
      </c>
      <c r="AL105" s="7">
        <f t="shared" si="70"/>
        <v>6.1283106596651988</v>
      </c>
      <c r="AW105" s="15">
        <v>0.95833333333333393</v>
      </c>
      <c r="AX105" s="10">
        <v>9.7999999999999989</v>
      </c>
      <c r="AY105" s="10">
        <v>10.5</v>
      </c>
      <c r="AZ105" s="10">
        <v>9.7999999999999989</v>
      </c>
      <c r="BA105" s="10">
        <v>11.2</v>
      </c>
      <c r="BB105" s="10">
        <v>11.2</v>
      </c>
      <c r="BC105" s="10">
        <v>8.3999999999999986</v>
      </c>
      <c r="BD105" s="10">
        <v>12.6</v>
      </c>
      <c r="BJ105" s="15">
        <v>0.87500000000000044</v>
      </c>
      <c r="BK105" s="68" cm="1">
        <f t="array" ref="BK105">[1]!FractionalAgents(82%,20,E49,N49)</f>
        <v>4.1542148590087891</v>
      </c>
      <c r="BL105" s="68" cm="1">
        <f t="array" ref="BL105">[1]!FractionalAgents(82%,20,F49,O49)</f>
        <v>4.3446555137634277</v>
      </c>
      <c r="BM105" s="68" cm="1">
        <f t="array" ref="BM105">[1]!FractionalAgents(82%,20,G49,P49)</f>
        <v>3.9408023357391357</v>
      </c>
      <c r="BN105" s="68" cm="1">
        <f t="array" ref="BN105">[1]!FractionalAgents(82%,20,H49,Q49)</f>
        <v>4.2346715927124023</v>
      </c>
      <c r="BO105" s="68" cm="1">
        <f t="array" ref="BO105">[1]!FractionalAgents(82%,20,I49,R49)</f>
        <v>3.678156852722168</v>
      </c>
      <c r="BP105" s="68" cm="1">
        <f t="array" ref="BP105">[1]!FractionalAgents(82%,20,J49,S49)</f>
        <v>4.1797394752502441</v>
      </c>
      <c r="BQ105" s="68" cm="1">
        <f t="array" ref="BQ105">[1]!FractionalAgents(82%,20,K49,T49)</f>
        <v>4.5292935371398926</v>
      </c>
      <c r="BS105" s="15">
        <v>0.87500000000000044</v>
      </c>
      <c r="BT105" s="8" cm="1">
        <f t="array" ref="BT105">[1]!SLA(BK105,20,E49,N49)</f>
        <v>0.80839759111404419</v>
      </c>
      <c r="BU105" s="8" cm="1">
        <f t="array" ref="BU105">[1]!SLA(BL105,20,F49,O49)</f>
        <v>0.79045629501342773</v>
      </c>
      <c r="BV105" s="8" cm="1">
        <f t="array" ref="BV105">[1]!SLA(BM105,20,G49,P49)</f>
        <v>0.67520874738693237</v>
      </c>
      <c r="BW105" s="8" cm="1">
        <f t="array" ref="BW105">[1]!SLA(BN105,20,H49,Q49)</f>
        <v>0.80140376091003418</v>
      </c>
      <c r="BX105" s="8" cm="1">
        <f t="array" ref="BX105">[1]!SLA(BO105,20,I49,R49)</f>
        <v>0.73446416854858398</v>
      </c>
      <c r="BY105" s="8" cm="1">
        <f t="array" ref="BY105">[1]!SLA(BP105,20,J49,S49)</f>
        <v>0.80624043941497803</v>
      </c>
      <c r="BZ105" s="8" cm="1">
        <f t="array" ref="BZ105">[1]!SLA(BQ105,20,K49,T49)</f>
        <v>0.76894360780715942</v>
      </c>
      <c r="CB105" s="15">
        <v>0.87500000000000044</v>
      </c>
      <c r="CC105" s="8" cm="1">
        <f t="array" ref="CC105">[1]!Utilisation(BK105,E49,N49)</f>
        <v>0.52699154615402222</v>
      </c>
      <c r="CD105" s="8" cm="1">
        <f t="array" ref="CD105">[1]!Utilisation(BL105,F49,O49)</f>
        <v>0.52869868278503418</v>
      </c>
      <c r="CE105" s="8" cm="1">
        <f t="array" ref="CE105">[1]!Utilisation(BM105,G49,P49)</f>
        <v>0.51878893375396729</v>
      </c>
      <c r="CF105" s="8" cm="1">
        <f t="array" ref="CF105">[1]!Utilisation(BN105,H49,Q49)</f>
        <v>0.52763831615447998</v>
      </c>
      <c r="CG105" s="8" cm="1">
        <f t="array" ref="CG105">[1]!Utilisation(BO105,I49,R49)</f>
        <v>0.48722991347312927</v>
      </c>
      <c r="CH105" s="8" cm="1">
        <f t="array" ref="CH105">[1]!Utilisation(BP105,J49,S49)</f>
        <v>0.52699655294418335</v>
      </c>
      <c r="CI105" s="8" cm="1">
        <f t="array" ref="CI105">[1]!Utilisation(BQ105,K49,T49)</f>
        <v>0.53595942258834839</v>
      </c>
      <c r="CK105" s="15">
        <v>0.87500000000000044</v>
      </c>
      <c r="CL105" s="69" cm="1">
        <f t="array" ref="CL105">[1]!FractionalCallCapacity(BK105,BT105,20,N49)</f>
        <v>24</v>
      </c>
      <c r="CM105" s="69" cm="1">
        <f t="array" ref="CM105">[1]!FractionalCallCapacity(BL105,BU105,20,O49)</f>
        <v>25</v>
      </c>
      <c r="CN105" s="69" cm="1">
        <f t="array" ref="CN105">[1]!FractionalCallCapacity(BM105,BV105,20,P49)</f>
        <v>28</v>
      </c>
      <c r="CO105" s="69" cm="1">
        <f t="array" ref="CO105">[1]!FractionalCallCapacity(BN105,BW105,20,Q49)</f>
        <v>25</v>
      </c>
      <c r="CP105" s="69" cm="1">
        <f t="array" ref="CP105">[1]!FractionalCallCapacity(BO105,BX105,20,R49)</f>
        <v>23</v>
      </c>
      <c r="CQ105" s="69" cm="1">
        <f t="array" ref="CQ105">[1]!FractionalCallCapacity(BP105,BY105,20,S49)</f>
        <v>24</v>
      </c>
      <c r="CR105" s="69" cm="1">
        <f t="array" ref="CR105">[1]!FractionalCallCapacity(BQ105,BZ105,20,T49)</f>
        <v>28</v>
      </c>
      <c r="CT105" s="15">
        <v>0.87500000000000044</v>
      </c>
      <c r="CU105" s="72">
        <f t="shared" si="55"/>
        <v>-0.25</v>
      </c>
      <c r="CV105" s="72">
        <f t="shared" si="56"/>
        <v>0.75</v>
      </c>
      <c r="CW105" s="72">
        <f t="shared" si="57"/>
        <v>5</v>
      </c>
      <c r="CX105" s="72">
        <f t="shared" si="58"/>
        <v>0.25</v>
      </c>
      <c r="CY105" s="72">
        <f t="shared" si="59"/>
        <v>3.0260416666666679</v>
      </c>
      <c r="CZ105" s="72">
        <f t="shared" si="60"/>
        <v>-0.25</v>
      </c>
      <c r="DA105" s="72">
        <f t="shared" si="61"/>
        <v>1.4375</v>
      </c>
      <c r="DC105" s="15">
        <v>0.87500000000000044</v>
      </c>
      <c r="DD105" s="72">
        <f>'linear calc'!BF47 -'linear calc'!AN47</f>
        <v>-1.0419946872736059</v>
      </c>
      <c r="DE105" s="72">
        <f>'linear calc'!BG47 -'linear calc'!AO47</f>
        <v>4.0340108401084001</v>
      </c>
      <c r="DF105" s="72">
        <f>'linear calc'!BH47 -'linear calc'!AP47</f>
        <v>1.9554652213188799</v>
      </c>
      <c r="DG105" s="72">
        <f>'linear calc'!BI47 -'linear calc'!AQ47</f>
        <v>3.457171440873287</v>
      </c>
      <c r="DH105" s="72">
        <f>'linear calc'!BJ47 -'linear calc'!AR47</f>
        <v>-1.1943733397730014</v>
      </c>
      <c r="DI105" s="72">
        <f>'linear calc'!BK47 -'linear calc'!AS47</f>
        <v>1.0789045785194675</v>
      </c>
      <c r="DJ105" s="72">
        <f>'linear calc'!BL47 -'linear calc'!AT47</f>
        <v>1.6144792876500205</v>
      </c>
      <c r="DL105" s="15">
        <v>0.87500000000000044</v>
      </c>
      <c r="DM105" s="75" cm="1">
        <f t="array" ref="DM105">[1]!asa(CR50,E49,N49)</f>
        <v>0</v>
      </c>
      <c r="DN105" s="75" cm="1">
        <f t="array" ref="DN105">[1]!asa(CS50,F49,O49)</f>
        <v>0</v>
      </c>
      <c r="DO105" s="75" cm="1">
        <f t="array" ref="DO105">[1]!asa(CT50,G49,P49)</f>
        <v>0</v>
      </c>
      <c r="DP105" s="75" cm="1">
        <f t="array" ref="DP105">[1]!asa(CU50,H49,Q49)</f>
        <v>0</v>
      </c>
      <c r="DQ105" s="75" cm="1">
        <f t="array" ref="DQ105">[1]!asa(CV50,I49,R49)</f>
        <v>0</v>
      </c>
      <c r="DR105" s="75" cm="1">
        <f t="array" ref="DR105">[1]!asa(CW50,J49,S49)</f>
        <v>0</v>
      </c>
      <c r="DS105" s="75" cm="1">
        <f t="array" ref="DS105">[1]!asa(CX50,K49,T49)</f>
        <v>0</v>
      </c>
      <c r="DU105" s="15">
        <v>0.87500000000000044</v>
      </c>
      <c r="DV105" s="8" cm="1">
        <f t="array" ref="DV105">[1]!Abandon(CR50,300,E49,N49)</f>
        <v>7.9646855510873138E-7</v>
      </c>
      <c r="DW105" s="8" cm="1">
        <f t="array" ref="DW105">[1]!Abandon(CS50,300,F49,O49)</f>
        <v>1.1806385202817182E-8</v>
      </c>
      <c r="DX105" s="8" cm="1">
        <f t="array" ref="DX105">[1]!Abandon(CT50,300,G49,P49)</f>
        <v>3.8490472320518165E-7</v>
      </c>
      <c r="DY105" s="8" cm="1">
        <f t="array" ref="DY105">[1]!Abandon(CU50,300,H49,Q49)</f>
        <v>5.6461214370528978E-8</v>
      </c>
      <c r="DZ105" s="8" cm="1">
        <f t="array" ref="DZ105">[1]!Abandon(CV50,300,I49,R49)</f>
        <v>1.2293608619984298E-7</v>
      </c>
      <c r="EA105" s="8" cm="1">
        <f t="array" ref="EA105">[1]!Abandon(CW50,300,J49,S49)</f>
        <v>6.9877951318630949E-6</v>
      </c>
      <c r="EB105" s="8" cm="1">
        <f t="array" ref="EB105">[1]!Abandon(CX50,300,K49,T49)</f>
        <v>1.6347408759997961E-8</v>
      </c>
      <c r="ED105" s="15">
        <v>0.87500000000000044</v>
      </c>
      <c r="EE105" s="8">
        <f>1-ABS((('linear calc'!AN47 -'linear calc'!AW47) /'linear calc'!AN47))</f>
        <v>0.71820086670793848</v>
      </c>
      <c r="EF105" s="8">
        <f>1-ABS((('linear calc'!AO47 -'linear calc'!AX47) /'linear calc'!AO47))</f>
        <v>-0.23276921622388214</v>
      </c>
      <c r="EG105" s="8">
        <f>1-ABS((('linear calc'!AP47 -'linear calc'!AY47) /'linear calc'!AP47))</f>
        <v>0.18042736123403702</v>
      </c>
      <c r="EH105" s="8">
        <f>1-ABS((('linear calc'!AQ47 -'linear calc'!AZ47) /'linear calc'!AQ47))</f>
        <v>-0.12982608820737074</v>
      </c>
      <c r="EI105" s="8">
        <f>1-ABS((('linear calc'!AR47 -'linear calc'!BA47) /'linear calc'!AR47))</f>
        <v>0.73717422411973055</v>
      </c>
      <c r="EJ105" s="8">
        <f>1-ABS((('linear calc'!AS47 -'linear calc'!BB47) /'linear calc'!AS47))</f>
        <v>0.36090102516745193</v>
      </c>
      <c r="EK105" s="8">
        <f>1-ABS((('linear calc'!AT47 -'linear calc'!BC47) /'linear calc'!AT47))</f>
        <v>0.33081577097991033</v>
      </c>
    </row>
    <row r="106" spans="3:141" x14ac:dyDescent="0.3">
      <c r="C106" s="15">
        <v>0.75000000000000022</v>
      </c>
      <c r="D106" s="7">
        <v>45</v>
      </c>
      <c r="E106" s="7">
        <v>30</v>
      </c>
      <c r="F106" s="7">
        <v>41</v>
      </c>
      <c r="G106" s="7">
        <v>39</v>
      </c>
      <c r="H106" s="7">
        <v>41</v>
      </c>
      <c r="I106" s="7">
        <v>50</v>
      </c>
      <c r="J106" s="7">
        <v>44</v>
      </c>
      <c r="AE106" s="15">
        <v>0.72916666666666685</v>
      </c>
      <c r="AF106" s="7">
        <f t="shared" si="64"/>
        <v>7.6721932110984712</v>
      </c>
      <c r="AG106" s="7">
        <f t="shared" si="65"/>
        <v>6.5258329774666093</v>
      </c>
      <c r="AH106" s="7">
        <f t="shared" si="66"/>
        <v>5.990035838107783</v>
      </c>
      <c r="AI106" s="7">
        <f t="shared" si="67"/>
        <v>5.2141889276035611</v>
      </c>
      <c r="AJ106" s="7">
        <f t="shared" si="68"/>
        <v>5.8454023748124015</v>
      </c>
      <c r="AK106" s="7">
        <f t="shared" si="69"/>
        <v>7.8574119965798594</v>
      </c>
      <c r="AL106" s="7">
        <f t="shared" si="70"/>
        <v>5.2692779805252359</v>
      </c>
      <c r="AW106" s="17">
        <v>0.9791666666666673</v>
      </c>
      <c r="AX106" s="10">
        <v>9.7999999999999989</v>
      </c>
      <c r="AY106" s="10">
        <v>10.5</v>
      </c>
      <c r="AZ106" s="10">
        <v>9.7999999999999989</v>
      </c>
      <c r="BA106" s="10">
        <v>11.2</v>
      </c>
      <c r="BB106" s="10">
        <v>11.2</v>
      </c>
      <c r="BC106" s="10">
        <v>8.3999999999999986</v>
      </c>
      <c r="BD106" s="10">
        <v>12.6</v>
      </c>
      <c r="BJ106" s="15">
        <v>0.89583333333333381</v>
      </c>
      <c r="BK106" s="68" cm="1">
        <f t="array" ref="BK106">[1]!FractionalAgents(82%,20,E50,N50)</f>
        <v>4.1318659782409668</v>
      </c>
      <c r="BL106" s="68" cm="1">
        <f t="array" ref="BL106">[1]!FractionalAgents(82%,20,F50,O50)</f>
        <v>4.2492132186889648</v>
      </c>
      <c r="BM106" s="68" cm="1">
        <f t="array" ref="BM106">[1]!FractionalAgents(82%,20,G50,P50)</f>
        <v>4.1797394752502441</v>
      </c>
      <c r="BN106" s="68" cm="1">
        <f t="array" ref="BN106">[1]!FractionalAgents(82%,20,H50,Q50)</f>
        <v>4.4477648735046387</v>
      </c>
      <c r="BO106" s="68" cm="1">
        <f t="array" ref="BO106">[1]!FractionalAgents(82%,20,I50,R50)</f>
        <v>3.6359479427337646</v>
      </c>
      <c r="BP106" s="68" cm="1">
        <f t="array" ref="BP106">[1]!FractionalAgents(82%,20,J50,S50)</f>
        <v>3.9549496173858643</v>
      </c>
      <c r="BQ106" s="68" cm="1">
        <f t="array" ref="BQ106">[1]!FractionalAgents(82%,20,K50,T50)</f>
        <v>4.5833492279052734</v>
      </c>
      <c r="BS106" s="15">
        <v>0.89583333333333381</v>
      </c>
      <c r="BT106" s="8" cm="1">
        <f t="array" ref="BT106">[1]!SLA(BK106,20,E50,N50)</f>
        <v>0.81025940179824829</v>
      </c>
      <c r="BU106" s="8" cm="1">
        <f t="array" ref="BU106">[1]!SLA(BL106,20,F50,O50)</f>
        <v>0.79996603727340698</v>
      </c>
      <c r="BV106" s="8" cm="1">
        <f t="array" ref="BV106">[1]!SLA(BM106,20,G50,P50)</f>
        <v>0.80624043941497803</v>
      </c>
      <c r="BW106" s="8" cm="1">
        <f t="array" ref="BW106">[1]!SLA(BN106,20,H50,Q50)</f>
        <v>0.77917677164077759</v>
      </c>
      <c r="BX106" s="8" cm="1">
        <f t="array" ref="BX106">[1]!SLA(BO106,20,I50,R50)</f>
        <v>0.74247193336486816</v>
      </c>
      <c r="BY106" s="8" cm="1">
        <f t="array" ref="BY106">[1]!SLA(BP106,20,J50,S50)</f>
        <v>0.67183279991149902</v>
      </c>
      <c r="BZ106" s="8" cm="1">
        <f t="array" ref="BZ106">[1]!SLA(BQ106,20,K50,T50)</f>
        <v>0.7616724967956543</v>
      </c>
      <c r="CB106" s="15">
        <v>0.89583333333333381</v>
      </c>
      <c r="CC106" s="8" cm="1">
        <f t="array" ref="CC106">[1]!Utilisation(BK106,E50,N50)</f>
        <v>0.52745538949966431</v>
      </c>
      <c r="CD106" s="8" cm="1">
        <f t="array" ref="CD106">[1]!Utilisation(BL106,F50,O50)</f>
        <v>0.52715641260147095</v>
      </c>
      <c r="CE106" s="8" cm="1">
        <f t="array" ref="CE106">[1]!Utilisation(BM106,G50,P50)</f>
        <v>0.52699655294418335</v>
      </c>
      <c r="CF106" s="8" cm="1">
        <f t="array" ref="CF106">[1]!Utilisation(BN106,H50,Q50)</f>
        <v>0.53280502557754517</v>
      </c>
      <c r="CG106" s="8" cm="1">
        <f t="array" ref="CG106">[1]!Utilisation(BO106,I50,R50)</f>
        <v>0.48385635018348694</v>
      </c>
      <c r="CH106" s="8" cm="1">
        <f t="array" ref="CH106">[1]!Utilisation(BP106,J50,S50)</f>
        <v>0.52150720357894897</v>
      </c>
      <c r="CI106" s="8" cm="1">
        <f t="array" ref="CI106">[1]!Utilisation(BQ106,K50,T50)</f>
        <v>0.53880494832992554</v>
      </c>
      <c r="CK106" s="15">
        <v>0.89583333333333381</v>
      </c>
      <c r="CL106" s="69" cm="1">
        <f t="array" ref="CL106">[1]!FractionalCallCapacity(BK106,BT106,20,N50)</f>
        <v>25</v>
      </c>
      <c r="CM106" s="69" cm="1">
        <f t="array" ref="CM106">[1]!FractionalCallCapacity(BL106,BU106,20,O50)</f>
        <v>24</v>
      </c>
      <c r="CN106" s="69" cm="1">
        <f t="array" ref="CN106">[1]!FractionalCallCapacity(BM106,BV106,20,P50)</f>
        <v>24</v>
      </c>
      <c r="CO106" s="69" cm="1">
        <f t="array" ref="CO106">[1]!FractionalCallCapacity(BN106,BW106,20,Q50)</f>
        <v>28</v>
      </c>
      <c r="CP106" s="69" cm="1">
        <f t="array" ref="CP106">[1]!FractionalCallCapacity(BO106,BX106,20,R50)</f>
        <v>23</v>
      </c>
      <c r="CQ106" s="69" cm="1">
        <f t="array" ref="CQ106">[1]!FractionalCallCapacity(BP106,BY106,20,S50)</f>
        <v>29</v>
      </c>
      <c r="CR106" s="69" cm="1">
        <f t="array" ref="CR106">[1]!FractionalCallCapacity(BQ106,BZ106,20,T50)</f>
        <v>29</v>
      </c>
      <c r="CT106" s="15">
        <v>0.89583333333333381</v>
      </c>
      <c r="CU106" s="72">
        <f t="shared" si="55"/>
        <v>0.25</v>
      </c>
      <c r="CV106" s="72">
        <f t="shared" si="56"/>
        <v>0</v>
      </c>
      <c r="CW106" s="72">
        <f t="shared" si="57"/>
        <v>-0.25</v>
      </c>
      <c r="CX106" s="72">
        <f t="shared" si="58"/>
        <v>1.75</v>
      </c>
      <c r="CY106" s="72">
        <f t="shared" si="59"/>
        <v>3.0208333333333321</v>
      </c>
      <c r="CZ106" s="72">
        <f t="shared" si="60"/>
        <v>5.125</v>
      </c>
      <c r="DA106" s="72">
        <f t="shared" si="61"/>
        <v>1.8125</v>
      </c>
      <c r="DC106" s="15">
        <v>0.89583333333333381</v>
      </c>
      <c r="DD106" s="72">
        <f>'linear calc'!BF48 -'linear calc'!AN48</f>
        <v>-0.34809358984679051</v>
      </c>
      <c r="DE106" s="72">
        <f>'linear calc'!BG48 -'linear calc'!AO48</f>
        <v>1.6346240885089252</v>
      </c>
      <c r="DF106" s="72">
        <f>'linear calc'!BH48 -'linear calc'!AP48</f>
        <v>2.0060916696123483</v>
      </c>
      <c r="DG106" s="72">
        <f>'linear calc'!BI48 -'linear calc'!AQ48</f>
        <v>3.6692398237113686</v>
      </c>
      <c r="DH106" s="72">
        <f>'linear calc'!BJ48 -'linear calc'!AR48</f>
        <v>2.4347510789922717</v>
      </c>
      <c r="DI106" s="72">
        <f>'linear calc'!BK48 -'linear calc'!AS48</f>
        <v>1.6474154371173322</v>
      </c>
      <c r="DJ106" s="72">
        <f>'linear calc'!BL48 -'linear calc'!AT48</f>
        <v>1.4387191833083364</v>
      </c>
      <c r="DL106" s="15">
        <v>0.89583333333333381</v>
      </c>
      <c r="DM106" s="75" cm="1">
        <f t="array" ref="DM106">[1]!asa(CR51,E50,N50)</f>
        <v>0</v>
      </c>
      <c r="DN106" s="75" cm="1">
        <f t="array" ref="DN106">[1]!asa(CS51,F50,O50)</f>
        <v>0</v>
      </c>
      <c r="DO106" s="75" cm="1">
        <f t="array" ref="DO106">[1]!asa(CT51,G50,P50)</f>
        <v>0</v>
      </c>
      <c r="DP106" s="75" cm="1">
        <f t="array" ref="DP106">[1]!asa(CU51,H50,Q50)</f>
        <v>0</v>
      </c>
      <c r="DQ106" s="75" cm="1">
        <f t="array" ref="DQ106">[1]!asa(CV51,I50,R50)</f>
        <v>0</v>
      </c>
      <c r="DR106" s="75" cm="1">
        <f t="array" ref="DR106">[1]!asa(CW51,J50,S50)</f>
        <v>0</v>
      </c>
      <c r="DS106" s="75" cm="1">
        <f t="array" ref="DS106">[1]!asa(CX51,K50,T50)</f>
        <v>0</v>
      </c>
      <c r="DU106" s="15">
        <v>0.89583333333333381</v>
      </c>
      <c r="DV106" s="8" cm="1">
        <f t="array" ref="DV106">[1]!Abandon(CR51,300,E50,N50)</f>
        <v>6.5045452402046067E-7</v>
      </c>
      <c r="DW106" s="8" cm="1">
        <f t="array" ref="DW106">[1]!Abandon(CS51,300,F50,O50)</f>
        <v>7.9672215491655152E-9</v>
      </c>
      <c r="DX106" s="8" cm="1">
        <f t="array" ref="DX106">[1]!Abandon(CT51,300,G50,P50)</f>
        <v>8.7590410657867324E-7</v>
      </c>
      <c r="DY106" s="8" cm="1">
        <f t="array" ref="DY106">[1]!Abandon(CU51,300,H50,Q50)</f>
        <v>1.0231526914594724E-7</v>
      </c>
      <c r="DZ106" s="8" cm="1">
        <f t="array" ref="DZ106">[1]!Abandon(CV51,300,I50,R50)</f>
        <v>9.1291994408493338E-8</v>
      </c>
      <c r="EA106" s="8" cm="1">
        <f t="array" ref="EA106">[1]!Abandon(CW51,300,J50,S50)</f>
        <v>3.0290884751593694E-6</v>
      </c>
      <c r="EB106" s="8" cm="1">
        <f t="array" ref="EB106">[1]!Abandon(CX51,300,K50,T50)</f>
        <v>1.8825796033183906E-8</v>
      </c>
      <c r="ED106" s="15">
        <v>0.89583333333333381</v>
      </c>
      <c r="EE106" s="8">
        <f>1-ABS((('linear calc'!AN48 -'linear calc'!AW48) /'linear calc'!AN48))</f>
        <v>0.62406104719684441</v>
      </c>
      <c r="EF106" s="8">
        <f>1-ABS((('linear calc'!AO48 -'linear calc'!AX48) /'linear calc'!AO48))</f>
        <v>0.32730044819473481</v>
      </c>
      <c r="EG106" s="8">
        <f>1-ABS((('linear calc'!AP48 -'linear calc'!AY48) /'linear calc'!AP48))</f>
        <v>0.16744178321097558</v>
      </c>
      <c r="EH106" s="8">
        <f>1-ABS((('linear calc'!AQ48 -'linear calc'!AZ48) /'linear calc'!AQ48))</f>
        <v>-0.19594885677130813</v>
      </c>
      <c r="EI106" s="8">
        <f>1-ABS((('linear calc'!AR48 -'linear calc'!BA48) /'linear calc'!AR48))</f>
        <v>4.9585221187131268E-2</v>
      </c>
      <c r="EJ106" s="8">
        <f>1-ABS((('linear calc'!AS48 -'linear calc'!BB48) /'linear calc'!AS48))</f>
        <v>0.22290266959985749</v>
      </c>
      <c r="EK106" s="8">
        <f>1-ABS((('linear calc'!AT48 -'linear calc'!BC48) /'linear calc'!AT48))</f>
        <v>0.36087084262136904</v>
      </c>
    </row>
    <row r="107" spans="3:141" x14ac:dyDescent="0.3">
      <c r="C107" s="15">
        <v>0.77083333333333359</v>
      </c>
      <c r="D107" s="7">
        <v>39</v>
      </c>
      <c r="E107" s="7">
        <v>50</v>
      </c>
      <c r="F107" s="7">
        <v>31</v>
      </c>
      <c r="G107" s="7">
        <v>48</v>
      </c>
      <c r="H107" s="7">
        <v>37</v>
      </c>
      <c r="I107" s="7">
        <v>34</v>
      </c>
      <c r="J107" s="7">
        <v>37</v>
      </c>
      <c r="AE107" s="15">
        <v>0.75000000000000022</v>
      </c>
      <c r="AF107" s="7">
        <f t="shared" si="64"/>
        <v>7.1682024264304589</v>
      </c>
      <c r="AG107" s="7">
        <f t="shared" si="65"/>
        <v>4.6311640526393649</v>
      </c>
      <c r="AH107" s="7">
        <f t="shared" si="66"/>
        <v>6.3905688133376914</v>
      </c>
      <c r="AI107" s="7">
        <f t="shared" si="67"/>
        <v>6.0712234694566973</v>
      </c>
      <c r="AJ107" s="7">
        <f t="shared" si="68"/>
        <v>6.2060359231411866</v>
      </c>
      <c r="AK107" s="7">
        <f t="shared" si="69"/>
        <v>7.8552933690581606</v>
      </c>
      <c r="AL107" s="7">
        <f t="shared" si="70"/>
        <v>7.101999336319893</v>
      </c>
      <c r="AW107" s="2" t="s">
        <v>17</v>
      </c>
      <c r="AX107" s="20">
        <v>459.20000000000056</v>
      </c>
      <c r="AY107" s="20">
        <v>504</v>
      </c>
      <c r="AZ107" s="20">
        <v>504.00000000000045</v>
      </c>
      <c r="BA107" s="20">
        <v>560.00000000000034</v>
      </c>
      <c r="BB107" s="20">
        <v>470.40000000000032</v>
      </c>
      <c r="BC107" s="20">
        <v>425.59999999999968</v>
      </c>
      <c r="BD107" s="20">
        <v>571.19999999999982</v>
      </c>
      <c r="BJ107" s="15">
        <v>0.91666666666666718</v>
      </c>
      <c r="BK107" s="68" cm="1">
        <f t="array" ref="BK107">[1]!FractionalAgents(82%,20,E51,N51)</f>
        <v>4.2346715927124023</v>
      </c>
      <c r="BL107" s="68" cm="1">
        <f t="array" ref="BL107">[1]!FractionalAgents(82%,20,F51,O51)</f>
        <v>4.0366520881652832</v>
      </c>
      <c r="BM107" s="68" cm="1">
        <f t="array" ref="BM107">[1]!FractionalAgents(82%,20,G51,P51)</f>
        <v>4.2207646369934082</v>
      </c>
      <c r="BN107" s="68" cm="1">
        <f t="array" ref="BN107">[1]!FractionalAgents(82%,20,H51,Q51)</f>
        <v>4.1966156959533691</v>
      </c>
      <c r="BO107" s="68" cm="1">
        <f t="array" ref="BO107">[1]!FractionalAgents(82%,20,I51,R51)</f>
        <v>3.5916910171508789</v>
      </c>
      <c r="BP107" s="68" cm="1">
        <f t="array" ref="BP107">[1]!FractionalAgents(82%,20,J51,S51)</f>
        <v>4.2776045799255371</v>
      </c>
      <c r="BQ107" s="68" cm="1">
        <f t="array" ref="BQ107">[1]!FractionalAgents(82%,20,K51,T51)</f>
        <v>3.9712040424346924</v>
      </c>
      <c r="BS107" s="15">
        <v>0.91666666666666718</v>
      </c>
      <c r="BT107" s="8" cm="1">
        <f t="array" ref="BT107">[1]!SLA(BK107,20,E51,N51)</f>
        <v>0.80140376091003418</v>
      </c>
      <c r="BU107" s="8" cm="1">
        <f t="array" ref="BU107">[1]!SLA(BL107,20,F51,O51)</f>
        <v>0.81744056940078735</v>
      </c>
      <c r="BV107" s="8" cm="1">
        <f t="array" ref="BV107">[1]!SLA(BM107,20,G51,P51)</f>
        <v>0.80256861448287964</v>
      </c>
      <c r="BW107" s="8" cm="1">
        <f t="array" ref="BW107">[1]!SLA(BN107,20,H51,Q51)</f>
        <v>0.80472838878631592</v>
      </c>
      <c r="BX107" s="8" cm="1">
        <f t="array" ref="BX107">[1]!SLA(BO107,20,I51,R51)</f>
        <v>0.75039100646972656</v>
      </c>
      <c r="BY107" s="8" cm="1">
        <f t="array" ref="BY107">[1]!SLA(BP107,20,J51,S51)</f>
        <v>0.79746353626251221</v>
      </c>
      <c r="BZ107" s="8" cm="1">
        <f t="array" ref="BZ107">[1]!SLA(BQ107,20,K51,T51)</f>
        <v>0.66752803325653076</v>
      </c>
      <c r="CB107" s="15">
        <v>0.91666666666666718</v>
      </c>
      <c r="CC107" s="8" cm="1">
        <f t="array" ref="CC107">[1]!Utilisation(BK107,E51,N51)</f>
        <v>0.52763831615447998</v>
      </c>
      <c r="CD107" s="8" cm="1">
        <f t="array" ref="CD107">[1]!Utilisation(BL107,F51,O51)</f>
        <v>0.52718329429626465</v>
      </c>
      <c r="CE107" s="8" cm="1">
        <f t="array" ref="CE107">[1]!Utilisation(BM107,G51,P51)</f>
        <v>0.52674436569213867</v>
      </c>
      <c r="CF107" s="8" cm="1">
        <f t="array" ref="CF107">[1]!Utilisation(BN107,H51,Q51)</f>
        <v>0.52663135528564453</v>
      </c>
      <c r="CG107" s="8" cm="1">
        <f t="array" ref="CG107">[1]!Utilisation(BO107,I51,R51)</f>
        <v>0.48067274689674377</v>
      </c>
      <c r="CH107" s="8" cm="1">
        <f t="array" ref="CH107">[1]!Utilisation(BP107,J51,S51)</f>
        <v>0.52878361940383911</v>
      </c>
      <c r="CI107" s="8" cm="1">
        <f t="array" ref="CI107">[1]!Utilisation(BQ107,K51,T51)</f>
        <v>0.52413785457611084</v>
      </c>
      <c r="CK107" s="15">
        <v>0.91666666666666718</v>
      </c>
      <c r="CL107" s="69" cm="1">
        <f t="array" ref="CL107">[1]!FractionalCallCapacity(BK107,BT107,20,N51)</f>
        <v>25</v>
      </c>
      <c r="CM107" s="69" cm="1">
        <f t="array" ref="CM107">[1]!FractionalCallCapacity(BL107,BU107,20,O51)</f>
        <v>23</v>
      </c>
      <c r="CN107" s="69" cm="1">
        <f t="array" ref="CN107">[1]!FractionalCallCapacity(BM107,BV107,20,P51)</f>
        <v>24</v>
      </c>
      <c r="CO107" s="69" cm="1">
        <f t="array" ref="CO107">[1]!FractionalCallCapacity(BN107,BW107,20,Q51)</f>
        <v>24</v>
      </c>
      <c r="CP107" s="69" cm="1">
        <f t="array" ref="CP107">[1]!FractionalCallCapacity(BO107,BX107,20,R51)</f>
        <v>22</v>
      </c>
      <c r="CQ107" s="69" cm="1">
        <f t="array" ref="CQ107">[1]!FractionalCallCapacity(BP107,BY107,20,S51)</f>
        <v>26</v>
      </c>
      <c r="CR107" s="69" cm="1">
        <f t="array" ref="CR107">[1]!FractionalCallCapacity(BQ107,BZ107,20,T51)</f>
        <v>30</v>
      </c>
      <c r="CT107" s="15">
        <v>0.91666666666666718</v>
      </c>
      <c r="CU107" s="72">
        <f t="shared" si="55"/>
        <v>0.25</v>
      </c>
      <c r="CV107" s="72">
        <f t="shared" si="56"/>
        <v>-0.5</v>
      </c>
      <c r="CW107" s="72">
        <f t="shared" si="57"/>
        <v>0.25</v>
      </c>
      <c r="CX107" s="72">
        <f t="shared" si="58"/>
        <v>0.25</v>
      </c>
      <c r="CY107" s="72">
        <f t="shared" si="59"/>
        <v>2.015625</v>
      </c>
      <c r="CZ107" s="72">
        <f t="shared" si="60"/>
        <v>0.3125</v>
      </c>
      <c r="DA107" s="72">
        <f t="shared" si="61"/>
        <v>5.75</v>
      </c>
      <c r="DC107" s="15">
        <v>0.91666666666666718</v>
      </c>
      <c r="DD107" s="72">
        <f>'linear calc'!BF49 -'linear calc'!AN49</f>
        <v>1.4293049909665747</v>
      </c>
      <c r="DE107" s="72">
        <f>'linear calc'!BG49 -'linear calc'!AO49</f>
        <v>0.1059733514001806</v>
      </c>
      <c r="DF107" s="72">
        <f>'linear calc'!BH49 -'linear calc'!AP49</f>
        <v>0.45011223344556583</v>
      </c>
      <c r="DG107" s="72">
        <f>'linear calc'!BI49 -'linear calc'!AQ49</f>
        <v>3.2634187402480075</v>
      </c>
      <c r="DH107" s="72">
        <f>'linear calc'!BJ49 -'linear calc'!AR49</f>
        <v>4.4553270630745514</v>
      </c>
      <c r="DI107" s="72">
        <f>'linear calc'!BK49 -'linear calc'!AS49</f>
        <v>1.7443839292761858</v>
      </c>
      <c r="DJ107" s="72">
        <f>'linear calc'!BL49 -'linear calc'!AT49</f>
        <v>4.8654164749194653</v>
      </c>
      <c r="DL107" s="15">
        <v>0.91666666666666718</v>
      </c>
      <c r="DM107" s="75" cm="1">
        <f t="array" ref="DM107">[1]!asa(CR52,E51,N51)</f>
        <v>0</v>
      </c>
      <c r="DN107" s="75" cm="1">
        <f t="array" ref="DN107">[1]!asa(CS52,F51,O51)</f>
        <v>0</v>
      </c>
      <c r="DO107" s="75" cm="1">
        <f t="array" ref="DO107">[1]!asa(CT52,G51,P51)</f>
        <v>0</v>
      </c>
      <c r="DP107" s="75" cm="1">
        <f t="array" ref="DP107">[1]!asa(CU52,H51,Q51)</f>
        <v>0</v>
      </c>
      <c r="DQ107" s="75" cm="1">
        <f t="array" ref="DQ107">[1]!asa(CV52,I51,R51)</f>
        <v>0</v>
      </c>
      <c r="DR107" s="75" cm="1">
        <f t="array" ref="DR107">[1]!asa(CW52,J51,S51)</f>
        <v>0</v>
      </c>
      <c r="DS107" s="75" cm="1">
        <f t="array" ref="DS107">[1]!asa(CX52,K51,T51)</f>
        <v>0</v>
      </c>
      <c r="DU107" s="15">
        <v>0.91666666666666718</v>
      </c>
      <c r="DV107" s="8" cm="1">
        <f t="array" ref="DV107">[1]!Abandon(CR52,300,E51,N51)</f>
        <v>4.9167795168614248E-7</v>
      </c>
      <c r="DW107" s="8" cm="1">
        <f t="array" ref="DW107">[1]!Abandon(CS52,300,F51,O51)</f>
        <v>3.5344015714144916E-8</v>
      </c>
      <c r="DX107" s="8" cm="1">
        <f t="array" ref="DX107">[1]!Abandon(CT52,300,G51,P51)</f>
        <v>6.0267996104812482E-7</v>
      </c>
      <c r="DY107" s="8" cm="1">
        <f t="array" ref="DY107">[1]!Abandon(CU52,300,H51,Q51)</f>
        <v>6.7078329557546112E-9</v>
      </c>
      <c r="DZ107" s="8" cm="1">
        <f t="array" ref="DZ107">[1]!Abandon(CV52,300,I51,R51)</f>
        <v>2.2993562609485707E-10</v>
      </c>
      <c r="EA107" s="8" cm="1">
        <f t="array" ref="EA107">[1]!Abandon(CW52,300,J51,S51)</f>
        <v>7.2678162723605055E-6</v>
      </c>
      <c r="EB107" s="8" cm="1">
        <f t="array" ref="EB107">[1]!Abandon(CX52,300,K51,T51)</f>
        <v>7.5758739559450561E-11</v>
      </c>
      <c r="ED107" s="15">
        <v>0.91666666666666718</v>
      </c>
      <c r="EE107" s="8">
        <f>1-ABS((('linear calc'!AN49 -'linear calc'!AW49) /'linear calc'!AN49))</f>
        <v>0.32749849506025674</v>
      </c>
      <c r="EF107" s="8">
        <f>1-ABS((('linear calc'!AO49 -'linear calc'!AX49) /'linear calc'!AO49))</f>
        <v>0.55686342674321976</v>
      </c>
      <c r="EG107" s="8">
        <f>1-ABS((('linear calc'!AP49 -'linear calc'!AY49) /'linear calc'!AP49))</f>
        <v>0.50265582330522462</v>
      </c>
      <c r="EH107" s="8">
        <f>1-ABS((('linear calc'!AQ49 -'linear calc'!AZ49) /'linear calc'!AQ49))</f>
        <v>-1.598137489491025E-2</v>
      </c>
      <c r="EI107" s="8">
        <f>1-ABS((('linear calc'!AR49 -'linear calc'!BA49) /'linear calc'!AR49))</f>
        <v>-0.37224253119879003</v>
      </c>
      <c r="EJ107" s="8">
        <f>1-ABS((('linear calc'!AS49 -'linear calc'!BB49) /'linear calc'!AS49))</f>
        <v>0.19701138519924066</v>
      </c>
      <c r="EK107" s="8">
        <f>1-ABS((('linear calc'!AT49 -'linear calc'!BC49) /'linear calc'!AT49))</f>
        <v>-0.32720998378675858</v>
      </c>
    </row>
    <row r="108" spans="3:141" x14ac:dyDescent="0.3">
      <c r="C108" s="15">
        <v>0.79166666666666696</v>
      </c>
      <c r="D108" s="7">
        <v>46</v>
      </c>
      <c r="E108" s="7">
        <v>46</v>
      </c>
      <c r="F108" s="7">
        <v>48</v>
      </c>
      <c r="G108" s="7">
        <v>32</v>
      </c>
      <c r="H108" s="7">
        <v>47</v>
      </c>
      <c r="I108" s="7">
        <v>47</v>
      </c>
      <c r="J108" s="7">
        <v>35</v>
      </c>
      <c r="AE108" s="15">
        <v>0.77083333333333359</v>
      </c>
      <c r="AF108" s="7">
        <f t="shared" si="64"/>
        <v>6.3474384115700442</v>
      </c>
      <c r="AG108" s="7">
        <f t="shared" si="65"/>
        <v>7.8161482093465997</v>
      </c>
      <c r="AH108" s="7">
        <f t="shared" si="66"/>
        <v>4.8525131499597967</v>
      </c>
      <c r="AI108" s="7">
        <f t="shared" si="67"/>
        <v>7.5627066023407474</v>
      </c>
      <c r="AJ108" s="7">
        <f t="shared" si="68"/>
        <v>5.9333896681457654</v>
      </c>
      <c r="AK108" s="7">
        <f t="shared" si="69"/>
        <v>5.4060276151362396</v>
      </c>
      <c r="AL108" s="7">
        <f t="shared" si="70"/>
        <v>5.8880493432574861</v>
      </c>
      <c r="BJ108" s="15">
        <v>0.93750000000000056</v>
      </c>
      <c r="BK108" s="68" cm="1">
        <f t="array" ref="BK108">[1]!FractionalAgents(82%,20,E52,N52)</f>
        <v>4.4990825653076172</v>
      </c>
      <c r="BL108" s="68" cm="1">
        <f t="array" ref="BL108">[1]!FractionalAgents(82%,20,F52,O52)</f>
        <v>4.3169360160827637</v>
      </c>
      <c r="BM108" s="68" cm="1">
        <f t="array" ref="BM108">[1]!FractionalAgents(82%,20,G52,P52)</f>
        <v>4.5008831024169922</v>
      </c>
      <c r="BN108" s="68" cm="1">
        <f t="array" ref="BN108">[1]!FractionalAgents(82%,20,H52,Q52)</f>
        <v>4.4991230964660645</v>
      </c>
      <c r="BO108" s="68" cm="1">
        <f t="array" ref="BO108">[1]!FractionalAgents(82%,20,I52,R52)</f>
        <v>3.7454819679260254</v>
      </c>
      <c r="BP108" s="68" cm="1">
        <f t="array" ref="BP108">[1]!FractionalAgents(82%,20,J52,S52)</f>
        <v>4.5905485153198242</v>
      </c>
      <c r="BQ108" s="68" cm="1">
        <f t="array" ref="BQ108">[1]!FractionalAgents(82%,20,K52,T52)</f>
        <v>4.2444844245910645</v>
      </c>
      <c r="BS108" s="15">
        <v>0.93750000000000056</v>
      </c>
      <c r="BT108" s="8" cm="1">
        <f t="array" ref="BT108">[1]!SLA(BK108,20,E52,N52)</f>
        <v>0.77269947528839111</v>
      </c>
      <c r="BU108" s="8" cm="1">
        <f t="array" ref="BU108">[1]!SLA(BL108,20,F52,O52)</f>
        <v>0.79371398687362671</v>
      </c>
      <c r="BV108" s="8" cm="1">
        <f t="array" ref="BV108">[1]!SLA(BM108,20,G52,P52)</f>
        <v>0.77263873815536499</v>
      </c>
      <c r="BW108" s="8" cm="1">
        <f t="array" ref="BW108">[1]!SLA(BN108,20,H52,Q52)</f>
        <v>0.77297699451446533</v>
      </c>
      <c r="BX108" s="8" cm="1">
        <f t="array" ref="BX108">[1]!SLA(BO108,20,I52,R52)</f>
        <v>0.72048568725585938</v>
      </c>
      <c r="BY108" s="8" cm="1">
        <f t="array" ref="BY108">[1]!SLA(BP108,20,J52,S52)</f>
        <v>0.7606620192527771</v>
      </c>
      <c r="BZ108" s="8" cm="1">
        <f t="array" ref="BZ108">[1]!SLA(BQ108,20,K52,T52)</f>
        <v>0.80046671628952026</v>
      </c>
      <c r="CB108" s="15">
        <v>0.93750000000000056</v>
      </c>
      <c r="CC108" s="8" cm="1">
        <f t="array" ref="CC108">[1]!Utilisation(BK108,E52,N52)</f>
        <v>0.53418296575546265</v>
      </c>
      <c r="CD108" s="8" cm="1">
        <f t="array" ref="CD108">[1]!Utilisation(BL108,F52,O52)</f>
        <v>0.53014713525772095</v>
      </c>
      <c r="CE108" s="8" cm="1">
        <f t="array" ref="CE108">[1]!Utilisation(BM108,G52,P52)</f>
        <v>0.53480243682861328</v>
      </c>
      <c r="CF108" s="8" cm="1">
        <f t="array" ref="CF108">[1]!Utilisation(BN108,H52,Q52)</f>
        <v>0.53510427474975586</v>
      </c>
      <c r="CG108" s="8" cm="1">
        <f t="array" ref="CG108">[1]!Utilisation(BO108,I52,R52)</f>
        <v>0.49288627505302429</v>
      </c>
      <c r="CH108" s="8" cm="1">
        <f t="array" ref="CH108">[1]!Utilisation(BP108,J52,S52)</f>
        <v>0.53919661045074463</v>
      </c>
      <c r="CI108" s="8" cm="1">
        <f t="array" ref="CI108">[1]!Utilisation(BQ108,K52,T52)</f>
        <v>0.52751463651657104</v>
      </c>
      <c r="CK108" s="15">
        <v>0.93750000000000056</v>
      </c>
      <c r="CL108" s="69" cm="1">
        <f t="array" ref="CL108">[1]!FractionalCallCapacity(BK108,BT108,20,N52)</f>
        <v>27</v>
      </c>
      <c r="CM108" s="69" cm="1">
        <f t="array" ref="CM108">[1]!FractionalCallCapacity(BL108,BU108,20,O52)</f>
        <v>28</v>
      </c>
      <c r="CN108" s="69" cm="1">
        <f t="array" ref="CN108">[1]!FractionalCallCapacity(BM108,BV108,20,P52)</f>
        <v>28</v>
      </c>
      <c r="CO108" s="69" cm="1">
        <f t="array" ref="CO108">[1]!FractionalCallCapacity(BN108,BW108,20,Q52)</f>
        <v>29</v>
      </c>
      <c r="CP108" s="69" cm="1">
        <f t="array" ref="CP108">[1]!FractionalCallCapacity(BO108,BX108,20,R52)</f>
        <v>23</v>
      </c>
      <c r="CQ108" s="69" cm="1">
        <f t="array" ref="CQ108">[1]!FractionalCallCapacity(BP108,BY108,20,S52)</f>
        <v>29</v>
      </c>
      <c r="CR108" s="69" cm="1">
        <f t="array" ref="CR108">[1]!FractionalCallCapacity(BQ108,BZ108,20,T52)</f>
        <v>25</v>
      </c>
      <c r="CT108" s="15">
        <v>0.93750000000000056</v>
      </c>
      <c r="CU108" s="72">
        <f t="shared" si="55"/>
        <v>1.25</v>
      </c>
      <c r="CV108" s="72">
        <f t="shared" si="56"/>
        <v>1.25</v>
      </c>
      <c r="CW108" s="72">
        <f t="shared" si="57"/>
        <v>1.5</v>
      </c>
      <c r="CX108" s="72">
        <f t="shared" si="58"/>
        <v>2</v>
      </c>
      <c r="CY108" s="72">
        <f t="shared" si="59"/>
        <v>3.5104166666666679</v>
      </c>
      <c r="CZ108" s="72">
        <f t="shared" si="60"/>
        <v>1.75</v>
      </c>
      <c r="DA108" s="72">
        <f t="shared" si="61"/>
        <v>0.5</v>
      </c>
      <c r="DC108" s="15">
        <v>0.93750000000000056</v>
      </c>
      <c r="DD108" s="72">
        <f>'linear calc'!BF50 -'linear calc'!AN50</f>
        <v>-0.4296315516346656</v>
      </c>
      <c r="DE108" s="72">
        <f>'linear calc'!BG50 -'linear calc'!AO50</f>
        <v>7.070707070707094E-2</v>
      </c>
      <c r="DF108" s="72">
        <f>'linear calc'!BH50 -'linear calc'!AP50</f>
        <v>2.9353450072962257</v>
      </c>
      <c r="DG108" s="72">
        <f>'linear calc'!BI50 -'linear calc'!AQ50</f>
        <v>2.9411788617886163</v>
      </c>
      <c r="DH108" s="72">
        <f>'linear calc'!BJ50 -'linear calc'!AR50</f>
        <v>0.78900093808630345</v>
      </c>
      <c r="DI108" s="72">
        <f>'linear calc'!BK50 -'linear calc'!AS50</f>
        <v>1.7523882113821125</v>
      </c>
      <c r="DJ108" s="72">
        <f>'linear calc'!BL50 -'linear calc'!AT50</f>
        <v>5.2443089430894307</v>
      </c>
      <c r="DL108" s="17">
        <v>0.93750000000000056</v>
      </c>
      <c r="DM108" s="75" cm="1">
        <f t="array" ref="DM108">[1]!asa(CR53,E52,N52)</f>
        <v>0</v>
      </c>
      <c r="DN108" s="75" cm="1">
        <f t="array" ref="DN108">[1]!asa(CS53,F52,O52)</f>
        <v>0</v>
      </c>
      <c r="DO108" s="75" cm="1">
        <f t="array" ref="DO108">[1]!asa(CT53,G52,P52)</f>
        <v>0</v>
      </c>
      <c r="DP108" s="75" cm="1">
        <f t="array" ref="DP108">[1]!asa(CU53,H52,Q52)</f>
        <v>0</v>
      </c>
      <c r="DQ108" s="75" cm="1">
        <f t="array" ref="DQ108">[1]!asa(CV53,I52,R52)</f>
        <v>0</v>
      </c>
      <c r="DR108" s="75" cm="1">
        <f t="array" ref="DR108">[1]!asa(CW53,J52,S52)</f>
        <v>0</v>
      </c>
      <c r="DS108" s="75" cm="1">
        <f t="array" ref="DS108">[1]!asa(CX53,K52,T52)</f>
        <v>0</v>
      </c>
      <c r="DU108" s="17">
        <v>0.93750000000000056</v>
      </c>
      <c r="DV108" s="8" cm="1">
        <f t="array" ref="DV108">[1]!Abandon(CR53,300,E52,N52)</f>
        <v>1.196298626382486E-6</v>
      </c>
      <c r="DW108" s="8" cm="1">
        <f t="array" ref="DW108">[1]!Abandon(CS53,300,F52,O52)</f>
        <v>4.7343920783760041E-8</v>
      </c>
      <c r="DX108" s="8" cm="1">
        <f t="array" ref="DX108">[1]!Abandon(CT53,300,G52,P52)</f>
        <v>1.0117648798768641E-6</v>
      </c>
      <c r="DY108" s="8" cm="1">
        <f t="array" ref="DY108">[1]!Abandon(CU53,300,H52,Q52)</f>
        <v>1.2214941946808722E-8</v>
      </c>
      <c r="DZ108" s="8" cm="1">
        <f t="array" ref="DZ108">[1]!Abandon(CV53,300,I52,R52)</f>
        <v>1.0720250243068108E-9</v>
      </c>
      <c r="EA108" s="8" cm="1">
        <f t="array" ref="EA108">[1]!Abandon(CW53,300,J52,S52)</f>
        <v>1.8167431335314177E-5</v>
      </c>
      <c r="EB108" s="8" cm="1">
        <f t="array" ref="EB108">[1]!Abandon(CX53,300,K52,T52)</f>
        <v>3.3874070215489382E-10</v>
      </c>
      <c r="ED108" s="17">
        <v>0.93750000000000056</v>
      </c>
      <c r="EE108" s="8">
        <f>1-ABS((('linear calc'!AN50 -'linear calc'!AW50) /'linear calc'!AN50))</f>
        <v>0.63142675967025985</v>
      </c>
      <c r="EF108" s="8">
        <f>1-ABS((('linear calc'!AO50 -'linear calc'!AX50) /'linear calc'!AO50))</f>
        <v>0.56174334140435833</v>
      </c>
      <c r="EG108" s="8">
        <f>1-ABS((('linear calc'!AP50 -'linear calc'!AY50) /'linear calc'!AP50))</f>
        <v>-3.9432428123505225E-2</v>
      </c>
      <c r="EH108" s="8">
        <f>1-ABS((('linear calc'!AQ50 -'linear calc'!AZ50) /'linear calc'!AQ50))</f>
        <v>6.2677501759636378E-2</v>
      </c>
      <c r="EI108" s="8">
        <f>1-ABS((('linear calc'!AR50 -'linear calc'!BA50) /'linear calc'!AR50))</f>
        <v>0.46316382271780143</v>
      </c>
      <c r="EJ108" s="8">
        <f>1-ABS((('linear calc'!AS50 -'linear calc'!BB50) /'linear calc'!AS50))</f>
        <v>0.19484043569654119</v>
      </c>
      <c r="EK108" s="8">
        <f>1-ABS((('linear calc'!AT50 -'linear calc'!BC50) /'linear calc'!AT50))</f>
        <v>-0.44708483006355348</v>
      </c>
    </row>
    <row r="109" spans="3:141" x14ac:dyDescent="0.3">
      <c r="C109" s="15">
        <v>0.81250000000000033</v>
      </c>
      <c r="D109" s="7">
        <v>44</v>
      </c>
      <c r="E109" s="7">
        <v>41</v>
      </c>
      <c r="F109" s="7">
        <v>33</v>
      </c>
      <c r="G109" s="7">
        <v>39</v>
      </c>
      <c r="H109" s="7">
        <v>32</v>
      </c>
      <c r="I109" s="7">
        <v>36</v>
      </c>
      <c r="J109" s="7">
        <v>47</v>
      </c>
      <c r="AE109" s="15">
        <v>0.79166666666666696</v>
      </c>
      <c r="AF109" s="7">
        <f t="shared" si="64"/>
        <v>7.3819102697654362</v>
      </c>
      <c r="AG109" s="7">
        <f t="shared" si="65"/>
        <v>7.2326354765379151</v>
      </c>
      <c r="AH109" s="7">
        <f t="shared" si="66"/>
        <v>7.5716418971769892</v>
      </c>
      <c r="AI109" s="7">
        <f t="shared" si="67"/>
        <v>5.0259891096128024</v>
      </c>
      <c r="AJ109" s="7">
        <f t="shared" si="68"/>
        <v>7.1464497957162312</v>
      </c>
      <c r="AK109" s="7">
        <f t="shared" si="69"/>
        <v>7.4216357080966331</v>
      </c>
      <c r="AL109" s="7">
        <f t="shared" si="70"/>
        <v>5.5969359633063638</v>
      </c>
      <c r="BJ109" s="15">
        <v>0.95833333333333393</v>
      </c>
      <c r="BK109" s="68" cm="1">
        <f t="array" ref="BK109">[1]!FractionalAgents(82%,20,E53,N53)</f>
        <v>4.6714162826538086</v>
      </c>
      <c r="BL109" s="68" cm="1">
        <f t="array" ref="BL109">[1]!FractionalAgents(82%,20,F53,O53)</f>
        <v>4.6051602363586426</v>
      </c>
      <c r="BM109" s="68" cm="1">
        <f t="array" ref="BM109">[1]!FractionalAgents(82%,20,G53,P53)</f>
        <v>4.0716705322265625</v>
      </c>
      <c r="BN109" s="68" cm="1">
        <f t="array" ref="BN109">[1]!FractionalAgents(82%,20,H53,Q53)</f>
        <v>4.1380629539489746</v>
      </c>
      <c r="BO109" s="68" cm="1">
        <f t="array" ref="BO109">[1]!FractionalAgents(82%,20,I53,R53)</f>
        <v>3.549332857131958</v>
      </c>
      <c r="BP109" s="68" cm="1">
        <f t="array" ref="BP109">[1]!FractionalAgents(82%,20,J53,S53)</f>
        <v>4.12225341796875</v>
      </c>
      <c r="BQ109" s="68" cm="1">
        <f t="array" ref="BQ109">[1]!FractionalAgents(82%,20,K53,T53)</f>
        <v>3.9225313663482666</v>
      </c>
      <c r="BS109" s="15">
        <v>0.95833333333333393</v>
      </c>
      <c r="BT109" s="8" cm="1">
        <f t="array" ref="BT109">[1]!SLA(BK109,20,E53,N53)</f>
        <v>0.74876755475997925</v>
      </c>
      <c r="BU109" s="8" cm="1">
        <f t="array" ref="BU109">[1]!SLA(BL109,20,F53,O53)</f>
        <v>0.75875085592269897</v>
      </c>
      <c r="BV109" s="8" cm="1">
        <f t="array" ref="BV109">[1]!SLA(BM109,20,G53,P53)</f>
        <v>0.81489288806915283</v>
      </c>
      <c r="BW109" s="8" cm="1">
        <f t="array" ref="BW109">[1]!SLA(BN109,20,H53,Q53)</f>
        <v>0.80970996618270874</v>
      </c>
      <c r="BX109" s="8" cm="1">
        <f t="array" ref="BX109">[1]!SLA(BO109,20,I53,R53)</f>
        <v>0.75705629587173462</v>
      </c>
      <c r="BY109" s="8" cm="1">
        <f t="array" ref="BY109">[1]!SLA(BP109,20,J53,S53)</f>
        <v>0.81103914976119995</v>
      </c>
      <c r="BZ109" s="8" cm="1">
        <f t="array" ref="BZ109">[1]!SLA(BQ109,20,K53,T53)</f>
        <v>0.68010157346725464</v>
      </c>
      <c r="CB109" s="15">
        <v>0.95833333333333393</v>
      </c>
      <c r="CC109" s="8" cm="1">
        <f t="array" ref="CC109">[1]!Utilisation(BK109,E53,N53)</f>
        <v>0.54426747560501099</v>
      </c>
      <c r="CD109" s="8" cm="1">
        <f t="array" ref="CD109">[1]!Utilisation(BL109,F53,O53)</f>
        <v>0.54045653343200684</v>
      </c>
      <c r="CE109" s="8" cm="1">
        <f t="array" ref="CE109">[1]!Utilisation(BM109,G53,P53)</f>
        <v>0.52722012996673584</v>
      </c>
      <c r="CF109" s="8" cm="1">
        <f t="array" ref="CF109">[1]!Utilisation(BN109,H53,Q53)</f>
        <v>0.52681654691696167</v>
      </c>
      <c r="CG109" s="8" cm="1">
        <f t="array" ref="CG109">[1]!Utilisation(BO109,I53,R53)</f>
        <v>0.47677639126777649</v>
      </c>
      <c r="CH109" s="8" cm="1">
        <f t="array" ref="CH109">[1]!Utilisation(BP109,J53,S53)</f>
        <v>0.52764928340911865</v>
      </c>
      <c r="CI109" s="8" cm="1">
        <f t="array" ref="CI109">[1]!Utilisation(BQ109,K53,T53)</f>
        <v>0.51631903648376465</v>
      </c>
      <c r="CK109" s="15">
        <v>0.95833333333333393</v>
      </c>
      <c r="CL109" s="69" cm="1">
        <f t="array" ref="CL109">[1]!FractionalCallCapacity(BK109,BT109,20,N53)</f>
        <v>31</v>
      </c>
      <c r="CM109" s="69" cm="1">
        <f t="array" ref="CM109">[1]!FractionalCallCapacity(BL109,BU109,20,O53)</f>
        <v>30</v>
      </c>
      <c r="CN109" s="69" cm="1">
        <f t="array" ref="CN109">[1]!FractionalCallCapacity(BM109,BV109,20,P53)</f>
        <v>24</v>
      </c>
      <c r="CO109" s="69" cm="1">
        <f t="array" ref="CO109">[1]!FractionalCallCapacity(BN109,BW109,20,Q53)</f>
        <v>24</v>
      </c>
      <c r="CP109" s="69" cm="1">
        <f t="array" ref="CP109">[1]!FractionalCallCapacity(BO109,BX109,20,R53)</f>
        <v>21</v>
      </c>
      <c r="CQ109" s="69" cm="1">
        <f t="array" ref="CQ109">[1]!FractionalCallCapacity(BP109,BY109,20,S53)</f>
        <v>25</v>
      </c>
      <c r="CR109" s="69" cm="1">
        <f t="array" ref="CR109">[1]!FractionalCallCapacity(BQ109,BZ109,20,T53)</f>
        <v>28</v>
      </c>
      <c r="CT109" s="15">
        <v>0.95833333333333393</v>
      </c>
      <c r="CU109" s="72">
        <f t="shared" si="55"/>
        <v>2.75</v>
      </c>
      <c r="CV109" s="72">
        <f t="shared" si="56"/>
        <v>2</v>
      </c>
      <c r="CW109" s="72">
        <f t="shared" si="57"/>
        <v>0</v>
      </c>
      <c r="CX109" s="72">
        <f t="shared" si="58"/>
        <v>0</v>
      </c>
      <c r="CY109" s="72">
        <f t="shared" si="59"/>
        <v>2.2552083333333321</v>
      </c>
      <c r="CZ109" s="72">
        <f t="shared" si="60"/>
        <v>6.25E-2</v>
      </c>
      <c r="DA109" s="72">
        <f t="shared" si="61"/>
        <v>5</v>
      </c>
      <c r="DC109" s="15">
        <v>0.95833333333333393</v>
      </c>
      <c r="DD109" s="72">
        <f>'linear calc'!BF51 -'linear calc'!AN51</f>
        <v>-7.6090848064445993E-2</v>
      </c>
      <c r="DE109" s="72">
        <f>'linear calc'!BG51 -'linear calc'!AO51</f>
        <v>0.74292942397509165</v>
      </c>
      <c r="DF109" s="72">
        <f>'linear calc'!BH51 -'linear calc'!AP51</f>
        <v>-5.7926829268311053E-3</v>
      </c>
      <c r="DG109" s="72">
        <f>'linear calc'!BI51 -'linear calc'!AQ51</f>
        <v>1.4504468661707879</v>
      </c>
      <c r="DH109" s="72">
        <f>'linear calc'!BJ51 -'linear calc'!AR51</f>
        <v>1.2781738586616616</v>
      </c>
      <c r="DI109" s="72">
        <f>'linear calc'!BK51 -'linear calc'!AS51</f>
        <v>-1.3886178861788636</v>
      </c>
      <c r="DJ109" s="72">
        <f>'linear calc'!BL51 -'linear calc'!AT51</f>
        <v>4.4397249066830291</v>
      </c>
      <c r="DL109" s="14">
        <v>0.95833333333333393</v>
      </c>
      <c r="DM109" s="75" cm="1">
        <f t="array" ref="DM109">[1]!asa(CR54,E53,N53)</f>
        <v>0</v>
      </c>
      <c r="DN109" s="75" cm="1">
        <f t="array" ref="DN109">[1]!asa(CS54,F53,O53)</f>
        <v>0</v>
      </c>
      <c r="DO109" s="75" cm="1">
        <f t="array" ref="DO109">[1]!asa(CT54,G53,P53)</f>
        <v>0</v>
      </c>
      <c r="DP109" s="75" cm="1">
        <f t="array" ref="DP109">[1]!asa(CU54,H53,Q53)</f>
        <v>0</v>
      </c>
      <c r="DQ109" s="75" cm="1">
        <f t="array" ref="DQ109">[1]!asa(CV54,I53,R53)</f>
        <v>0</v>
      </c>
      <c r="DR109" s="75" cm="1">
        <f t="array" ref="DR109">[1]!asa(CW54,J53,S53)</f>
        <v>0</v>
      </c>
      <c r="DS109" s="75" cm="1">
        <f t="array" ref="DS109">[1]!asa(CX54,K53,T53)</f>
        <v>0</v>
      </c>
      <c r="DU109" s="14">
        <v>0.95833333333333393</v>
      </c>
      <c r="DV109" s="8" cm="1">
        <f t="array" ref="DV109">[1]!Abandon(CR54,300,E53,N53)</f>
        <v>1.5682055618526647E-6</v>
      </c>
      <c r="DW109" s="8" cm="1">
        <f t="array" ref="DW109">[1]!Abandon(CS54,300,F53,O53)</f>
        <v>1.4967288564093906E-7</v>
      </c>
      <c r="DX109" s="8" cm="1">
        <f t="array" ref="DX109">[1]!Abandon(CT54,300,G53,P53)</f>
        <v>3.195199838046392E-7</v>
      </c>
      <c r="DY109" s="8" cm="1">
        <f t="array" ref="DY109">[1]!Abandon(CU54,300,H53,Q53)</f>
        <v>4.7340069642132221E-9</v>
      </c>
      <c r="DZ109" s="8" cm="1">
        <f t="array" ref="DZ109">[1]!Abandon(CV54,300,I53,R53)</f>
        <v>2.7326901852475771E-10</v>
      </c>
      <c r="EA109" s="8" cm="1">
        <f t="array" ref="EA109">[1]!Abandon(CW54,300,J53,S53)</f>
        <v>4.9762593334889971E-6</v>
      </c>
      <c r="EB109" s="8" cm="1">
        <f t="array" ref="EB109">[1]!Abandon(CX54,300,K53,T53)</f>
        <v>7.0429814758021791E-11</v>
      </c>
      <c r="ED109" s="14">
        <v>0.95833333333333393</v>
      </c>
      <c r="EE109" s="8">
        <f>1-ABS((('linear calc'!AN51 -'linear calc'!AW51) /'linear calc'!AN51))</f>
        <v>0.58243507321079624</v>
      </c>
      <c r="EF109" s="8">
        <f>1-ABS((('linear calc'!AO51 -'linear calc'!AX51) /'linear calc'!AO51))</f>
        <v>0.46265332579862373</v>
      </c>
      <c r="EG109" s="8">
        <f>1-ABS((('linear calc'!AP51 -'linear calc'!AY51) /'linear calc'!AP51))</f>
        <v>0.57227248701924582</v>
      </c>
      <c r="EH109" s="8">
        <f>1-ABS((('linear calc'!AQ51 -'linear calc'!AZ51) /'linear calc'!AQ51))</f>
        <v>0.35889914333787754</v>
      </c>
      <c r="EI109" s="8">
        <f>1-ABS((('linear calc'!AR51 -'linear calc'!BA51) /'linear calc'!AR51))</f>
        <v>0.38739363378506164</v>
      </c>
      <c r="EJ109" s="8">
        <f>1-ABS((('linear calc'!AS51 -'linear calc'!BB51) /'linear calc'!AS51))</f>
        <v>0.7740863787375416</v>
      </c>
      <c r="EK109" s="8">
        <f>1-ABS((('linear calc'!AT51 -'linear calc'!BC51) /'linear calc'!AT51))</f>
        <v>-0.20580798982395576</v>
      </c>
    </row>
    <row r="110" spans="3:141" x14ac:dyDescent="0.3">
      <c r="C110" s="15">
        <v>0.8333333333333337</v>
      </c>
      <c r="D110" s="7">
        <v>42</v>
      </c>
      <c r="E110" s="7">
        <v>40</v>
      </c>
      <c r="F110" s="7">
        <v>44</v>
      </c>
      <c r="G110" s="7">
        <v>31</v>
      </c>
      <c r="H110" s="7">
        <v>37</v>
      </c>
      <c r="I110" s="7">
        <v>42</v>
      </c>
      <c r="J110" s="7">
        <v>41</v>
      </c>
      <c r="AE110" s="15">
        <v>0.81250000000000033</v>
      </c>
      <c r="AF110" s="7">
        <f t="shared" si="64"/>
        <v>6.8103805721066504</v>
      </c>
      <c r="AG110" s="7">
        <f t="shared" si="65"/>
        <v>6.6371242449782271</v>
      </c>
      <c r="AH110" s="7">
        <f t="shared" si="66"/>
        <v>5.0131588701905248</v>
      </c>
      <c r="AI110" s="7">
        <f t="shared" si="67"/>
        <v>6.0272581576573945</v>
      </c>
      <c r="AJ110" s="7">
        <f t="shared" si="68"/>
        <v>5.037656471802813</v>
      </c>
      <c r="AK110" s="7">
        <f t="shared" si="69"/>
        <v>5.8086338748359649</v>
      </c>
      <c r="AL110" s="7">
        <f t="shared" si="70"/>
        <v>7.3935005513431058</v>
      </c>
      <c r="BJ110" s="17">
        <v>0.9791666666666673</v>
      </c>
      <c r="BK110" s="68" cm="1">
        <f t="array" ref="BK110">[1]!FractionalAgents(82%,20,E54,N54)</f>
        <v>4.145200252532959</v>
      </c>
      <c r="BL110" s="68" cm="1">
        <f t="array" ref="BL110">[1]!FractionalAgents(82%,20,F54,O54)</f>
        <v>4.1183862686157227</v>
      </c>
      <c r="BM110" s="68" cm="1">
        <f t="array" ref="BM110">[1]!FractionalAgents(82%,20,G54,P54)</f>
        <v>4.4455776214599609</v>
      </c>
      <c r="BN110" s="68" cm="1">
        <f t="array" ref="BN110">[1]!FractionalAgents(82%,20,H54,Q54)</f>
        <v>3.8500323295593262</v>
      </c>
      <c r="BO110" s="68" cm="1">
        <f t="array" ref="BO110">[1]!FractionalAgents(82%,20,I54,R54)</f>
        <v>4.0116453170776367</v>
      </c>
      <c r="BP110" s="68" cm="1">
        <f t="array" ref="BP110">[1]!FractionalAgents(82%,20,J54,S54)</f>
        <v>72.573089599609375</v>
      </c>
      <c r="BQ110" s="68" cm="1">
        <f t="array" ref="BQ110">[1]!FractionalAgents(82%,20,K54,T54)</f>
        <v>71.9136962890625</v>
      </c>
      <c r="BS110" s="17">
        <v>0.9791666666666673</v>
      </c>
      <c r="BT110" s="8" cm="1">
        <f t="array" ref="BT110">[1]!SLA(BK110,20,E54,N54)</f>
        <v>0.80917656421661377</v>
      </c>
      <c r="BU110" s="8" cm="1">
        <f t="array" ref="BU110">[1]!SLA(BL110,20,F54,O54)</f>
        <v>0.81133496761322021</v>
      </c>
      <c r="BV110" s="8" cm="1">
        <f t="array" ref="BV110">[1]!SLA(BM110,20,G54,P54)</f>
        <v>0.77928620576858521</v>
      </c>
      <c r="BW110" s="8" cm="1">
        <f t="array" ref="BW110">[1]!SLA(BN110,20,H54,Q54)</f>
        <v>0.69795674085617065</v>
      </c>
      <c r="BX110" s="8" cm="1">
        <f t="array" ref="BX110">[1]!SLA(BO110,20,I54,R54)</f>
        <v>0.81920123100280762</v>
      </c>
      <c r="BY110" s="8" cm="1">
        <f t="array" ref="BY110">[1]!SLA(BP110,20,J54,S54)</f>
        <v>0.80991101264953613</v>
      </c>
      <c r="BZ110" s="8" cm="1">
        <f t="array" ref="BZ110">[1]!SLA(BQ110,20,K54,T54)</f>
        <v>0.80205559730529785</v>
      </c>
      <c r="CB110" s="17">
        <v>0.9791666666666673</v>
      </c>
      <c r="CC110" s="8" cm="1">
        <f t="array" ref="CC110">[1]!Utilisation(BK110,E54,N54)</f>
        <v>0.52741724252700806</v>
      </c>
      <c r="CD110" s="8" cm="1">
        <f t="array" ref="CD110">[1]!Utilisation(BL110,F54,O54)</f>
        <v>0.52751243114471436</v>
      </c>
      <c r="CE110" s="8" cm="1">
        <f t="array" ref="CE110">[1]!Utilisation(BM110,G54,P54)</f>
        <v>0.53217679262161255</v>
      </c>
      <c r="CF110" s="8" cm="1">
        <f t="array" ref="CF110">[1]!Utilisation(BN110,H54,Q54)</f>
        <v>0.50634497404098511</v>
      </c>
      <c r="CG110" s="8" cm="1">
        <f t="array" ref="CG110">[1]!Utilisation(BO110,I54,R54)</f>
        <v>0.52767670154571533</v>
      </c>
      <c r="CH110" s="8" cm="1">
        <f t="array" ref="CH110">[1]!Utilisation(BP110,J54,S54)</f>
        <v>0.89933210611343384</v>
      </c>
      <c r="CI110" s="8" cm="1">
        <f t="array" ref="CI110">[1]!Utilisation(BQ110,K54,T54)</f>
        <v>0.89909368753433228</v>
      </c>
      <c r="CK110" s="17">
        <v>0.9791666666666673</v>
      </c>
      <c r="CL110" s="69" cm="1">
        <f t="array" ref="CL110">[1]!FractionalCallCapacity(BK110,BT110,20,N54)</f>
        <v>25</v>
      </c>
      <c r="CM110" s="69" cm="1">
        <f t="array" ref="CM110">[1]!FractionalCallCapacity(BL110,BU110,20,O54)</f>
        <v>25</v>
      </c>
      <c r="CN110" s="69" cm="1">
        <f t="array" ref="CN110">[1]!FractionalCallCapacity(BM110,BV110,20,P54)</f>
        <v>27</v>
      </c>
      <c r="CO110" s="69" cm="1">
        <f t="array" ref="CO110">[1]!FractionalCallCapacity(BN110,BW110,20,Q54)</f>
        <v>26</v>
      </c>
      <c r="CP110" s="69" cm="1">
        <f t="array" ref="CP110">[1]!FractionalCallCapacity(BO110,BX110,20,R54)</f>
        <v>23</v>
      </c>
      <c r="CQ110" s="69" cm="1">
        <f t="array" ref="CQ110">[1]!FractionalCallCapacity(BP110,BY110,20,S54)</f>
        <v>729</v>
      </c>
      <c r="CR110" s="69" cm="1">
        <f t="array" ref="CR110">[1]!FractionalCallCapacity(BQ110,BZ110,20,T54)</f>
        <v>726</v>
      </c>
      <c r="CT110" s="17">
        <v>0.9791666666666673</v>
      </c>
      <c r="CU110" s="72">
        <f t="shared" si="55"/>
        <v>0.25</v>
      </c>
      <c r="CV110" s="72">
        <f t="shared" si="56"/>
        <v>0.25</v>
      </c>
      <c r="CW110" s="72">
        <f t="shared" si="57"/>
        <v>1.5</v>
      </c>
      <c r="CX110" s="72">
        <f t="shared" si="58"/>
        <v>4</v>
      </c>
      <c r="CY110" s="72">
        <f t="shared" si="59"/>
        <v>-0.66666666666666785</v>
      </c>
      <c r="CZ110" s="72">
        <f t="shared" si="60"/>
        <v>1.5625</v>
      </c>
      <c r="DA110" s="72">
        <f t="shared" si="61"/>
        <v>3.125</v>
      </c>
      <c r="DC110" s="17">
        <v>0.9791666666666673</v>
      </c>
      <c r="DD110" s="72">
        <f>'linear calc'!BF52 -'linear calc'!AN52</f>
        <v>-0.12410555418685476</v>
      </c>
      <c r="DE110" s="72">
        <f>'linear calc'!BG52 -'linear calc'!AO52</f>
        <v>3.6590390061203975</v>
      </c>
      <c r="DF110" s="72">
        <f>'linear calc'!BH52 -'linear calc'!AP52</f>
        <v>2.1096277278562248</v>
      </c>
      <c r="DG110" s="72">
        <f>'linear calc'!BI52 -'linear calc'!AQ52</f>
        <v>1.4680386178861777</v>
      </c>
      <c r="DH110" s="72">
        <f>'linear calc'!BJ52 -'linear calc'!AR52</f>
        <v>3.7754893104486591</v>
      </c>
      <c r="DI110" s="72">
        <f>'linear calc'!BK52 -'linear calc'!AS52</f>
        <v>0.51382113821138109</v>
      </c>
      <c r="DJ110" s="72">
        <f>'linear calc'!BL52 -'linear calc'!AT52</f>
        <v>2.3367917838056886</v>
      </c>
      <c r="DL110" s="14">
        <v>0.9791666666666673</v>
      </c>
      <c r="DM110" s="75" cm="1">
        <f t="array" ref="DM110">[1]!asa(CR55,E54,N54)</f>
        <v>0</v>
      </c>
      <c r="DN110" s="75" cm="1">
        <f t="array" ref="DN110">[1]!asa(CS55,F54,O54)</f>
        <v>0</v>
      </c>
      <c r="DO110" s="75" cm="1">
        <f t="array" ref="DO110">[1]!asa(CT55,G54,P54)</f>
        <v>0</v>
      </c>
      <c r="DP110" s="75" cm="1">
        <f t="array" ref="DP110">[1]!asa(CU55,H54,Q54)</f>
        <v>0</v>
      </c>
      <c r="DQ110" s="75" cm="1">
        <f t="array" ref="DQ110">[1]!asa(CV55,I54,R54)</f>
        <v>0</v>
      </c>
      <c r="DR110" s="75" cm="1">
        <f t="array" ref="DR110">[1]!asa(CW55,J54,S54)</f>
        <v>3845</v>
      </c>
      <c r="DS110" s="75" cm="1">
        <f t="array" ref="DS110">[1]!asa(CX55,K54,T54)</f>
        <v>2556</v>
      </c>
      <c r="DU110" s="14">
        <v>0.9791666666666673</v>
      </c>
      <c r="DV110" s="8" cm="1">
        <f t="array" ref="DV110">[1]!Abandon(CR55,300,E54,N54)</f>
        <v>3.45335280371728E-7</v>
      </c>
      <c r="DW110" s="8" cm="1">
        <f t="array" ref="DW110">[1]!Abandon(CS55,300,F54,O54)</f>
        <v>3.4161338646754302E-8</v>
      </c>
      <c r="DX110" s="8" cm="1">
        <f t="array" ref="DX110">[1]!Abandon(CT55,300,G54,P54)</f>
        <v>9.9691646937571932E-7</v>
      </c>
      <c r="DY110" s="8" cm="1">
        <f t="array" ref="DY110">[1]!Abandon(CU55,300,H54,Q54)</f>
        <v>1.1119890563904278E-9</v>
      </c>
      <c r="DZ110" s="8" cm="1">
        <f t="array" ref="DZ110">[1]!Abandon(CV55,300,I54,R54)</f>
        <v>3.0049727151038041E-9</v>
      </c>
      <c r="EA110" s="8" cm="1">
        <f t="array" ref="EA110">[1]!Abandon(CW55,300,J54,S54)</f>
        <v>1</v>
      </c>
      <c r="EB110" s="8" cm="1">
        <f t="array" ref="EB110">[1]!Abandon(CX55,300,K54,T54)</f>
        <v>1</v>
      </c>
      <c r="ED110" s="14">
        <v>0.9791666666666673</v>
      </c>
      <c r="EE110" s="8">
        <f>1-ABS((('linear calc'!AN52 -'linear calc'!AW52) /'linear calc'!AN52))</f>
        <v>0.58929352135985913</v>
      </c>
      <c r="EF110" s="8">
        <f>1-ABS((('linear calc'!AO52 -'linear calc'!AX52) /'linear calc'!AO52))</f>
        <v>-0.1926743937613502</v>
      </c>
      <c r="EG110" s="8">
        <f>1-ABS((('linear calc'!AP52 -'linear calc'!AY52) /'linear calc'!AP52))</f>
        <v>0.17954196434532954</v>
      </c>
      <c r="EH110" s="8">
        <f>1-ABS((('linear calc'!AQ52 -'linear calc'!AZ52) /'linear calc'!AQ52))</f>
        <v>0.35593264586868567</v>
      </c>
      <c r="EI110" s="8">
        <f>1-ABS((('linear calc'!AR52 -'linear calc'!BA52) /'linear calc'!AR52))</f>
        <v>-0.15502417183089445</v>
      </c>
      <c r="EJ110" s="8">
        <f>1-ABS((('linear calc'!AS52 -'linear calc'!BB52) /'linear calc'!AS52))</f>
        <v>0.47835051546391749</v>
      </c>
      <c r="EK110" s="8">
        <f>1-ABS((('linear calc'!AT52 -'linear calc'!BC52) /'linear calc'!AT52))</f>
        <v>0.2461624454234681</v>
      </c>
    </row>
    <row r="111" spans="3:141" x14ac:dyDescent="0.3">
      <c r="C111" s="15">
        <v>0.85416666666666707</v>
      </c>
      <c r="D111" s="7">
        <v>31</v>
      </c>
      <c r="E111" s="7">
        <v>35</v>
      </c>
      <c r="F111" s="7">
        <v>36</v>
      </c>
      <c r="G111" s="7">
        <v>35</v>
      </c>
      <c r="H111" s="7">
        <v>40</v>
      </c>
      <c r="I111" s="7">
        <v>50</v>
      </c>
      <c r="J111" s="7">
        <v>38</v>
      </c>
      <c r="AE111" s="15">
        <v>0.8333333333333337</v>
      </c>
      <c r="AF111" s="7">
        <f t="shared" si="64"/>
        <v>6.6177014042867688</v>
      </c>
      <c r="AG111" s="7">
        <f t="shared" si="65"/>
        <v>6.4104397325380287</v>
      </c>
      <c r="AH111" s="7">
        <f t="shared" si="66"/>
        <v>6.9252391668911342</v>
      </c>
      <c r="AI111" s="7">
        <f t="shared" si="67"/>
        <v>5.1289661499099459</v>
      </c>
      <c r="AJ111" s="7">
        <f t="shared" si="68"/>
        <v>5.623440245391464</v>
      </c>
      <c r="AK111" s="7">
        <f t="shared" si="69"/>
        <v>6.7015098722415791</v>
      </c>
      <c r="AL111" s="7">
        <f t="shared" si="70"/>
        <v>6.3142014145900154</v>
      </c>
      <c r="BJ111" s="2" t="s">
        <v>17</v>
      </c>
      <c r="BK111" s="20">
        <f t="shared" ref="BK111:BQ111" si="71">SUM(BK63:BK110)</f>
        <v>384.65589690208435</v>
      </c>
      <c r="BL111" s="20">
        <f t="shared" si="71"/>
        <v>383.13665962219238</v>
      </c>
      <c r="BM111" s="20">
        <f t="shared" si="71"/>
        <v>381.26832723617554</v>
      </c>
      <c r="BN111" s="20">
        <f t="shared" si="71"/>
        <v>381.31545877456665</v>
      </c>
      <c r="BO111" s="20">
        <f t="shared" si="71"/>
        <v>308.89101386070251</v>
      </c>
      <c r="BP111" s="20">
        <f t="shared" si="71"/>
        <v>449.44383597373962</v>
      </c>
      <c r="BQ111" s="20">
        <f t="shared" si="71"/>
        <v>454.61962604522705</v>
      </c>
      <c r="BR111" s="58">
        <f>SUM(BK111:BQ111)</f>
        <v>2743.3308184146881</v>
      </c>
      <c r="BS111" s="2" t="s">
        <v>17</v>
      </c>
      <c r="BT111" s="19">
        <f>SUMPRODUCT(BT$63:BT$110,E$7:E$54)/SUM(E$7:E$54)</f>
        <v>0.79194033778382111</v>
      </c>
      <c r="BU111" s="19">
        <f t="shared" ref="BU111:BZ111" si="72">SUMPRODUCT(BU$63:BU$110,F$7:F$54)/SUM(F$7:F$54)</f>
        <v>0.78398563763859508</v>
      </c>
      <c r="BV111" s="19">
        <f t="shared" si="72"/>
        <v>0.77904291764734446</v>
      </c>
      <c r="BW111" s="19">
        <f t="shared" si="72"/>
        <v>0.78628620651417591</v>
      </c>
      <c r="BX111" s="19">
        <f t="shared" si="72"/>
        <v>0.7798879702913798</v>
      </c>
      <c r="BY111" s="19">
        <f t="shared" si="72"/>
        <v>0.79485894593189821</v>
      </c>
      <c r="BZ111" s="19">
        <f t="shared" si="72"/>
        <v>0.79015414849404364</v>
      </c>
      <c r="CB111" s="2" t="s">
        <v>17</v>
      </c>
      <c r="CC111" s="19">
        <f>SUMPRODUCT(CC63:CC110,E$7:E$54)/SUM(E$7:E$54)</f>
        <v>0.68176323547537065</v>
      </c>
      <c r="CD111" s="19">
        <f t="shared" ref="CD111:CI111" si="73">SUMPRODUCT(CD63:CD110,F$7:F$54)/SUM(F$7:F$54)</f>
        <v>0.68010290154781972</v>
      </c>
      <c r="CE111" s="19">
        <f t="shared" si="73"/>
        <v>0.68142064999868923</v>
      </c>
      <c r="CF111" s="19">
        <f t="shared" si="73"/>
        <v>0.68016404079623061</v>
      </c>
      <c r="CG111" s="19">
        <f t="shared" si="73"/>
        <v>0.64244520221495161</v>
      </c>
      <c r="CH111" s="19">
        <f t="shared" si="73"/>
        <v>0.72521481987497949</v>
      </c>
      <c r="CI111" s="19">
        <f t="shared" si="73"/>
        <v>0.72647705576571975</v>
      </c>
      <c r="CK111" s="2" t="s">
        <v>17</v>
      </c>
      <c r="CL111" s="20">
        <f>SUM(CL63:CL110)</f>
        <v>2935</v>
      </c>
      <c r="CM111" s="20">
        <f t="shared" ref="CM111:CR111" si="74">SUM(CM63:CM110)</f>
        <v>2935</v>
      </c>
      <c r="CN111" s="20">
        <f t="shared" si="74"/>
        <v>2944</v>
      </c>
      <c r="CO111" s="20">
        <f t="shared" si="74"/>
        <v>2905</v>
      </c>
      <c r="CP111" s="20">
        <f t="shared" si="74"/>
        <v>2251</v>
      </c>
      <c r="CQ111" s="20">
        <f t="shared" si="74"/>
        <v>3586</v>
      </c>
      <c r="CR111" s="20">
        <f t="shared" si="74"/>
        <v>3647</v>
      </c>
      <c r="CS111" s="71">
        <f t="shared" ref="CS111" si="75">SUM(CL111:CR111)</f>
        <v>21203</v>
      </c>
      <c r="CT111" s="2" t="s">
        <v>17</v>
      </c>
      <c r="CU111" s="73">
        <f>SUM(CU63:CU110)</f>
        <v>67.75</v>
      </c>
      <c r="CV111" s="73">
        <f t="shared" ref="CV111" si="76">SUM(CV63:CV110)</f>
        <v>91.25</v>
      </c>
      <c r="CW111" s="73">
        <f t="shared" ref="CW111" si="77">SUM(CW63:CW110)</f>
        <v>112.25</v>
      </c>
      <c r="CX111" s="73">
        <f t="shared" ref="CX111" si="78">SUM(CX63:CX110)</f>
        <v>79.5</v>
      </c>
      <c r="CY111" s="73">
        <f t="shared" ref="CY111" si="79">SUM(CY63:CY110)</f>
        <v>96.208333333333329</v>
      </c>
      <c r="CZ111" s="73">
        <f t="shared" ref="CZ111" si="80">SUM(CZ63:CZ110)</f>
        <v>72.1875</v>
      </c>
      <c r="DA111" s="73">
        <f t="shared" ref="DA111" si="81">SUM(DA63:DA110)</f>
        <v>82</v>
      </c>
      <c r="DB111" s="58">
        <f>SUM(CU111:DA111)</f>
        <v>601.14583333333326</v>
      </c>
      <c r="DC111" s="2" t="s">
        <v>17</v>
      </c>
      <c r="DD111" s="73">
        <f>SUM(DD63:DD110)</f>
        <v>4.8762425835238545</v>
      </c>
      <c r="DE111" s="73">
        <f t="shared" ref="DE111" si="82">SUM(DE63:DE110)</f>
        <v>74.11165106884431</v>
      </c>
      <c r="DF111" s="73">
        <f t="shared" ref="DF111" si="83">SUM(DF63:DF110)</f>
        <v>88.406468082486597</v>
      </c>
      <c r="DG111" s="73">
        <f t="shared" ref="DG111" si="84">SUM(DG63:DG110)</f>
        <v>130.1803347765001</v>
      </c>
      <c r="DH111" s="73">
        <f t="shared" ref="DH111" si="85">SUM(DH63:DH110)</f>
        <v>53.943716825244039</v>
      </c>
      <c r="DI111" s="73">
        <f t="shared" ref="DI111" si="86">SUM(DI63:DI110)</f>
        <v>-2.7486299495356192E-2</v>
      </c>
      <c r="DJ111" s="73">
        <f t="shared" ref="DJ111" si="87">SUM(DJ63:DJ110)</f>
        <v>130.20838588926043</v>
      </c>
      <c r="DL111" s="50" t="s">
        <v>11</v>
      </c>
      <c r="DM111" s="18">
        <f>SUMPRODUCT(DM$63:DM$110,E$7:E$54)/SUM(E$7:E$54)</f>
        <v>1319.6324875752027</v>
      </c>
      <c r="DN111" s="18">
        <f t="shared" ref="DN111:DS111" si="88">SUMPRODUCT(DN$63:DN$110,F$7:F$54)/SUM(F$7:F$54)</f>
        <v>202.86795604395604</v>
      </c>
      <c r="DO111" s="18">
        <f t="shared" si="88"/>
        <v>848.46058091286307</v>
      </c>
      <c r="DP111" s="18">
        <f t="shared" si="88"/>
        <v>188.06476729782338</v>
      </c>
      <c r="DQ111" s="18">
        <f t="shared" si="88"/>
        <v>39.872457217441749</v>
      </c>
      <c r="DR111" s="18">
        <f t="shared" si="88"/>
        <v>2477.6026929439176</v>
      </c>
      <c r="DS111" s="18">
        <f t="shared" si="88"/>
        <v>553.87766479663389</v>
      </c>
      <c r="DU111" s="50" t="s">
        <v>11</v>
      </c>
      <c r="DV111" s="18">
        <f>SUMPRODUCT(DV$63:DV$110,E$7:E$54)/SUM(E$7:E$54)</f>
        <v>0.50322166778415678</v>
      </c>
      <c r="DW111" s="18">
        <f t="shared" ref="DW111:EB111" si="89">SUMPRODUCT(DW$63:DW$110,F$7:F$54)/SUM(F$7:F$54)</f>
        <v>0.12926924880264573</v>
      </c>
      <c r="DX111" s="18">
        <f t="shared" si="89"/>
        <v>0.33775893038250149</v>
      </c>
      <c r="DY111" s="18">
        <f t="shared" si="89"/>
        <v>0.1021307370284536</v>
      </c>
      <c r="DZ111" s="18">
        <f t="shared" si="89"/>
        <v>3.6820256521916464E-2</v>
      </c>
      <c r="EA111" s="18">
        <f t="shared" si="89"/>
        <v>0.64370151000482312</v>
      </c>
      <c r="EB111" s="18">
        <f t="shared" si="89"/>
        <v>0.23391932996222059</v>
      </c>
      <c r="ED111" s="50" t="s">
        <v>11</v>
      </c>
      <c r="EE111" s="19">
        <f>SUMPRODUCT(EE$63:EE$110,E$7:E$54)/SUM(E$7:E$54)</f>
        <v>0.53469580873164102</v>
      </c>
      <c r="EF111" s="19">
        <f t="shared" ref="EF111:EK111" si="90">SUMPRODUCT(EF$63:EF$110,F$7:F$54)/SUM(F$7:F$54)</f>
        <v>0.24374781136347998</v>
      </c>
      <c r="EG111" s="19">
        <f t="shared" si="90"/>
        <v>0.19863921454367223</v>
      </c>
      <c r="EH111" s="19">
        <f t="shared" si="90"/>
        <v>0.10007161374549667</v>
      </c>
      <c r="EI111" s="19">
        <f t="shared" si="90"/>
        <v>0.38197946175724584</v>
      </c>
      <c r="EJ111" s="19">
        <f t="shared" si="90"/>
        <v>0.52606022663837271</v>
      </c>
      <c r="EK111" s="19">
        <f t="shared" si="90"/>
        <v>0.13158586434957908</v>
      </c>
    </row>
    <row r="112" spans="3:141" x14ac:dyDescent="0.3">
      <c r="C112" s="15">
        <v>0.87500000000000044</v>
      </c>
      <c r="D112" s="7">
        <v>46</v>
      </c>
      <c r="E112" s="7">
        <v>31</v>
      </c>
      <c r="F112" s="7">
        <v>33</v>
      </c>
      <c r="G112" s="7">
        <v>32</v>
      </c>
      <c r="H112" s="7">
        <v>47</v>
      </c>
      <c r="I112" s="7">
        <v>33</v>
      </c>
      <c r="J112" s="7">
        <v>43</v>
      </c>
      <c r="AE112" s="15">
        <v>0.85416666666666707</v>
      </c>
      <c r="AF112" s="7">
        <f t="shared" si="64"/>
        <v>4.7121544116766643</v>
      </c>
      <c r="AG112" s="7">
        <f t="shared" si="65"/>
        <v>5.4071018651362976</v>
      </c>
      <c r="AH112" s="7">
        <f t="shared" si="66"/>
        <v>5.7387848432055746</v>
      </c>
      <c r="AI112" s="7">
        <f t="shared" si="67"/>
        <v>5.633638211382114</v>
      </c>
      <c r="AJ112" s="7">
        <f t="shared" si="68"/>
        <v>6.5312363477501085</v>
      </c>
      <c r="AK112" s="7">
        <f t="shared" si="69"/>
        <v>7.84761147300914</v>
      </c>
      <c r="AL112" s="7">
        <f t="shared" si="70"/>
        <v>5.7761492752542205</v>
      </c>
      <c r="BJ112" s="2" t="s">
        <v>56</v>
      </c>
      <c r="BK112" s="20">
        <f>BK111/2</f>
        <v>192.32794845104218</v>
      </c>
      <c r="BL112" s="20">
        <f t="shared" ref="BL112:BQ112" si="91">BL111/2</f>
        <v>191.56832981109619</v>
      </c>
      <c r="BM112" s="20">
        <f t="shared" si="91"/>
        <v>190.63416361808777</v>
      </c>
      <c r="BN112" s="20">
        <f t="shared" si="91"/>
        <v>190.65772938728333</v>
      </c>
      <c r="BO112" s="20">
        <f t="shared" si="91"/>
        <v>154.44550693035126</v>
      </c>
      <c r="BP112" s="20">
        <f t="shared" si="91"/>
        <v>224.72191798686981</v>
      </c>
      <c r="BQ112" s="20">
        <f t="shared" si="91"/>
        <v>227.30981302261353</v>
      </c>
      <c r="BR112" s="58">
        <f>SUM(BK112:BQ112)</f>
        <v>1371.6654092073441</v>
      </c>
      <c r="BS112" s="2" t="s">
        <v>56</v>
      </c>
      <c r="BT112" s="19">
        <f>BT111/2</f>
        <v>0.39597016889191056</v>
      </c>
      <c r="BU112" s="19">
        <f t="shared" ref="BU112:BZ112" si="92">BU111/2</f>
        <v>0.39199281881929754</v>
      </c>
      <c r="BV112" s="19">
        <f t="shared" si="92"/>
        <v>0.38952145882367223</v>
      </c>
      <c r="BW112" s="19">
        <f t="shared" si="92"/>
        <v>0.39314310325708796</v>
      </c>
      <c r="BX112" s="19">
        <f t="shared" si="92"/>
        <v>0.3899439851456899</v>
      </c>
      <c r="BY112" s="19">
        <f t="shared" si="92"/>
        <v>0.3974294729659491</v>
      </c>
      <c r="BZ112" s="19">
        <f t="shared" si="92"/>
        <v>0.39507707424702182</v>
      </c>
      <c r="CB112" s="2" t="s">
        <v>56</v>
      </c>
      <c r="CC112" s="19">
        <f>CC111/2</f>
        <v>0.34088161773768533</v>
      </c>
      <c r="CD112" s="19">
        <f t="shared" ref="CD112:CI112" si="93">CD111/2</f>
        <v>0.34005145077390986</v>
      </c>
      <c r="CE112" s="19">
        <f t="shared" si="93"/>
        <v>0.34071032499934462</v>
      </c>
      <c r="CF112" s="19">
        <f t="shared" si="93"/>
        <v>0.3400820203981153</v>
      </c>
      <c r="CG112" s="19">
        <f t="shared" si="93"/>
        <v>0.3212226011074758</v>
      </c>
      <c r="CH112" s="19">
        <f t="shared" si="93"/>
        <v>0.36260740993748974</v>
      </c>
      <c r="CI112" s="19">
        <f t="shared" si="93"/>
        <v>0.36323852788285987</v>
      </c>
      <c r="CK112" s="61"/>
      <c r="CL112" s="70"/>
      <c r="CM112" s="70"/>
      <c r="CN112" s="70"/>
      <c r="CO112" s="70"/>
      <c r="CP112" s="70"/>
      <c r="CQ112" s="70"/>
      <c r="CR112" s="70"/>
      <c r="CS112" s="58"/>
      <c r="DL112" s="50" t="s">
        <v>63</v>
      </c>
      <c r="DM112" s="18">
        <f>DM111/2</f>
        <v>659.81624378760137</v>
      </c>
      <c r="DN112" s="18">
        <f t="shared" ref="DN112:DS112" si="94">DN111/2</f>
        <v>101.43397802197802</v>
      </c>
      <c r="DO112" s="18">
        <f t="shared" si="94"/>
        <v>424.23029045643153</v>
      </c>
      <c r="DP112" s="18">
        <f t="shared" si="94"/>
        <v>94.03238364891169</v>
      </c>
      <c r="DQ112" s="18">
        <f t="shared" si="94"/>
        <v>19.936228608720874</v>
      </c>
      <c r="DR112" s="18">
        <f t="shared" si="94"/>
        <v>1238.8013464719588</v>
      </c>
      <c r="DS112" s="18">
        <f t="shared" si="94"/>
        <v>276.93883239831695</v>
      </c>
      <c r="DU112" s="50" t="s">
        <v>63</v>
      </c>
      <c r="DV112" s="18">
        <f>DV111/2</f>
        <v>0.25161083389207839</v>
      </c>
      <c r="DW112" s="18">
        <f t="shared" ref="DW112:EB112" si="95">DW111/2</f>
        <v>6.4634624401322865E-2</v>
      </c>
      <c r="DX112" s="18">
        <f t="shared" si="95"/>
        <v>0.16887946519125074</v>
      </c>
      <c r="DY112" s="18">
        <f t="shared" si="95"/>
        <v>5.10653685142268E-2</v>
      </c>
      <c r="DZ112" s="18">
        <f t="shared" si="95"/>
        <v>1.8410128260958232E-2</v>
      </c>
      <c r="EA112" s="18">
        <f t="shared" si="95"/>
        <v>0.32185075500241156</v>
      </c>
      <c r="EB112" s="18">
        <f t="shared" si="95"/>
        <v>0.1169596649811103</v>
      </c>
      <c r="ED112" s="50" t="s">
        <v>63</v>
      </c>
      <c r="EE112" s="18"/>
      <c r="EF112" s="18"/>
      <c r="EG112" s="18"/>
      <c r="EH112" s="18"/>
      <c r="EI112" s="18"/>
      <c r="EJ112" s="18"/>
      <c r="EK112" s="18"/>
    </row>
    <row r="113" spans="1:69" x14ac:dyDescent="0.3">
      <c r="C113" s="15">
        <v>0.89583333333333381</v>
      </c>
      <c r="D113" s="7">
        <v>44</v>
      </c>
      <c r="E113" s="7">
        <v>42</v>
      </c>
      <c r="F113" s="7">
        <v>32</v>
      </c>
      <c r="G113" s="7">
        <v>31</v>
      </c>
      <c r="H113" s="7">
        <v>31</v>
      </c>
      <c r="I113" s="7">
        <v>32</v>
      </c>
      <c r="J113" s="7">
        <v>44</v>
      </c>
      <c r="AE113" s="15">
        <v>0.87500000000000044</v>
      </c>
      <c r="AF113" s="7">
        <f t="shared" si="64"/>
        <v>7.2442819194811463</v>
      </c>
      <c r="AG113" s="7">
        <f t="shared" si="65"/>
        <v>5.1185636856368557</v>
      </c>
      <c r="AH113" s="7">
        <f t="shared" si="66"/>
        <v>5.1032391276293705</v>
      </c>
      <c r="AI113" s="7">
        <f t="shared" si="67"/>
        <v>5.030591827947652</v>
      </c>
      <c r="AJ113" s="7">
        <f t="shared" si="68"/>
        <v>7.3531238141235713</v>
      </c>
      <c r="AK113" s="7">
        <f t="shared" si="69"/>
        <v>5.2293538724860937</v>
      </c>
      <c r="AL113" s="7">
        <f t="shared" si="70"/>
        <v>6.8468005088214134</v>
      </c>
    </row>
    <row r="114" spans="1:69" x14ac:dyDescent="0.3">
      <c r="C114" s="15">
        <v>0.91666666666666718</v>
      </c>
      <c r="D114" s="7">
        <v>38</v>
      </c>
      <c r="E114" s="7">
        <v>47</v>
      </c>
      <c r="F114" s="7">
        <v>41</v>
      </c>
      <c r="G114" s="7">
        <v>35</v>
      </c>
      <c r="H114" s="7">
        <v>32</v>
      </c>
      <c r="I114" s="7">
        <v>31</v>
      </c>
      <c r="J114" s="7">
        <v>37</v>
      </c>
      <c r="AE114" s="15">
        <v>0.89583333333333381</v>
      </c>
      <c r="AF114" s="7">
        <f t="shared" si="64"/>
        <v>6.7486382784619927</v>
      </c>
      <c r="AG114" s="7">
        <f t="shared" si="65"/>
        <v>6.832411365350767</v>
      </c>
      <c r="AH114" s="7">
        <f t="shared" si="66"/>
        <v>5.0670773788483228</v>
      </c>
      <c r="AI114" s="7">
        <f t="shared" si="67"/>
        <v>4.8791144116347365</v>
      </c>
      <c r="AJ114" s="7">
        <f t="shared" si="68"/>
        <v>4.7608920864340911</v>
      </c>
      <c r="AK114" s="7">
        <f t="shared" si="69"/>
        <v>4.823274687773333</v>
      </c>
      <c r="AL114" s="7">
        <f t="shared" si="70"/>
        <v>6.9723434404940443</v>
      </c>
    </row>
    <row r="115" spans="1:69" x14ac:dyDescent="0.3">
      <c r="C115" s="15">
        <v>0.93750000000000056</v>
      </c>
      <c r="D115" s="7">
        <v>45</v>
      </c>
      <c r="E115" s="7">
        <v>50</v>
      </c>
      <c r="F115" s="7">
        <v>31</v>
      </c>
      <c r="G115" s="7">
        <v>38</v>
      </c>
      <c r="H115" s="7">
        <v>45</v>
      </c>
      <c r="I115" s="7">
        <v>30</v>
      </c>
      <c r="J115" s="7">
        <v>33</v>
      </c>
      <c r="AE115" s="15">
        <v>0.91666666666666718</v>
      </c>
      <c r="AF115" s="7">
        <f t="shared" si="64"/>
        <v>5.9790678635953025</v>
      </c>
      <c r="AG115" s="7">
        <f t="shared" si="65"/>
        <v>7.4243047489998713</v>
      </c>
      <c r="AH115" s="7">
        <f t="shared" si="66"/>
        <v>6.6784912618245942</v>
      </c>
      <c r="AI115" s="7">
        <f t="shared" si="67"/>
        <v>5.6689866141085652</v>
      </c>
      <c r="AJ115" s="7">
        <f t="shared" si="68"/>
        <v>4.8176235263753195</v>
      </c>
      <c r="AK115" s="7">
        <f t="shared" si="69"/>
        <v>4.7540114790884376</v>
      </c>
      <c r="AL115" s="7">
        <f t="shared" si="70"/>
        <v>5.5247025179146672</v>
      </c>
      <c r="BJ115" s="2"/>
      <c r="BK115" s="3"/>
      <c r="BL115" s="3"/>
      <c r="BM115" s="3"/>
      <c r="BN115" s="3"/>
      <c r="BO115" s="3"/>
      <c r="BP115" s="3"/>
      <c r="BQ115" s="3"/>
    </row>
    <row r="116" spans="1:69" x14ac:dyDescent="0.3">
      <c r="C116" s="15">
        <v>0.95833333333333393</v>
      </c>
      <c r="D116" s="7">
        <v>45</v>
      </c>
      <c r="E116" s="7">
        <v>45</v>
      </c>
      <c r="F116" s="7">
        <v>45</v>
      </c>
      <c r="G116" s="7">
        <v>44</v>
      </c>
      <c r="H116" s="7">
        <v>45</v>
      </c>
      <c r="I116" s="7">
        <v>46</v>
      </c>
      <c r="J116" s="7">
        <v>38</v>
      </c>
      <c r="AE116" s="17">
        <v>0.93750000000000056</v>
      </c>
      <c r="AF116" s="7">
        <f t="shared" si="64"/>
        <v>7.3068796797390458</v>
      </c>
      <c r="AG116" s="7">
        <f t="shared" si="65"/>
        <v>7.4494949494949489</v>
      </c>
      <c r="AH116" s="7">
        <f t="shared" si="66"/>
        <v>4.9033249947884094</v>
      </c>
      <c r="AI116" s="7">
        <f t="shared" si="67"/>
        <v>5.8991579558652729</v>
      </c>
      <c r="AJ116" s="7">
        <f t="shared" si="68"/>
        <v>7.4364279013669252</v>
      </c>
      <c r="AK116" s="7">
        <f t="shared" si="69"/>
        <v>4.7482941347270611</v>
      </c>
      <c r="AL116" s="7">
        <f t="shared" si="70"/>
        <v>5.2540650406504064</v>
      </c>
      <c r="BJ116" s="6"/>
      <c r="BK116" s="8" cm="1">
        <f t="array" ref="BK116">[1]!SLA(BK63,20,E7,N7)</f>
        <v>0.80128437280654907</v>
      </c>
      <c r="BL116" s="8" cm="1">
        <f t="array" ref="BL116">[1]!SLA(BL63,20,F7,O7)</f>
        <v>0.79194796085357666</v>
      </c>
      <c r="BM116" s="8" cm="1">
        <f t="array" ref="BM116">[1]!SLA(BM63,20,G7,P7)</f>
        <v>0.663260817527771</v>
      </c>
      <c r="BN116" s="8" cm="1">
        <f t="array" ref="BN116">[1]!SLA(BN63,20,H7,Q7)</f>
        <v>0.80865269899368286</v>
      </c>
      <c r="BO116" s="8" cm="1">
        <f t="array" ref="BO116">[1]!SLA(BO63,20,I7,R7)</f>
        <v>0.78802251815795898</v>
      </c>
      <c r="BP116" s="8" cm="1">
        <f t="array" ref="BP116">[1]!SLA(BP63,20,J7,S7)</f>
        <v>0.79582720994949341</v>
      </c>
      <c r="BQ116" s="8" cm="1">
        <f t="array" ref="BQ116">[1]!SLA(BQ63,20,K7,T7)</f>
        <v>0.81324595212936401</v>
      </c>
    </row>
    <row r="117" spans="1:69" x14ac:dyDescent="0.3">
      <c r="C117" s="15">
        <v>0.9791666666666673</v>
      </c>
      <c r="D117" s="7">
        <v>46</v>
      </c>
      <c r="E117" s="7">
        <v>32</v>
      </c>
      <c r="F117" s="7">
        <v>34</v>
      </c>
      <c r="G117" s="7">
        <v>45</v>
      </c>
      <c r="H117" s="7">
        <v>34</v>
      </c>
      <c r="I117" s="7">
        <v>36</v>
      </c>
      <c r="J117" s="7">
        <v>47</v>
      </c>
      <c r="AE117" s="14">
        <v>0.95833333333333393</v>
      </c>
      <c r="AF117" s="7">
        <f t="shared" si="64"/>
        <v>7.0543506057603178</v>
      </c>
      <c r="AG117" s="7">
        <f t="shared" si="65"/>
        <v>6.9693361257320765</v>
      </c>
      <c r="AH117" s="7">
        <f t="shared" si="66"/>
        <v>7.0041376306620204</v>
      </c>
      <c r="AI117" s="7">
        <f t="shared" si="67"/>
        <v>6.9639665241637223</v>
      </c>
      <c r="AJ117" s="7">
        <f t="shared" si="68"/>
        <v>7.0870186723845263</v>
      </c>
      <c r="AK117" s="7">
        <f t="shared" si="69"/>
        <v>6.9918699186991864</v>
      </c>
      <c r="AL117" s="7">
        <f t="shared" si="70"/>
        <v>5.8287679237978365</v>
      </c>
      <c r="BJ117" s="6"/>
      <c r="BK117" s="8" cm="1">
        <f t="array" ref="BK117">[1]!SLA(BK64,20,E8,N8)</f>
        <v>0.80128437280654907</v>
      </c>
      <c r="BL117" s="8" cm="1">
        <f t="array" ref="BL117">[1]!SLA(BL64,20,F8,O8)</f>
        <v>0.77655488252639771</v>
      </c>
      <c r="BM117" s="8" cm="1">
        <f t="array" ref="BM117">[1]!SLA(BM64,20,G8,P8)</f>
        <v>0.67537945508956909</v>
      </c>
      <c r="BN117" s="8" cm="1">
        <f t="array" ref="BN117">[1]!SLA(BN64,20,H8,Q8)</f>
        <v>0.80492973327636719</v>
      </c>
      <c r="BO117" s="8" cm="1">
        <f t="array" ref="BO117">[1]!SLA(BO64,20,I8,R8)</f>
        <v>0.74049431085586548</v>
      </c>
      <c r="BP117" s="8" cm="1">
        <f t="array" ref="BP117">[1]!SLA(BP64,20,J8,S8)</f>
        <v>0.80248731374740601</v>
      </c>
      <c r="BQ117" s="8" cm="1">
        <f t="array" ref="BQ117">[1]!SLA(BQ64,20,K8,T8)</f>
        <v>0.67875683307647705</v>
      </c>
    </row>
    <row r="118" spans="1:69" x14ac:dyDescent="0.3">
      <c r="C118" s="2" t="s">
        <v>11</v>
      </c>
      <c r="D118" s="18">
        <f t="shared" ref="D118:J118" si="96">SUM(D70:D117)</f>
        <v>2070</v>
      </c>
      <c r="E118" s="18">
        <f t="shared" si="96"/>
        <v>1954</v>
      </c>
      <c r="F118" s="18">
        <f t="shared" si="96"/>
        <v>1892</v>
      </c>
      <c r="G118" s="18">
        <f t="shared" si="96"/>
        <v>1951</v>
      </c>
      <c r="H118" s="18">
        <f t="shared" si="96"/>
        <v>1893</v>
      </c>
      <c r="I118" s="18">
        <f t="shared" si="96"/>
        <v>1936</v>
      </c>
      <c r="J118" s="18">
        <f t="shared" si="96"/>
        <v>2005</v>
      </c>
      <c r="AE118" s="14">
        <v>0.9791666666666673</v>
      </c>
      <c r="AF118" s="7">
        <f t="shared" si="64"/>
        <v>7.0886468244191816</v>
      </c>
      <c r="AG118" s="7">
        <f t="shared" si="65"/>
        <v>4.8864007099140014</v>
      </c>
      <c r="AH118" s="7">
        <f t="shared" si="66"/>
        <v>5.493123051531267</v>
      </c>
      <c r="AI118" s="7">
        <f t="shared" si="67"/>
        <v>6.951400987224158</v>
      </c>
      <c r="AJ118" s="7">
        <f t="shared" si="68"/>
        <v>5.3032219211080998</v>
      </c>
      <c r="AK118" s="7">
        <f t="shared" si="69"/>
        <v>5.6329849012775837</v>
      </c>
      <c r="AL118" s="7">
        <f t="shared" si="70"/>
        <v>7.3308630115673648</v>
      </c>
      <c r="BJ118" s="6"/>
      <c r="BK118" s="8" cm="1">
        <f t="array" ref="BK118">[1]!SLA(BK65,20,E9,N9)</f>
        <v>0.6746717095375061</v>
      </c>
      <c r="BL118" s="8" cm="1">
        <f t="array" ref="BL118">[1]!SLA(BL65,20,F9,O9)</f>
        <v>0.77917510271072388</v>
      </c>
      <c r="BM118" s="8" cm="1">
        <f t="array" ref="BM118">[1]!SLA(BM65,20,G9,P9)</f>
        <v>0.66412830352783203</v>
      </c>
      <c r="BN118" s="8" cm="1">
        <f t="array" ref="BN118">[1]!SLA(BN65,20,H9,Q9)</f>
        <v>0.77391213178634644</v>
      </c>
      <c r="BO118" s="8" cm="1">
        <f t="array" ref="BO118">[1]!SLA(BO65,20,I9,R9)</f>
        <v>0.76797568798065186</v>
      </c>
      <c r="BP118" s="8" cm="1">
        <f t="array" ref="BP118">[1]!SLA(BP65,20,J9,S9)</f>
        <v>0.80544179677963257</v>
      </c>
      <c r="BQ118" s="8" cm="1">
        <f t="array" ref="BQ118">[1]!SLA(BQ65,20,K9,T9)</f>
        <v>0.80115282535552979</v>
      </c>
    </row>
    <row r="119" spans="1:69" x14ac:dyDescent="0.3">
      <c r="D119" s="23">
        <f>D$118/$D$68</f>
        <v>0.15108386249178893</v>
      </c>
      <c r="E119" s="23">
        <f t="shared" ref="E119:J119" si="97">E$118/$D$68</f>
        <v>0.14261732720239398</v>
      </c>
      <c r="F119" s="23">
        <f t="shared" si="97"/>
        <v>0.13809211006495875</v>
      </c>
      <c r="G119" s="23">
        <f t="shared" si="97"/>
        <v>0.14239836508284068</v>
      </c>
      <c r="H119" s="23">
        <f t="shared" si="97"/>
        <v>0.1381650974381432</v>
      </c>
      <c r="I119" s="23">
        <f t="shared" si="97"/>
        <v>0.14130355448507409</v>
      </c>
      <c r="J119" s="23">
        <f t="shared" si="97"/>
        <v>0.14633968323480037</v>
      </c>
      <c r="AE119" s="50" t="s">
        <v>11</v>
      </c>
      <c r="AF119" s="18">
        <f t="shared" ref="AF119:AL119" si="98">SUM(AF71:AF118)</f>
        <v>324.51696958319712</v>
      </c>
      <c r="AG119" s="18">
        <f t="shared" si="98"/>
        <v>307.06310637939703</v>
      </c>
      <c r="AH119" s="18">
        <f t="shared" si="98"/>
        <v>296.85252279822379</v>
      </c>
      <c r="AI119" s="18">
        <f t="shared" si="98"/>
        <v>307.01404658821423</v>
      </c>
      <c r="AJ119" s="18">
        <f t="shared" si="98"/>
        <v>297.46877369625423</v>
      </c>
      <c r="AK119" s="18">
        <f t="shared" si="98"/>
        <v>304.01963307106809</v>
      </c>
      <c r="AL119" s="18">
        <f t="shared" si="98"/>
        <v>314.99401007909961</v>
      </c>
      <c r="BJ119" s="6"/>
      <c r="BK119" s="8" cm="1">
        <f t="array" ref="BK119">[1]!SLA(BK66,20,E10,N10)</f>
        <v>0.78805071115493774</v>
      </c>
      <c r="BL119" s="8" cm="1">
        <f t="array" ref="BL119">[1]!SLA(BL66,20,F10,O10)</f>
        <v>0.80468809604644775</v>
      </c>
      <c r="BM119" s="8" cm="1">
        <f t="array" ref="BM119">[1]!SLA(BM66,20,G10,P10)</f>
        <v>0.65952259302139282</v>
      </c>
      <c r="BN119" s="8" cm="1">
        <f t="array" ref="BN119">[1]!SLA(BN66,20,H10,Q10)</f>
        <v>0.7779698371887207</v>
      </c>
      <c r="BO119" s="8" cm="1">
        <f t="array" ref="BO119">[1]!SLA(BO66,20,I10,R10)</f>
        <v>0.74510812759399414</v>
      </c>
      <c r="BP119" s="8" cm="1">
        <f t="array" ref="BP119">[1]!SLA(BP66,20,J10,S10)</f>
        <v>0.74807572364807129</v>
      </c>
      <c r="BQ119" s="8" cm="1">
        <f t="array" ref="BQ119">[1]!SLA(BQ66,20,K10,T10)</f>
        <v>0.79214227199554443</v>
      </c>
    </row>
    <row r="120" spans="1:69" x14ac:dyDescent="0.3">
      <c r="C120" s="43" t="s">
        <v>43</v>
      </c>
      <c r="D120" s="19">
        <v>0.21</v>
      </c>
      <c r="E120" s="19">
        <v>0.2</v>
      </c>
      <c r="F120" s="19">
        <v>0.12</v>
      </c>
      <c r="G120" s="19">
        <v>0.12</v>
      </c>
      <c r="H120" s="19">
        <v>0.09</v>
      </c>
      <c r="I120" s="19">
        <v>0.14000000000000001</v>
      </c>
      <c r="J120" s="19">
        <v>0.12</v>
      </c>
      <c r="BJ120" s="6"/>
      <c r="BK120" s="8" cm="1">
        <f t="array" ref="BK120">[1]!SLA(BK67,20,E11,N11)</f>
        <v>0.79179179668426514</v>
      </c>
      <c r="BL120" s="8" cm="1">
        <f t="array" ref="BL120">[1]!SLA(BL67,20,F11,O11)</f>
        <v>0.78435498476028442</v>
      </c>
      <c r="BM120" s="8" cm="1">
        <f t="array" ref="BM120">[1]!SLA(BM67,20,G11,P11)</f>
        <v>0.8047751784324646</v>
      </c>
      <c r="BN120" s="8" cm="1">
        <f t="array" ref="BN120">[1]!SLA(BN67,20,H11,Q11)</f>
        <v>0.80865269899368286</v>
      </c>
      <c r="BO120" s="8" cm="1">
        <f t="array" ref="BO120">[1]!SLA(BO67,20,I11,R11)</f>
        <v>0.7115933895111084</v>
      </c>
      <c r="BP120" s="8" cm="1">
        <f t="array" ref="BP120">[1]!SLA(BP67,20,J11,S11)</f>
        <v>0.79642254114151001</v>
      </c>
      <c r="BQ120" s="8" cm="1">
        <f t="array" ref="BQ120">[1]!SLA(BQ67,20,K11,T11)</f>
        <v>0.78957688808441162</v>
      </c>
    </row>
    <row r="121" spans="1:69" x14ac:dyDescent="0.3">
      <c r="D121">
        <v>325</v>
      </c>
      <c r="BJ121" s="6"/>
      <c r="BK121" s="8" cm="1">
        <f t="array" ref="BK121">[1]!SLA(BK68,20,E12,N12)</f>
        <v>0.79050529003143311</v>
      </c>
      <c r="BL121" s="8" cm="1">
        <f t="array" ref="BL121">[1]!SLA(BL68,20,F12,O12)</f>
        <v>0.7941889762878418</v>
      </c>
      <c r="BM121" s="8" cm="1">
        <f t="array" ref="BM121">[1]!SLA(BM68,20,G12,P12)</f>
        <v>0.78805071115493774</v>
      </c>
      <c r="BN121" s="8" cm="1">
        <f t="array" ref="BN121">[1]!SLA(BN68,20,H12,Q12)</f>
        <v>0.68798965215682983</v>
      </c>
      <c r="BO121" s="8" cm="1">
        <f t="array" ref="BO121">[1]!SLA(BO68,20,I12,R12)</f>
        <v>0.74614143371582031</v>
      </c>
      <c r="BP121" s="8" cm="1">
        <f t="array" ref="BP121">[1]!SLA(BP68,20,J12,S12)</f>
        <v>0.78773301839828491</v>
      </c>
      <c r="BQ121" s="8" cm="1">
        <f t="array" ref="BQ121">[1]!SLA(BQ68,20,K12,T12)</f>
        <v>0.80674195289611816</v>
      </c>
    </row>
    <row r="122" spans="1:69" x14ac:dyDescent="0.3">
      <c r="A122" t="s">
        <v>45</v>
      </c>
      <c r="D122" s="3" t="s">
        <v>19</v>
      </c>
      <c r="E122" s="48">
        <f>325*D$119</f>
        <v>49.102255309831399</v>
      </c>
      <c r="F122" s="48">
        <f t="shared" ref="F122:K122" si="99">325*E$119</f>
        <v>46.350631340778044</v>
      </c>
      <c r="G122" s="48">
        <f t="shared" si="99"/>
        <v>44.879935771111597</v>
      </c>
      <c r="H122" s="48">
        <f t="shared" si="99"/>
        <v>46.279468651923217</v>
      </c>
      <c r="I122" s="48">
        <f t="shared" si="99"/>
        <v>44.90365666739654</v>
      </c>
      <c r="J122" s="48">
        <f t="shared" si="99"/>
        <v>45.923655207649077</v>
      </c>
      <c r="K122" s="48">
        <f t="shared" si="99"/>
        <v>47.560397051310119</v>
      </c>
      <c r="L122" s="52">
        <f t="shared" ref="L122:L123" si="100">SUM(E122:K122)</f>
        <v>325</v>
      </c>
      <c r="BJ122" s="6"/>
      <c r="BK122" s="8" cm="1">
        <f t="array" ref="BK122">[1]!SLA(BK69,20,E13,N13)</f>
        <v>0.80936175584793091</v>
      </c>
      <c r="BL122" s="8" cm="1">
        <f t="array" ref="BL122">[1]!SLA(BL69,20,F13,O13)</f>
        <v>0.74207097291946411</v>
      </c>
      <c r="BM122" s="8" cm="1">
        <f t="array" ref="BM122">[1]!SLA(BM69,20,G13,P13)</f>
        <v>0.68856769800186157</v>
      </c>
      <c r="BN122" s="8" cm="1">
        <f t="array" ref="BN122">[1]!SLA(BN69,20,H13,Q13)</f>
        <v>0.78737479448318481</v>
      </c>
      <c r="BO122" s="8" cm="1">
        <f t="array" ref="BO122">[1]!SLA(BO69,20,I13,R13)</f>
        <v>0.74101364612579346</v>
      </c>
      <c r="BP122" s="8" cm="1">
        <f t="array" ref="BP122">[1]!SLA(BP69,20,J13,S13)</f>
        <v>0.80649930238723755</v>
      </c>
      <c r="BQ122" s="8" cm="1">
        <f t="array" ref="BQ122">[1]!SLA(BQ69,20,K13,T13)</f>
        <v>0.73584502935409546</v>
      </c>
    </row>
    <row r="123" spans="1:69" x14ac:dyDescent="0.3">
      <c r="D123" s="3" t="s">
        <v>27</v>
      </c>
      <c r="E123" s="48">
        <f>E124-E122</f>
        <v>15.897744690168601</v>
      </c>
      <c r="F123" s="48">
        <f t="shared" ref="F123:K123" si="101">F124-F122</f>
        <v>18.649368659221956</v>
      </c>
      <c r="G123" s="48">
        <f t="shared" si="101"/>
        <v>20.120064228888403</v>
      </c>
      <c r="H123" s="48">
        <f t="shared" si="101"/>
        <v>18.720531348076783</v>
      </c>
      <c r="I123" s="48">
        <f t="shared" si="101"/>
        <v>20.09634333260346</v>
      </c>
      <c r="J123" s="48">
        <f t="shared" si="101"/>
        <v>19.076344792350923</v>
      </c>
      <c r="K123" s="48">
        <f t="shared" si="101"/>
        <v>17.439602948689881</v>
      </c>
      <c r="L123" s="52">
        <f t="shared" si="100"/>
        <v>130</v>
      </c>
      <c r="BJ123" s="6"/>
      <c r="BK123" s="8" cm="1">
        <f t="array" ref="BK123">[1]!SLA(BK70,20,E14,N14)</f>
        <v>0.81674724817276001</v>
      </c>
      <c r="BL123" s="8" cm="1">
        <f t="array" ref="BL123">[1]!SLA(BL70,20,F14,O14)</f>
        <v>0.76994216442108154</v>
      </c>
      <c r="BM123" s="8" cm="1">
        <f t="array" ref="BM123">[1]!SLA(BM70,20,G14,P14)</f>
        <v>0.80238538980484009</v>
      </c>
      <c r="BN123" s="8" cm="1">
        <f t="array" ref="BN123">[1]!SLA(BN70,20,H14,Q14)</f>
        <v>0.74923843145370483</v>
      </c>
      <c r="BO123" s="8" cm="1">
        <f t="array" ref="BO123">[1]!SLA(BO70,20,I14,R14)</f>
        <v>0.77196162939071655</v>
      </c>
      <c r="BP123" s="8" cm="1">
        <f t="array" ref="BP123">[1]!SLA(BP70,20,J14,S14)</f>
        <v>0.67860400676727295</v>
      </c>
      <c r="BQ123" s="8" cm="1">
        <f t="array" ref="BQ123">[1]!SLA(BQ70,20,K14,T14)</f>
        <v>0.76621401309967041</v>
      </c>
    </row>
    <row r="124" spans="1:69" x14ac:dyDescent="0.3">
      <c r="D124" s="3" t="s">
        <v>40</v>
      </c>
      <c r="E124" s="3">
        <v>65</v>
      </c>
      <c r="F124" s="3">
        <v>65</v>
      </c>
      <c r="G124" s="3">
        <v>65</v>
      </c>
      <c r="H124" s="3">
        <v>65</v>
      </c>
      <c r="I124" s="3">
        <v>65</v>
      </c>
      <c r="J124" s="3">
        <v>65</v>
      </c>
      <c r="K124" s="3">
        <v>65</v>
      </c>
      <c r="L124" s="52"/>
      <c r="BJ124" s="6"/>
      <c r="BK124" s="8" cm="1">
        <f t="array" ref="BK124">[1]!SLA(BK71,20,E15,N15)</f>
        <v>0.76747310161590576</v>
      </c>
      <c r="BL124" s="8" cm="1">
        <f t="array" ref="BL124">[1]!SLA(BL71,20,F15,O15)</f>
        <v>0.76449018716812134</v>
      </c>
      <c r="BM124" s="8" cm="1">
        <f t="array" ref="BM124">[1]!SLA(BM71,20,G15,P15)</f>
        <v>0.80353033542633057</v>
      </c>
      <c r="BN124" s="8" cm="1">
        <f t="array" ref="BN124">[1]!SLA(BN71,20,H15,Q15)</f>
        <v>0.80981540679931641</v>
      </c>
      <c r="BO124" s="8" cm="1">
        <f t="array" ref="BO124">[1]!SLA(BO71,20,I15,R15)</f>
        <v>0.77583098411560059</v>
      </c>
      <c r="BP124" s="8" cm="1">
        <f t="array" ref="BP124">[1]!SLA(BP71,20,J15,S15)</f>
        <v>0.79924803972244263</v>
      </c>
      <c r="BQ124" s="8" cm="1">
        <f t="array" ref="BQ124">[1]!SLA(BQ71,20,K15,T15)</f>
        <v>0.81890761852264404</v>
      </c>
    </row>
    <row r="125" spans="1:69" x14ac:dyDescent="0.3">
      <c r="BJ125" s="6"/>
      <c r="BK125" s="8" cm="1">
        <f t="array" ref="BK125">[1]!SLA(BK72,20,E16,N16)</f>
        <v>0.77821135520935059</v>
      </c>
      <c r="BL125" s="8" cm="1">
        <f t="array" ref="BL125">[1]!SLA(BL72,20,F16,O16)</f>
        <v>0.76771163940429688</v>
      </c>
      <c r="BM125" s="8" cm="1">
        <f t="array" ref="BM125">[1]!SLA(BM72,20,G16,P16)</f>
        <v>0.67730075120925903</v>
      </c>
      <c r="BN125" s="8" cm="1">
        <f t="array" ref="BN125">[1]!SLA(BN72,20,H16,Q16)</f>
        <v>0.78931593894958496</v>
      </c>
      <c r="BO125" s="8" cm="1">
        <f t="array" ref="BO125">[1]!SLA(BO72,20,I16,R16)</f>
        <v>0.71763694286346436</v>
      </c>
      <c r="BP125" s="8" cm="1">
        <f t="array" ref="BP125">[1]!SLA(BP72,20,J16,S16)</f>
        <v>0.80523383617401123</v>
      </c>
      <c r="BQ125" s="8" cm="1">
        <f t="array" ref="BQ125">[1]!SLA(BQ72,20,K16,T16)</f>
        <v>0.76731103658676147</v>
      </c>
    </row>
    <row r="126" spans="1:69" x14ac:dyDescent="0.3">
      <c r="BJ126" s="6"/>
      <c r="BK126" s="8" cm="1">
        <f t="array" ref="BK126">[1]!SLA(BK73,20,E17,N17)</f>
        <v>0.77269947528839111</v>
      </c>
      <c r="BL126" s="8" cm="1">
        <f t="array" ref="BL126">[1]!SLA(BL73,20,F17,O17)</f>
        <v>0.67307257652282715</v>
      </c>
      <c r="BM126" s="8" cm="1">
        <f t="array" ref="BM126">[1]!SLA(BM73,20,G17,P17)</f>
        <v>0.68328666687011719</v>
      </c>
      <c r="BN126" s="8" cm="1">
        <f t="array" ref="BN126">[1]!SLA(BN73,20,H17,Q17)</f>
        <v>0.81033468246459961</v>
      </c>
      <c r="BO126" s="8" cm="1">
        <f t="array" ref="BO126">[1]!SLA(BO73,20,I17,R17)</f>
        <v>0.73377144336700439</v>
      </c>
      <c r="BP126" s="8" cm="1">
        <f t="array" ref="BP126">[1]!SLA(BP73,20,J17,S17)</f>
        <v>0.67653906345367432</v>
      </c>
      <c r="BQ126" s="8" cm="1">
        <f t="array" ref="BQ126">[1]!SLA(BQ73,20,K17,T17)</f>
        <v>0.80181330442428589</v>
      </c>
    </row>
    <row r="127" spans="1:69" x14ac:dyDescent="0.3">
      <c r="A127" t="s">
        <v>46</v>
      </c>
      <c r="D127" s="3" t="s">
        <v>19</v>
      </c>
      <c r="E127" s="48">
        <f>325*D120</f>
        <v>68.25</v>
      </c>
      <c r="F127" s="48">
        <f t="shared" ref="F127:K127" si="102">325*E120</f>
        <v>65</v>
      </c>
      <c r="G127" s="48">
        <f t="shared" si="102"/>
        <v>39</v>
      </c>
      <c r="H127" s="48">
        <f t="shared" si="102"/>
        <v>39</v>
      </c>
      <c r="I127" s="48">
        <f t="shared" si="102"/>
        <v>29.25</v>
      </c>
      <c r="J127" s="48">
        <f t="shared" si="102"/>
        <v>45.500000000000007</v>
      </c>
      <c r="K127" s="48">
        <f t="shared" si="102"/>
        <v>39</v>
      </c>
      <c r="L127" s="52">
        <f t="shared" ref="L127:L128" si="103">SUM(E127:K127)</f>
        <v>325</v>
      </c>
      <c r="BJ127" s="6"/>
      <c r="BK127" s="8" cm="1">
        <f t="array" ref="BK127">[1]!SLA(BK74,20,E18,N18)</f>
        <v>0.78681492805480957</v>
      </c>
      <c r="BL127" s="8" cm="1">
        <f t="array" ref="BL127">[1]!SLA(BL74,20,F18,O18)</f>
        <v>0.80026715993881226</v>
      </c>
      <c r="BM127" s="8" cm="1">
        <f t="array" ref="BM127">[1]!SLA(BM74,20,G18,P18)</f>
        <v>0.77523261308670044</v>
      </c>
      <c r="BN127" s="8" cm="1">
        <f t="array" ref="BN127">[1]!SLA(BN74,20,H18,Q18)</f>
        <v>0.81561410427093506</v>
      </c>
      <c r="BO127" s="8" cm="1">
        <f t="array" ref="BO127">[1]!SLA(BO74,20,I18,R18)</f>
        <v>0.73897886276245117</v>
      </c>
      <c r="BP127" s="8" cm="1">
        <f t="array" ref="BP127">[1]!SLA(BP74,20,J18,S18)</f>
        <v>0.78330874443054199</v>
      </c>
      <c r="BQ127" s="8" cm="1">
        <f t="array" ref="BQ127">[1]!SLA(BQ74,20,K18,T18)</f>
        <v>0.77393889427185059</v>
      </c>
    </row>
    <row r="128" spans="1:69" x14ac:dyDescent="0.3">
      <c r="D128" s="3" t="s">
        <v>27</v>
      </c>
      <c r="E128" s="48">
        <f>E129-E127</f>
        <v>-3.25</v>
      </c>
      <c r="F128" s="48">
        <f t="shared" ref="F128:K128" si="104">F129-F127</f>
        <v>0</v>
      </c>
      <c r="G128" s="48">
        <f t="shared" si="104"/>
        <v>26</v>
      </c>
      <c r="H128" s="48">
        <f t="shared" si="104"/>
        <v>26</v>
      </c>
      <c r="I128" s="48">
        <f t="shared" si="104"/>
        <v>35.75</v>
      </c>
      <c r="J128" s="48">
        <f t="shared" si="104"/>
        <v>19.499999999999993</v>
      </c>
      <c r="K128" s="48">
        <f t="shared" si="104"/>
        <v>26</v>
      </c>
      <c r="L128" s="52">
        <f t="shared" si="103"/>
        <v>130</v>
      </c>
      <c r="BJ128" s="6"/>
      <c r="BK128" s="8" cm="1">
        <f t="array" ref="BK128">[1]!SLA(BK75,20,E19,N19)</f>
        <v>0.75616157054901123</v>
      </c>
      <c r="BL128" s="8" cm="1">
        <f t="array" ref="BL128">[1]!SLA(BL75,20,F19,O19)</f>
        <v>0.80915027856826782</v>
      </c>
      <c r="BM128" s="8" cm="1">
        <f t="array" ref="BM128">[1]!SLA(BM75,20,G19,P19)</f>
        <v>0.81180417537689209</v>
      </c>
      <c r="BN128" s="8" cm="1">
        <f t="array" ref="BN128">[1]!SLA(BN75,20,H19,Q19)</f>
        <v>0.80917656421661377</v>
      </c>
      <c r="BO128" s="8" cm="1">
        <f t="array" ref="BO128">[1]!SLA(BO75,20,I19,R19)</f>
        <v>0.73634850978851318</v>
      </c>
      <c r="BP128" s="8" cm="1">
        <f t="array" ref="BP128">[1]!SLA(BP75,20,J19,S19)</f>
        <v>0.81247496604919434</v>
      </c>
      <c r="BQ128" s="8" cm="1">
        <f t="array" ref="BQ128">[1]!SLA(BQ75,20,K19,T19)</f>
        <v>0.77799063920974731</v>
      </c>
    </row>
    <row r="129" spans="4:69" x14ac:dyDescent="0.3">
      <c r="D129" s="3" t="s">
        <v>40</v>
      </c>
      <c r="E129" s="3">
        <v>65</v>
      </c>
      <c r="F129" s="3">
        <v>65</v>
      </c>
      <c r="G129" s="3">
        <v>65</v>
      </c>
      <c r="H129" s="3">
        <v>65</v>
      </c>
      <c r="I129" s="3">
        <v>65</v>
      </c>
      <c r="J129" s="3">
        <v>65</v>
      </c>
      <c r="K129" s="3">
        <v>65</v>
      </c>
      <c r="L129" s="52"/>
      <c r="BJ129" s="6"/>
      <c r="BK129" s="8" cm="1">
        <f t="array" ref="BK129">[1]!SLA(BK76,20,E20,N20)</f>
        <v>0.80468809604644775</v>
      </c>
      <c r="BL129" s="8" cm="1">
        <f t="array" ref="BL129">[1]!SLA(BL76,20,F20,O20)</f>
        <v>0.7713896632194519</v>
      </c>
      <c r="BM129" s="8" cm="1">
        <f t="array" ref="BM129">[1]!SLA(BM76,20,G20,P20)</f>
        <v>0.75433254241943359</v>
      </c>
      <c r="BN129" s="8" cm="1">
        <f t="array" ref="BN129">[1]!SLA(BN76,20,H20,Q20)</f>
        <v>0.80253398418426514</v>
      </c>
      <c r="BO129" s="8" cm="1">
        <f t="array" ref="BO129">[1]!SLA(BO76,20,I20,R20)</f>
        <v>0.7915002703666687</v>
      </c>
      <c r="BP129" s="8" cm="1">
        <f t="array" ref="BP129">[1]!SLA(BP76,20,J20,S20)</f>
        <v>0.68471592664718628</v>
      </c>
      <c r="BQ129" s="8" cm="1">
        <f t="array" ref="BQ129">[1]!SLA(BQ76,20,K20,T20)</f>
        <v>0.78041404485702515</v>
      </c>
    </row>
    <row r="130" spans="4:69" x14ac:dyDescent="0.3">
      <c r="BJ130" s="6"/>
      <c r="BK130" s="8" cm="1">
        <f t="array" ref="BK130">[1]!SLA(BK77,20,E21,N21)</f>
        <v>0.80580919981002808</v>
      </c>
      <c r="BL130" s="8" cm="1">
        <f t="array" ref="BL130">[1]!SLA(BL77,20,F21,O21)</f>
        <v>0.67619359493255615</v>
      </c>
      <c r="BM130" s="8" cm="1">
        <f t="array" ref="BM130">[1]!SLA(BM77,20,G21,P21)</f>
        <v>0.80698961019515991</v>
      </c>
      <c r="BN130" s="8" cm="1">
        <f t="array" ref="BN130">[1]!SLA(BN77,20,H21,Q21)</f>
        <v>0.7659338116645813</v>
      </c>
      <c r="BO130" s="8" cm="1">
        <f t="array" ref="BO130">[1]!SLA(BO77,20,I21,R21)</f>
        <v>0.80105006694793701</v>
      </c>
      <c r="BP130" s="8" cm="1">
        <f t="array" ref="BP130">[1]!SLA(BP77,20,J21,S21)</f>
        <v>0.81519037485122681</v>
      </c>
      <c r="BQ130" s="8" cm="1">
        <f t="array" ref="BQ130">[1]!SLA(BQ77,20,K21,T21)</f>
        <v>0.81052786111831665</v>
      </c>
    </row>
    <row r="131" spans="4:69" x14ac:dyDescent="0.3">
      <c r="BJ131" s="6"/>
      <c r="BK131" s="8" cm="1">
        <f t="array" ref="BK131">[1]!SLA(BK78,20,E22,N22)</f>
        <v>0.80149167776107788</v>
      </c>
      <c r="BL131" s="8" cm="1">
        <f t="array" ref="BL131">[1]!SLA(BL78,20,F22,O22)</f>
        <v>0.76177328824996948</v>
      </c>
      <c r="BM131" s="8" cm="1">
        <f t="array" ref="BM131">[1]!SLA(BM78,20,G22,P22)</f>
        <v>0.79214227199554443</v>
      </c>
      <c r="BN131" s="8" cm="1">
        <f t="array" ref="BN131">[1]!SLA(BN78,20,H22,Q22)</f>
        <v>0.81989181041717529</v>
      </c>
      <c r="BO131" s="8" cm="1">
        <f t="array" ref="BO131">[1]!SLA(BO78,20,I22,R22)</f>
        <v>0.74037629365921021</v>
      </c>
      <c r="BP131" s="8" cm="1">
        <f t="array" ref="BP131">[1]!SLA(BP78,20,J22,S22)</f>
        <v>0.79414325952529907</v>
      </c>
      <c r="BQ131" s="8" cm="1">
        <f t="array" ref="BQ131">[1]!SLA(BQ78,20,K22,T22)</f>
        <v>0.79860794544219971</v>
      </c>
    </row>
    <row r="132" spans="4:69" x14ac:dyDescent="0.3">
      <c r="BJ132" s="6"/>
      <c r="BK132" s="8" cm="1">
        <f t="array" ref="BK132">[1]!SLA(BK79,20,E23,N23)</f>
        <v>0.79773956537246704</v>
      </c>
      <c r="BL132" s="8" cm="1">
        <f t="array" ref="BL132">[1]!SLA(BL79,20,F23,O23)</f>
        <v>0.77260321378707886</v>
      </c>
      <c r="BM132" s="8" cm="1">
        <f t="array" ref="BM132">[1]!SLA(BM79,20,G23,P23)</f>
        <v>0.78191131353378296</v>
      </c>
      <c r="BN132" s="8" cm="1">
        <f t="array" ref="BN132">[1]!SLA(BN79,20,H23,Q23)</f>
        <v>0.78976935148239136</v>
      </c>
      <c r="BO132" s="8" cm="1">
        <f t="array" ref="BO132">[1]!SLA(BO79,20,I23,R23)</f>
        <v>0.79175174236297607</v>
      </c>
      <c r="BP132" s="8" cm="1">
        <f t="array" ref="BP132">[1]!SLA(BP79,20,J23,S23)</f>
        <v>0.79359674453735352</v>
      </c>
      <c r="BQ132" s="8" cm="1">
        <f t="array" ref="BQ132">[1]!SLA(BQ79,20,K23,T23)</f>
        <v>0.80689424276351929</v>
      </c>
    </row>
    <row r="133" spans="4:69" x14ac:dyDescent="0.3">
      <c r="BJ133" s="6"/>
      <c r="BK133" s="8" cm="1">
        <f t="array" ref="BK133">[1]!SLA(BK80,20,E24,N24)</f>
        <v>0.78321385383605957</v>
      </c>
      <c r="BL133" s="8" cm="1">
        <f t="array" ref="BL133">[1]!SLA(BL80,20,F24,O24)</f>
        <v>0.66287368535995483</v>
      </c>
      <c r="BM133" s="8" cm="1">
        <f t="array" ref="BM133">[1]!SLA(BM80,20,G24,P24)</f>
        <v>0.8000754714012146</v>
      </c>
      <c r="BN133" s="8" cm="1">
        <f t="array" ref="BN133">[1]!SLA(BN80,20,H24,Q24)</f>
        <v>0.77917510271072388</v>
      </c>
      <c r="BO133" s="8" cm="1">
        <f t="array" ref="BO133">[1]!SLA(BO80,20,I24,R24)</f>
        <v>0.73433369398117065</v>
      </c>
      <c r="BP133" s="8" cm="1">
        <f t="array" ref="BP133">[1]!SLA(BP80,20,J24,S24)</f>
        <v>0.79475563764572144</v>
      </c>
      <c r="BQ133" s="8" cm="1">
        <f t="array" ref="BQ133">[1]!SLA(BQ80,20,K24,T24)</f>
        <v>0.79756391048431396</v>
      </c>
    </row>
    <row r="134" spans="4:69" x14ac:dyDescent="0.3">
      <c r="BJ134" s="6"/>
      <c r="BK134" s="8" cm="1">
        <f t="array" ref="BK134">[1]!SLA(BK81,20,E25,N25)</f>
        <v>0.7086215615272522</v>
      </c>
      <c r="BL134" s="8" cm="1">
        <f t="array" ref="BL134">[1]!SLA(BL81,20,F25,O25)</f>
        <v>0.79475122690200806</v>
      </c>
      <c r="BM134" s="8" cm="1">
        <f t="array" ref="BM134">[1]!SLA(BM81,20,G25,P25)</f>
        <v>0.68327009677886963</v>
      </c>
      <c r="BN134" s="8" cm="1">
        <f t="array" ref="BN134">[1]!SLA(BN81,20,H25,Q25)</f>
        <v>0.79416823387145996</v>
      </c>
      <c r="BO134" s="8" cm="1">
        <f t="array" ref="BO134">[1]!SLA(BO81,20,I25,R25)</f>
        <v>0.73154819011688232</v>
      </c>
      <c r="BP134" s="8" cm="1">
        <f t="array" ref="BP134">[1]!SLA(BP81,20,J25,S25)</f>
        <v>0.80715471506118774</v>
      </c>
      <c r="BQ134" s="8" cm="1">
        <f t="array" ref="BQ134">[1]!SLA(BQ81,20,K25,T25)</f>
        <v>0.72993940114974976</v>
      </c>
    </row>
    <row r="135" spans="4:69" x14ac:dyDescent="0.3">
      <c r="BJ135" s="6"/>
      <c r="BK135" s="8" cm="1">
        <f t="array" ref="BK135">[1]!SLA(BK82,20,E26,N26)</f>
        <v>0.8102867603302002</v>
      </c>
      <c r="BL135" s="8" cm="1">
        <f t="array" ref="BL135">[1]!SLA(BL82,20,F26,O26)</f>
        <v>0.7982143759727478</v>
      </c>
      <c r="BM135" s="8" cm="1">
        <f t="array" ref="BM135">[1]!SLA(BM82,20,G26,P26)</f>
        <v>0.79178702831268311</v>
      </c>
      <c r="BN135" s="8" cm="1">
        <f t="array" ref="BN135">[1]!SLA(BN82,20,H26,Q26)</f>
        <v>0.79348647594451904</v>
      </c>
      <c r="BO135" s="8" cm="1">
        <f t="array" ref="BO135">[1]!SLA(BO82,20,I26,R26)</f>
        <v>0.75032335519790649</v>
      </c>
      <c r="BP135" s="8" cm="1">
        <f t="array" ref="BP135">[1]!SLA(BP82,20,J26,S26)</f>
        <v>0.80975174903869629</v>
      </c>
      <c r="BQ135" s="8" cm="1">
        <f t="array" ref="BQ135">[1]!SLA(BQ82,20,K26,T26)</f>
        <v>0.78650194406509399</v>
      </c>
    </row>
    <row r="136" spans="4:69" x14ac:dyDescent="0.3">
      <c r="BJ136" s="6"/>
      <c r="BK136" s="8" cm="1">
        <f t="array" ref="BK136">[1]!SLA(BK83,20,E27,N27)</f>
        <v>0.76891714334487915</v>
      </c>
      <c r="BL136" s="8" cm="1">
        <f t="array" ref="BL136">[1]!SLA(BL83,20,F27,O27)</f>
        <v>0.76208192110061646</v>
      </c>
      <c r="BM136" s="8" cm="1">
        <f t="array" ref="BM136">[1]!SLA(BM83,20,G27,P27)</f>
        <v>0.77455908060073853</v>
      </c>
      <c r="BN136" s="8" cm="1">
        <f t="array" ref="BN136">[1]!SLA(BN83,20,H27,Q27)</f>
        <v>0.81591814756393433</v>
      </c>
      <c r="BO136" s="8" cm="1">
        <f t="array" ref="BO136">[1]!SLA(BO83,20,I27,R27)</f>
        <v>0.73939812183380127</v>
      </c>
      <c r="BP136" s="8" cm="1">
        <f t="array" ref="BP136">[1]!SLA(BP83,20,J27,S27)</f>
        <v>0.77469420433044434</v>
      </c>
      <c r="BQ136" s="8" cm="1">
        <f t="array" ref="BQ136">[1]!SLA(BQ83,20,K27,T27)</f>
        <v>0.75633293390274048</v>
      </c>
    </row>
    <row r="137" spans="4:69" x14ac:dyDescent="0.3">
      <c r="BJ137" s="6"/>
      <c r="BK137" s="8" cm="1">
        <f t="array" ref="BK137">[1]!SLA(BK84,20,E28,N28)</f>
        <v>0.81963175535202026</v>
      </c>
      <c r="BL137" s="8" cm="1">
        <f t="array" ref="BL137">[1]!SLA(BL84,20,F28,O28)</f>
        <v>0.7608182430267334</v>
      </c>
      <c r="BM137" s="8" cm="1">
        <f t="array" ref="BM137">[1]!SLA(BM84,20,G28,P28)</f>
        <v>0.77068501710891724</v>
      </c>
      <c r="BN137" s="8" cm="1">
        <f t="array" ref="BN137">[1]!SLA(BN84,20,H28,Q28)</f>
        <v>0.77583855390548706</v>
      </c>
      <c r="BO137" s="8" cm="1">
        <f t="array" ref="BO137">[1]!SLA(BO84,20,I28,R28)</f>
        <v>0.81257951259613037</v>
      </c>
      <c r="BP137" s="8" cm="1">
        <f t="array" ref="BP137">[1]!SLA(BP84,20,J28,S28)</f>
        <v>0.79398220777511597</v>
      </c>
      <c r="BQ137" s="8" cm="1">
        <f t="array" ref="BQ137">[1]!SLA(BQ84,20,K28,T28)</f>
        <v>0.80429369211196899</v>
      </c>
    </row>
    <row r="138" spans="4:69" x14ac:dyDescent="0.3">
      <c r="BJ138" s="6"/>
      <c r="BK138" s="8" cm="1">
        <f t="array" ref="BK138">[1]!SLA(BK85,20,E29,N29)</f>
        <v>0.81123489141464233</v>
      </c>
      <c r="BL138" s="8" cm="1">
        <f t="array" ref="BL138">[1]!SLA(BL85,20,F29,O29)</f>
        <v>0.76789170503616333</v>
      </c>
      <c r="BM138" s="8" cm="1">
        <f t="array" ref="BM138">[1]!SLA(BM85,20,G29,P29)</f>
        <v>0.78634494543075562</v>
      </c>
      <c r="BN138" s="8" cm="1">
        <f t="array" ref="BN138">[1]!SLA(BN85,20,H29,Q29)</f>
        <v>0.79925072193145752</v>
      </c>
      <c r="BO138" s="8" cm="1">
        <f t="array" ref="BO138">[1]!SLA(BO85,20,I29,R29)</f>
        <v>0.75892192125320435</v>
      </c>
      <c r="BP138" s="8" cm="1">
        <f t="array" ref="BP138">[1]!SLA(BP85,20,J29,S29)</f>
        <v>0.81434661149978638</v>
      </c>
      <c r="BQ138" s="8" cm="1">
        <f t="array" ref="BQ138">[1]!SLA(BQ85,20,K29,T29)</f>
        <v>0.8076244592666626</v>
      </c>
    </row>
    <row r="139" spans="4:69" x14ac:dyDescent="0.3">
      <c r="BJ139" s="6"/>
      <c r="BK139" s="8" cm="1">
        <f t="array" ref="BK139">[1]!SLA(BK86,20,E30,N30)</f>
        <v>0.81201082468032837</v>
      </c>
      <c r="BL139" s="8" cm="1">
        <f t="array" ref="BL139">[1]!SLA(BL86,20,F30,O30)</f>
        <v>0.81176626682281494</v>
      </c>
      <c r="BM139" s="8" cm="1">
        <f t="array" ref="BM139">[1]!SLA(BM86,20,G30,P30)</f>
        <v>0.78283882141113281</v>
      </c>
      <c r="BN139" s="8" cm="1">
        <f t="array" ref="BN139">[1]!SLA(BN86,20,H30,Q30)</f>
        <v>0.77006906270980835</v>
      </c>
      <c r="BO139" s="8" cm="1">
        <f t="array" ref="BO139">[1]!SLA(BO86,20,I30,R30)</f>
        <v>0.81239372491836548</v>
      </c>
      <c r="BP139" s="8" cm="1">
        <f t="array" ref="BP139">[1]!SLA(BP86,20,J30,S30)</f>
        <v>0.80665427446365356</v>
      </c>
      <c r="BQ139" s="8" cm="1">
        <f t="array" ref="BQ139">[1]!SLA(BQ86,20,K30,T30)</f>
        <v>0.75623255968093872</v>
      </c>
    </row>
    <row r="140" spans="4:69" x14ac:dyDescent="0.3">
      <c r="BJ140" s="14"/>
      <c r="BK140" s="8" cm="1">
        <f t="array" ref="BK140">[1]!SLA(BK87,20,E31,N31)</f>
        <v>0.81228017807006836</v>
      </c>
      <c r="BL140" s="8" cm="1">
        <f t="array" ref="BL140">[1]!SLA(BL87,20,F31,O31)</f>
        <v>0.80087810754776001</v>
      </c>
      <c r="BM140" s="8" cm="1">
        <f t="array" ref="BM140">[1]!SLA(BM87,20,G31,P31)</f>
        <v>0.81299948692321777</v>
      </c>
      <c r="BN140" s="8" cm="1">
        <f t="array" ref="BN140">[1]!SLA(BN87,20,H31,Q31)</f>
        <v>0.76988863945007324</v>
      </c>
      <c r="BO140" s="8" cm="1">
        <f t="array" ref="BO140">[1]!SLA(BO87,20,I31,R31)</f>
        <v>0.78303992748260498</v>
      </c>
      <c r="BP140" s="8" cm="1">
        <f t="array" ref="BP140">[1]!SLA(BP87,20,J31,S31)</f>
        <v>0.79613339900970459</v>
      </c>
      <c r="BQ140" s="8" cm="1">
        <f t="array" ref="BQ140">[1]!SLA(BQ87,20,K31,T31)</f>
        <v>0.80133038759231567</v>
      </c>
    </row>
    <row r="141" spans="4:69" x14ac:dyDescent="0.3">
      <c r="BJ141" s="15"/>
      <c r="BK141" s="8" cm="1">
        <f t="array" ref="BK141">[1]!SLA(BK88,20,E32,N32)</f>
        <v>0.77875429391860962</v>
      </c>
      <c r="BL141" s="8" cm="1">
        <f t="array" ref="BL141">[1]!SLA(BL88,20,F32,O32)</f>
        <v>0.75380659103393555</v>
      </c>
      <c r="BM141" s="8" cm="1">
        <f t="array" ref="BM141">[1]!SLA(BM88,20,G32,P32)</f>
        <v>0.77333682775497437</v>
      </c>
      <c r="BN141" s="8" cm="1">
        <f t="array" ref="BN141">[1]!SLA(BN88,20,H32,Q32)</f>
        <v>0.79670053720474243</v>
      </c>
      <c r="BO141" s="8" cm="1">
        <f t="array" ref="BO141">[1]!SLA(BO88,20,I32,R32)</f>
        <v>0.81803536415100098</v>
      </c>
      <c r="BP141" s="8" cm="1">
        <f t="array" ref="BP141">[1]!SLA(BP88,20,J32,S32)</f>
        <v>0.78811997175216675</v>
      </c>
      <c r="BQ141" s="8" cm="1">
        <f t="array" ref="BQ141">[1]!SLA(BQ88,20,K32,T32)</f>
        <v>0.81674528121948242</v>
      </c>
    </row>
    <row r="142" spans="4:69" x14ac:dyDescent="0.3">
      <c r="BJ142" s="15"/>
      <c r="BK142" s="8" cm="1">
        <f t="array" ref="BK142">[1]!SLA(BK89,20,E33,N33)</f>
        <v>0.81379473209381104</v>
      </c>
      <c r="BL142" s="8" cm="1">
        <f t="array" ref="BL142">[1]!SLA(BL89,20,F33,O33)</f>
        <v>0.80084848403930664</v>
      </c>
      <c r="BM142" s="8" cm="1">
        <f t="array" ref="BM142">[1]!SLA(BM89,20,G33,P33)</f>
        <v>0.79655325412750244</v>
      </c>
      <c r="BN142" s="8" cm="1">
        <f t="array" ref="BN142">[1]!SLA(BN89,20,H33,Q33)</f>
        <v>0.78150707483291626</v>
      </c>
      <c r="BO142" s="8" cm="1">
        <f t="array" ref="BO142">[1]!SLA(BO89,20,I33,R33)</f>
        <v>0.81289255619049072</v>
      </c>
      <c r="BP142" s="8" cm="1">
        <f t="array" ref="BP142">[1]!SLA(BP89,20,J33,S33)</f>
        <v>0.80222344398498535</v>
      </c>
      <c r="BQ142" s="8" cm="1">
        <f t="array" ref="BQ142">[1]!SLA(BQ89,20,K33,T33)</f>
        <v>0.80190873146057129</v>
      </c>
    </row>
    <row r="143" spans="4:69" x14ac:dyDescent="0.3">
      <c r="BJ143" s="15"/>
      <c r="BK143" s="8" cm="1">
        <f t="array" ref="BK143">[1]!SLA(BK90,20,E34,N34)</f>
        <v>0.75906014442443848</v>
      </c>
      <c r="BL143" s="8" cm="1">
        <f t="array" ref="BL143">[1]!SLA(BL90,20,F34,O34)</f>
        <v>0.78926610946655273</v>
      </c>
      <c r="BM143" s="8" cm="1">
        <f t="array" ref="BM143">[1]!SLA(BM90,20,G34,P34)</f>
        <v>0.77373272180557251</v>
      </c>
      <c r="BN143" s="8" cm="1">
        <f t="array" ref="BN143">[1]!SLA(BN90,20,H34,Q34)</f>
        <v>0.77546942234039307</v>
      </c>
      <c r="BO143" s="8" cm="1">
        <f t="array" ref="BO143">[1]!SLA(BO90,20,I34,R34)</f>
        <v>0.8139081597328186</v>
      </c>
      <c r="BP143" s="8" cm="1">
        <f t="array" ref="BP143">[1]!SLA(BP90,20,J34,S34)</f>
        <v>0.78263217210769653</v>
      </c>
      <c r="BQ143" s="8" cm="1">
        <f t="array" ref="BQ143">[1]!SLA(BQ90,20,K34,T34)</f>
        <v>0.81428349018096924</v>
      </c>
    </row>
    <row r="144" spans="4:69" x14ac:dyDescent="0.3">
      <c r="BJ144" s="15"/>
      <c r="BK144" s="8" cm="1">
        <f t="array" ref="BK144">[1]!SLA(BK91,20,E35,N35)</f>
        <v>0.76100969314575195</v>
      </c>
      <c r="BL144" s="8" cm="1">
        <f t="array" ref="BL144">[1]!SLA(BL91,20,F35,O35)</f>
        <v>0.7779276967048645</v>
      </c>
      <c r="BM144" s="8" cm="1">
        <f t="array" ref="BM144">[1]!SLA(BM91,20,G35,P35)</f>
        <v>0.78628414869308472</v>
      </c>
      <c r="BN144" s="8" cm="1">
        <f t="array" ref="BN144">[1]!SLA(BN91,20,H35,Q35)</f>
        <v>0.81790679693222046</v>
      </c>
      <c r="BO144" s="8" cm="1">
        <f t="array" ref="BO144">[1]!SLA(BO91,20,I35,R35)</f>
        <v>0.77578359842300415</v>
      </c>
      <c r="BP144" s="8" cm="1">
        <f t="array" ref="BP144">[1]!SLA(BP91,20,J35,S35)</f>
        <v>0.81866258382797241</v>
      </c>
      <c r="BQ144" s="8" cm="1">
        <f t="array" ref="BQ144">[1]!SLA(BQ91,20,K35,T35)</f>
        <v>0.81602555513381958</v>
      </c>
    </row>
    <row r="145" spans="62:69" x14ac:dyDescent="0.3">
      <c r="BJ145" s="15"/>
      <c r="BK145" s="8" cm="1">
        <f t="array" ref="BK145">[1]!SLA(BK92,20,E36,N36)</f>
        <v>0.81785374879837036</v>
      </c>
      <c r="BL145" s="8" cm="1">
        <f t="array" ref="BL145">[1]!SLA(BL92,20,F36,O36)</f>
        <v>0.80548554658889771</v>
      </c>
      <c r="BM145" s="8" cm="1">
        <f t="array" ref="BM145">[1]!SLA(BM92,20,G36,P36)</f>
        <v>0.79974150657653809</v>
      </c>
      <c r="BN145" s="8" cm="1">
        <f t="array" ref="BN145">[1]!SLA(BN92,20,H36,Q36)</f>
        <v>0.81369757652282715</v>
      </c>
      <c r="BO145" s="8" cm="1">
        <f t="array" ref="BO145">[1]!SLA(BO92,20,I36,R36)</f>
        <v>0.80936938524246216</v>
      </c>
      <c r="BP145" s="8" cm="1">
        <f t="array" ref="BP145">[1]!SLA(BP92,20,J36,S36)</f>
        <v>0.79959952831268311</v>
      </c>
      <c r="BQ145" s="8" cm="1">
        <f t="array" ref="BQ145">[1]!SLA(BQ92,20,K36,T36)</f>
        <v>0.81947916746139526</v>
      </c>
    </row>
    <row r="146" spans="62:69" x14ac:dyDescent="0.3">
      <c r="BJ146" s="15"/>
      <c r="BK146" s="8" cm="1">
        <f t="array" ref="BK146">[1]!SLA(BK93,20,E37,N37)</f>
        <v>0.7562980055809021</v>
      </c>
      <c r="BL146" s="8" cm="1">
        <f t="array" ref="BL146">[1]!SLA(BL93,20,F37,O37)</f>
        <v>0.81616866588592529</v>
      </c>
      <c r="BM146" s="8" cm="1">
        <f t="array" ref="BM146">[1]!SLA(BM93,20,G37,P37)</f>
        <v>0.81972330808639526</v>
      </c>
      <c r="BN146" s="8" cm="1">
        <f t="array" ref="BN146">[1]!SLA(BN93,20,H37,Q37)</f>
        <v>0.76029026508331299</v>
      </c>
      <c r="BO146" s="8" cm="1">
        <f t="array" ref="BO146">[1]!SLA(BO93,20,I37,R37)</f>
        <v>0.79803019762039185</v>
      </c>
      <c r="BP146" s="8" cm="1">
        <f t="array" ref="BP146">[1]!SLA(BP93,20,J37,S37)</f>
        <v>0.78992646932601929</v>
      </c>
      <c r="BQ146" s="8" cm="1">
        <f t="array" ref="BQ146">[1]!SLA(BQ93,20,K37,T37)</f>
        <v>0.7964901328086853</v>
      </c>
    </row>
    <row r="147" spans="62:69" x14ac:dyDescent="0.3">
      <c r="BJ147" s="15"/>
      <c r="BK147" s="8" cm="1">
        <f t="array" ref="BK147">[1]!SLA(BK94,20,E38,N38)</f>
        <v>0.80647706985473633</v>
      </c>
      <c r="BL147" s="8" cm="1">
        <f t="array" ref="BL147">[1]!SLA(BL94,20,F38,O38)</f>
        <v>0.76313614845275879</v>
      </c>
      <c r="BM147" s="8" cm="1">
        <f t="array" ref="BM147">[1]!SLA(BM94,20,G38,P38)</f>
        <v>0.76581215858459473</v>
      </c>
      <c r="BN147" s="8" cm="1">
        <f t="array" ref="BN147">[1]!SLA(BN94,20,H38,Q38)</f>
        <v>0.75871694087982178</v>
      </c>
      <c r="BO147" s="8" cm="1">
        <f t="array" ref="BO147">[1]!SLA(BO94,20,I38,R38)</f>
        <v>0.7738192081451416</v>
      </c>
      <c r="BP147" s="8" cm="1">
        <f t="array" ref="BP147">[1]!SLA(BP94,20,J38,S38)</f>
        <v>0.76465213298797607</v>
      </c>
      <c r="BQ147" s="8" cm="1">
        <f t="array" ref="BQ147">[1]!SLA(BQ94,20,K38,T38)</f>
        <v>0.77355599403381348</v>
      </c>
    </row>
    <row r="148" spans="62:69" x14ac:dyDescent="0.3">
      <c r="BJ148" s="15"/>
      <c r="BK148" s="8" cm="1">
        <f t="array" ref="BK148">[1]!SLA(BK95,20,E39,N39)</f>
        <v>0.79372179508209229</v>
      </c>
      <c r="BL148" s="8" cm="1">
        <f t="array" ref="BL148">[1]!SLA(BL95,20,F39,O39)</f>
        <v>0.81393462419509888</v>
      </c>
      <c r="BM148" s="8" cm="1">
        <f t="array" ref="BM148">[1]!SLA(BM95,20,G39,P39)</f>
        <v>0.75975573062896729</v>
      </c>
      <c r="BN148" s="8" cm="1">
        <f t="array" ref="BN148">[1]!SLA(BN95,20,H39,Q39)</f>
        <v>0.81462806463241577</v>
      </c>
      <c r="BO148" s="8" cm="1">
        <f t="array" ref="BO148">[1]!SLA(BO95,20,I39,R39)</f>
        <v>0.81072872877120972</v>
      </c>
      <c r="BP148" s="8" cm="1">
        <f t="array" ref="BP148">[1]!SLA(BP95,20,J39,S39)</f>
        <v>0.80766361951828003</v>
      </c>
      <c r="BQ148" s="8" cm="1">
        <f t="array" ref="BQ148">[1]!SLA(BQ95,20,K39,T39)</f>
        <v>0.78203499317169189</v>
      </c>
    </row>
    <row r="149" spans="62:69" x14ac:dyDescent="0.3">
      <c r="BJ149" s="15"/>
      <c r="BK149" s="8" cm="1">
        <f t="array" ref="BK149">[1]!SLA(BK96,20,E40,N40)</f>
        <v>0.77223348617553711</v>
      </c>
      <c r="BL149" s="8" cm="1">
        <f t="array" ref="BL149">[1]!SLA(BL96,20,F40,O40)</f>
        <v>0.81235921382904053</v>
      </c>
      <c r="BM149" s="8" cm="1">
        <f t="array" ref="BM149">[1]!SLA(BM96,20,G40,P40)</f>
        <v>0.75537455081939697</v>
      </c>
      <c r="BN149" s="8" cm="1">
        <f t="array" ref="BN149">[1]!SLA(BN96,20,H40,Q40)</f>
        <v>0.76387465000152588</v>
      </c>
      <c r="BO149" s="8" cm="1">
        <f t="array" ref="BO149">[1]!SLA(BO96,20,I40,R40)</f>
        <v>0.81650197505950928</v>
      </c>
      <c r="BP149" s="8" cm="1">
        <f t="array" ref="BP149">[1]!SLA(BP96,20,J40,S40)</f>
        <v>0.78531157970428467</v>
      </c>
      <c r="BQ149" s="8" cm="1">
        <f t="array" ref="BQ149">[1]!SLA(BQ96,20,K40,T40)</f>
        <v>0.76746731996536255</v>
      </c>
    </row>
    <row r="150" spans="62:69" x14ac:dyDescent="0.3">
      <c r="BJ150" s="15"/>
      <c r="BK150" s="8" cm="1">
        <f t="array" ref="BK150">[1]!SLA(BK97,20,E41,N41)</f>
        <v>0.81091350317001343</v>
      </c>
      <c r="BL150" s="8" cm="1">
        <f t="array" ref="BL150">[1]!SLA(BL97,20,F41,O41)</f>
        <v>0.80922770500183105</v>
      </c>
      <c r="BM150" s="8" cm="1">
        <f t="array" ref="BM150">[1]!SLA(BM97,20,G41,P41)</f>
        <v>0.81883543729782104</v>
      </c>
      <c r="BN150" s="8" cm="1">
        <f t="array" ref="BN150">[1]!SLA(BN97,20,H41,Q41)</f>
        <v>0.80270582437515259</v>
      </c>
      <c r="BO150" s="8" cm="1">
        <f t="array" ref="BO150">[1]!SLA(BO97,20,I41,R41)</f>
        <v>0.81031173467636108</v>
      </c>
      <c r="BP150" s="8" cm="1">
        <f t="array" ref="BP150">[1]!SLA(BP97,20,J41,S41)</f>
        <v>0.80736738443374634</v>
      </c>
      <c r="BQ150" s="8" cm="1">
        <f t="array" ref="BQ150">[1]!SLA(BQ97,20,K41,T41)</f>
        <v>0.81626051664352417</v>
      </c>
    </row>
    <row r="151" spans="62:69" x14ac:dyDescent="0.3">
      <c r="BJ151" s="15"/>
      <c r="BK151" s="8" cm="1">
        <f t="array" ref="BK151">[1]!SLA(BK98,20,E42,N42)</f>
        <v>0.80872470140457153</v>
      </c>
      <c r="BL151" s="8" cm="1">
        <f t="array" ref="BL151">[1]!SLA(BL98,20,F42,O42)</f>
        <v>0.78874814510345459</v>
      </c>
      <c r="BM151" s="8" cm="1">
        <f t="array" ref="BM151">[1]!SLA(BM98,20,G42,P42)</f>
        <v>0.81393635272979736</v>
      </c>
      <c r="BN151" s="8" cm="1">
        <f t="array" ref="BN151">[1]!SLA(BN98,20,H42,Q42)</f>
        <v>0.78945308923721313</v>
      </c>
      <c r="BO151" s="8" cm="1">
        <f t="array" ref="BO151">[1]!SLA(BO98,20,I42,R42)</f>
        <v>0.75253736972808838</v>
      </c>
      <c r="BP151" s="8" cm="1">
        <f t="array" ref="BP151">[1]!SLA(BP98,20,J42,S42)</f>
        <v>0.76539009809494019</v>
      </c>
      <c r="BQ151" s="8" cm="1">
        <f t="array" ref="BQ151">[1]!SLA(BQ98,20,K42,T42)</f>
        <v>0.79227650165557861</v>
      </c>
    </row>
    <row r="152" spans="62:69" x14ac:dyDescent="0.3">
      <c r="BJ152" s="15"/>
      <c r="BK152" s="8" cm="1">
        <f t="array" ref="BK152">[1]!SLA(BK99,20,E43,N43)</f>
        <v>0.80690973997116089</v>
      </c>
      <c r="BL152" s="8" cm="1">
        <f t="array" ref="BL152">[1]!SLA(BL99,20,F43,O43)</f>
        <v>0.75840848684310913</v>
      </c>
      <c r="BM152" s="8" cm="1">
        <f t="array" ref="BM152">[1]!SLA(BM99,20,G43,P43)</f>
        <v>0.81250065565109253</v>
      </c>
      <c r="BN152" s="8" cm="1">
        <f t="array" ref="BN152">[1]!SLA(BN99,20,H43,Q43)</f>
        <v>0.75476568937301636</v>
      </c>
      <c r="BO152" s="8" cm="1">
        <f t="array" ref="BO152">[1]!SLA(BO99,20,I43,R43)</f>
        <v>0.80623149871826172</v>
      </c>
      <c r="BP152" s="8" cm="1">
        <f t="array" ref="BP152">[1]!SLA(BP99,20,J43,S43)</f>
        <v>0.77478498220443726</v>
      </c>
      <c r="BQ152" s="8" cm="1">
        <f t="array" ref="BQ152">[1]!SLA(BQ99,20,K43,T43)</f>
        <v>0.8106151819229126</v>
      </c>
    </row>
    <row r="153" spans="62:69" x14ac:dyDescent="0.3">
      <c r="BJ153" s="15"/>
      <c r="BK153" s="8" cm="1">
        <f t="array" ref="BK153">[1]!SLA(BK100,20,E44,N44)</f>
        <v>0.78406655788421631</v>
      </c>
      <c r="BL153" s="8" cm="1">
        <f t="array" ref="BL153">[1]!SLA(BL100,20,F44,O44)</f>
        <v>0.81211555004119873</v>
      </c>
      <c r="BM153" s="8" cm="1">
        <f t="array" ref="BM153">[1]!SLA(BM100,20,G44,P44)</f>
        <v>0.75629860162734985</v>
      </c>
      <c r="BN153" s="8" cm="1">
        <f t="array" ref="BN153">[1]!SLA(BN100,20,H44,Q44)</f>
        <v>0.78983432054519653</v>
      </c>
      <c r="BO153" s="8" cm="1">
        <f t="array" ref="BO153">[1]!SLA(BO100,20,I44,R44)</f>
        <v>0.74927753210067749</v>
      </c>
      <c r="BP153" s="8" cm="1">
        <f t="array" ref="BP153">[1]!SLA(BP100,20,J44,S44)</f>
        <v>0.7849237322807312</v>
      </c>
      <c r="BQ153" s="8" cm="1">
        <f t="array" ref="BQ153">[1]!SLA(BQ100,20,K44,T44)</f>
        <v>0.75781387090682983</v>
      </c>
    </row>
    <row r="154" spans="62:69" x14ac:dyDescent="0.3">
      <c r="BJ154" s="15"/>
      <c r="BK154" s="8" cm="1">
        <f t="array" ref="BK154">[1]!SLA(BK101,20,E45,N45)</f>
        <v>0.80776339769363403</v>
      </c>
      <c r="BL154" s="8" cm="1">
        <f t="array" ref="BL154">[1]!SLA(BL101,20,F45,O45)</f>
        <v>0.76756888628005981</v>
      </c>
      <c r="BM154" s="8" cm="1">
        <f t="array" ref="BM154">[1]!SLA(BM101,20,G45,P45)</f>
        <v>0.76904737949371338</v>
      </c>
      <c r="BN154" s="8" cm="1">
        <f t="array" ref="BN154">[1]!SLA(BN101,20,H45,Q45)</f>
        <v>0.79245477914810181</v>
      </c>
      <c r="BO154" s="8" cm="1">
        <f t="array" ref="BO154">[1]!SLA(BO101,20,I45,R45)</f>
        <v>0.77497720718383789</v>
      </c>
      <c r="BP154" s="8" cm="1">
        <f t="array" ref="BP154">[1]!SLA(BP101,20,J45,S45)</f>
        <v>0.79239237308502197</v>
      </c>
      <c r="BQ154" s="8" cm="1">
        <f t="array" ref="BQ154">[1]!SLA(BQ101,20,K45,T45)</f>
        <v>0.78665226697921753</v>
      </c>
    </row>
    <row r="155" spans="62:69" x14ac:dyDescent="0.3">
      <c r="BJ155" s="15"/>
      <c r="BK155" s="8" cm="1">
        <f t="array" ref="BK155">[1]!SLA(BK102,20,E46,N46)</f>
        <v>0.78102588653564453</v>
      </c>
      <c r="BL155" s="8" cm="1">
        <f t="array" ref="BL155">[1]!SLA(BL102,20,F46,O46)</f>
        <v>0.76387465000152588</v>
      </c>
      <c r="BM155" s="8" cm="1">
        <f t="array" ref="BM155">[1]!SLA(BM102,20,G46,P46)</f>
        <v>0.79748076200485229</v>
      </c>
      <c r="BN155" s="8" cm="1">
        <f t="array" ref="BN155">[1]!SLA(BN102,20,H46,Q46)</f>
        <v>0.75233572721481323</v>
      </c>
      <c r="BO155" s="8" cm="1">
        <f t="array" ref="BO155">[1]!SLA(BO102,20,I46,R46)</f>
        <v>0.79493135213851929</v>
      </c>
      <c r="BP155" s="8" cm="1">
        <f t="array" ref="BP155">[1]!SLA(BP102,20,J46,S46)</f>
        <v>0.80556952953338623</v>
      </c>
      <c r="BQ155" s="8" cm="1">
        <f t="array" ref="BQ155">[1]!SLA(BQ102,20,K46,T46)</f>
        <v>0.80260622501373291</v>
      </c>
    </row>
    <row r="156" spans="62:69" x14ac:dyDescent="0.3">
      <c r="BJ156" s="15"/>
      <c r="BK156" s="8" cm="1">
        <f t="array" ref="BK156">[1]!SLA(BK103,20,E47,N47)</f>
        <v>0.80800473690032959</v>
      </c>
      <c r="BL156" s="8" cm="1">
        <f t="array" ref="BL156">[1]!SLA(BL103,20,F47,O47)</f>
        <v>0.80464625358581543</v>
      </c>
      <c r="BM156" s="8" cm="1">
        <f t="array" ref="BM156">[1]!SLA(BM103,20,G47,P47)</f>
        <v>0.77333682775497437</v>
      </c>
      <c r="BN156" s="8" cm="1">
        <f t="array" ref="BN156">[1]!SLA(BN103,20,H47,Q47)</f>
        <v>0.80253726243972778</v>
      </c>
      <c r="BO156" s="8" cm="1">
        <f t="array" ref="BO156">[1]!SLA(BO103,20,I47,R47)</f>
        <v>0.76268088817596436</v>
      </c>
      <c r="BP156" s="8" cm="1">
        <f t="array" ref="BP156">[1]!SLA(BP103,20,J47,S47)</f>
        <v>0.81945371627807617</v>
      </c>
      <c r="BQ156" s="8" cm="1">
        <f t="array" ref="BQ156">[1]!SLA(BQ103,20,K47,T47)</f>
        <v>0.75428760051727295</v>
      </c>
    </row>
    <row r="157" spans="62:69" x14ac:dyDescent="0.3">
      <c r="BJ157" s="15"/>
      <c r="BK157" s="8" cm="1">
        <f t="array" ref="BK157">[1]!SLA(BK104,20,E48,N48)</f>
        <v>0.66412830352783203</v>
      </c>
      <c r="BL157" s="8" cm="1">
        <f t="array" ref="BL157">[1]!SLA(BL104,20,F48,O48)</f>
        <v>0.69269669055938721</v>
      </c>
      <c r="BM157" s="8" cm="1">
        <f t="array" ref="BM157">[1]!SLA(BM104,20,G48,P48)</f>
        <v>0.80758887529373169</v>
      </c>
      <c r="BN157" s="8" cm="1">
        <f t="array" ref="BN157">[1]!SLA(BN104,20,H48,Q48)</f>
        <v>0.81386011838912964</v>
      </c>
      <c r="BO157" s="8" cm="1">
        <f t="array" ref="BO157">[1]!SLA(BO104,20,I48,R48)</f>
        <v>0.7425915002822876</v>
      </c>
      <c r="BP157" s="8" cm="1">
        <f t="array" ref="BP157">[1]!SLA(BP104,20,J48,S48)</f>
        <v>0.78332817554473877</v>
      </c>
      <c r="BQ157" s="8" cm="1">
        <f t="array" ref="BQ157">[1]!SLA(BQ104,20,K48,T48)</f>
        <v>0.79407328367233276</v>
      </c>
    </row>
    <row r="158" spans="62:69" x14ac:dyDescent="0.3">
      <c r="BJ158" s="15"/>
      <c r="BK158" s="8" cm="1">
        <f t="array" ref="BK158">[1]!SLA(BK105,20,E49,N49)</f>
        <v>0.80839759111404419</v>
      </c>
      <c r="BL158" s="8" cm="1">
        <f t="array" ref="BL158">[1]!SLA(BL105,20,F49,O49)</f>
        <v>0.79045629501342773</v>
      </c>
      <c r="BM158" s="8" cm="1">
        <f t="array" ref="BM158">[1]!SLA(BM105,20,G49,P49)</f>
        <v>0.67520874738693237</v>
      </c>
      <c r="BN158" s="8" cm="1">
        <f t="array" ref="BN158">[1]!SLA(BN105,20,H49,Q49)</f>
        <v>0.80140376091003418</v>
      </c>
      <c r="BO158" s="8" cm="1">
        <f t="array" ref="BO158">[1]!SLA(BO105,20,I49,R49)</f>
        <v>0.73446416854858398</v>
      </c>
      <c r="BP158" s="8" cm="1">
        <f t="array" ref="BP158">[1]!SLA(BP105,20,J49,S49)</f>
        <v>0.80624043941497803</v>
      </c>
      <c r="BQ158" s="8" cm="1">
        <f t="array" ref="BQ158">[1]!SLA(BQ105,20,K49,T49)</f>
        <v>0.76894360780715942</v>
      </c>
    </row>
    <row r="159" spans="62:69" x14ac:dyDescent="0.3">
      <c r="BJ159" s="15"/>
      <c r="BK159" s="8" cm="1">
        <f t="array" ref="BK159">[1]!SLA(BK106,20,E50,N50)</f>
        <v>0.81025940179824829</v>
      </c>
      <c r="BL159" s="8" cm="1">
        <f t="array" ref="BL159">[1]!SLA(BL106,20,F50,O50)</f>
        <v>0.79996603727340698</v>
      </c>
      <c r="BM159" s="8" cm="1">
        <f t="array" ref="BM159">[1]!SLA(BM106,20,G50,P50)</f>
        <v>0.80624043941497803</v>
      </c>
      <c r="BN159" s="8" cm="1">
        <f t="array" ref="BN159">[1]!SLA(BN106,20,H50,Q50)</f>
        <v>0.77917677164077759</v>
      </c>
      <c r="BO159" s="8" cm="1">
        <f t="array" ref="BO159">[1]!SLA(BO106,20,I50,R50)</f>
        <v>0.74247193336486816</v>
      </c>
      <c r="BP159" s="8" cm="1">
        <f t="array" ref="BP159">[1]!SLA(BP106,20,J50,S50)</f>
        <v>0.67183279991149902</v>
      </c>
      <c r="BQ159" s="8" cm="1">
        <f t="array" ref="BQ159">[1]!SLA(BQ106,20,K50,T50)</f>
        <v>0.7616724967956543</v>
      </c>
    </row>
    <row r="160" spans="62:69" x14ac:dyDescent="0.3">
      <c r="BJ160" s="15"/>
      <c r="BK160" s="8" cm="1">
        <f t="array" ref="BK160">[1]!SLA(BK107,20,E51,N51)</f>
        <v>0.80140376091003418</v>
      </c>
      <c r="BL160" s="8" cm="1">
        <f t="array" ref="BL160">[1]!SLA(BL107,20,F51,O51)</f>
        <v>0.81744056940078735</v>
      </c>
      <c r="BM160" s="8" cm="1">
        <f t="array" ref="BM160">[1]!SLA(BM107,20,G51,P51)</f>
        <v>0.80256861448287964</v>
      </c>
      <c r="BN160" s="8" cm="1">
        <f t="array" ref="BN160">[1]!SLA(BN107,20,H51,Q51)</f>
        <v>0.80472838878631592</v>
      </c>
      <c r="BO160" s="8" cm="1">
        <f t="array" ref="BO160">[1]!SLA(BO107,20,I51,R51)</f>
        <v>0.75039100646972656</v>
      </c>
      <c r="BP160" s="8" cm="1">
        <f t="array" ref="BP160">[1]!SLA(BP107,20,J51,S51)</f>
        <v>0.79746353626251221</v>
      </c>
      <c r="BQ160" s="8" cm="1">
        <f t="array" ref="BQ160">[1]!SLA(BQ107,20,K51,T51)</f>
        <v>0.66752803325653076</v>
      </c>
    </row>
    <row r="161" spans="62:69" x14ac:dyDescent="0.3">
      <c r="BJ161" s="15"/>
      <c r="BK161" s="8" cm="1">
        <f t="array" ref="BK161">[1]!SLA(BK108,20,E52,N52)</f>
        <v>0.77269947528839111</v>
      </c>
      <c r="BL161" s="8" cm="1">
        <f t="array" ref="BL161">[1]!SLA(BL108,20,F52,O52)</f>
        <v>0.79371398687362671</v>
      </c>
      <c r="BM161" s="8" cm="1">
        <f t="array" ref="BM161">[1]!SLA(BM108,20,G52,P52)</f>
        <v>0.77263873815536499</v>
      </c>
      <c r="BN161" s="8" cm="1">
        <f t="array" ref="BN161">[1]!SLA(BN108,20,H52,Q52)</f>
        <v>0.77297699451446533</v>
      </c>
      <c r="BO161" s="8" cm="1">
        <f t="array" ref="BO161">[1]!SLA(BO108,20,I52,R52)</f>
        <v>0.72048568725585938</v>
      </c>
      <c r="BP161" s="8" cm="1">
        <f t="array" ref="BP161">[1]!SLA(BP108,20,J52,S52)</f>
        <v>0.7606620192527771</v>
      </c>
      <c r="BQ161" s="8" cm="1">
        <f t="array" ref="BQ161">[1]!SLA(BQ108,20,K52,T52)</f>
        <v>0.80046671628952026</v>
      </c>
    </row>
    <row r="162" spans="62:69" x14ac:dyDescent="0.3">
      <c r="BJ162" s="15"/>
      <c r="BK162" s="8" cm="1">
        <f t="array" ref="BK162">[1]!SLA(BK109,20,E53,N53)</f>
        <v>0.74876755475997925</v>
      </c>
      <c r="BL162" s="8" cm="1">
        <f t="array" ref="BL162">[1]!SLA(BL109,20,F53,O53)</f>
        <v>0.75875085592269897</v>
      </c>
      <c r="BM162" s="8" cm="1">
        <f t="array" ref="BM162">[1]!SLA(BM109,20,G53,P53)</f>
        <v>0.81489288806915283</v>
      </c>
      <c r="BN162" s="8" cm="1">
        <f t="array" ref="BN162">[1]!SLA(BN109,20,H53,Q53)</f>
        <v>0.80970996618270874</v>
      </c>
      <c r="BO162" s="8" cm="1">
        <f t="array" ref="BO162">[1]!SLA(BO109,20,I53,R53)</f>
        <v>0.75705629587173462</v>
      </c>
      <c r="BP162" s="8" cm="1">
        <f t="array" ref="BP162">[1]!SLA(BP109,20,J53,S53)</f>
        <v>0.81103914976119995</v>
      </c>
      <c r="BQ162" s="8" cm="1">
        <f t="array" ref="BQ162">[1]!SLA(BQ109,20,K53,T53)</f>
        <v>0.68010157346725464</v>
      </c>
    </row>
    <row r="163" spans="62:69" x14ac:dyDescent="0.3">
      <c r="BJ163" s="17"/>
      <c r="BK163" s="8" cm="1">
        <f t="array" ref="BK163">[1]!SLA(BK110,20,E54,N54)</f>
        <v>0.80917656421661377</v>
      </c>
      <c r="BL163" s="8" cm="1">
        <f t="array" ref="BL163">[1]!SLA(BL110,20,F54,O54)</f>
        <v>0.81133496761322021</v>
      </c>
      <c r="BM163" s="8" cm="1">
        <f t="array" ref="BM163">[1]!SLA(BM110,20,G54,P54)</f>
        <v>0.77928620576858521</v>
      </c>
      <c r="BN163" s="8" cm="1">
        <f t="array" ref="BN163">[1]!SLA(BN110,20,H54,Q54)</f>
        <v>0.69795674085617065</v>
      </c>
      <c r="BO163" s="8" cm="1">
        <f t="array" ref="BO163">[1]!SLA(BO110,20,I54,R54)</f>
        <v>0.81920123100280762</v>
      </c>
      <c r="BP163" s="8" cm="1">
        <f t="array" ref="BP163">[1]!SLA(BP110,20,J54,S54)</f>
        <v>0.80991101264953613</v>
      </c>
      <c r="BQ163" s="8" cm="1">
        <f t="array" ref="BQ163">[1]!SLA(BQ110,20,K54,T54)</f>
        <v>0.80205559730529785</v>
      </c>
    </row>
    <row r="164" spans="62:69" x14ac:dyDescent="0.3">
      <c r="BJ164" s="2"/>
      <c r="BK164" s="19">
        <f>SUMPRODUCT(BT$63:BT$110,E$7:E$54)/SUM(E$7:E$54)</f>
        <v>0.79194033778382111</v>
      </c>
      <c r="BL164" s="19">
        <f t="shared" ref="BL164:BQ164" si="105">SUMPRODUCT(BU$63:BU$110,F$7:F$54)/SUM(F$7:F$54)</f>
        <v>0.78398563763859508</v>
      </c>
      <c r="BM164" s="19">
        <f t="shared" si="105"/>
        <v>0.77904291764734446</v>
      </c>
      <c r="BN164" s="19">
        <f t="shared" si="105"/>
        <v>0.78628620651417591</v>
      </c>
      <c r="BO164" s="19">
        <f t="shared" si="105"/>
        <v>0.7798879702913798</v>
      </c>
      <c r="BP164" s="19">
        <f t="shared" si="105"/>
        <v>0.79485894593189821</v>
      </c>
      <c r="BQ164" s="19">
        <f t="shared" si="105"/>
        <v>0.79015414849404364</v>
      </c>
    </row>
    <row r="165" spans="62:69" x14ac:dyDescent="0.3">
      <c r="BJ165" s="2"/>
      <c r="BK165" s="20"/>
      <c r="BL165" s="20"/>
      <c r="BM165" s="20"/>
      <c r="BN165" s="20"/>
      <c r="BO165" s="20"/>
      <c r="BP165" s="20"/>
      <c r="BQ165" s="20"/>
    </row>
  </sheetData>
  <conditionalFormatting sqref="BQ7:BW5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7:CG54 CI5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max"/>
        <color rgb="FF63BE7B"/>
        <color rgb="FFFFEF9C"/>
      </colorScale>
    </cfRule>
  </conditionalFormatting>
  <conditionalFormatting sqref="CU63:DA110">
    <cfRule type="cellIs" dxfId="26" priority="9" operator="lessThan">
      <formula>0</formula>
    </cfRule>
  </conditionalFormatting>
  <conditionalFormatting sqref="DD63:DJ110">
    <cfRule type="cellIs" dxfId="25" priority="8" operator="lessThan">
      <formula>0</formula>
    </cfRule>
  </conditionalFormatting>
  <conditionalFormatting sqref="BG7:BM55">
    <cfRule type="cellIs" dxfId="24" priority="7" operator="lessThan">
      <formula>0</formula>
    </cfRule>
  </conditionalFormatting>
  <conditionalFormatting sqref="DV63:EB110">
    <cfRule type="colorScale" priority="6">
      <colorScale>
        <cfvo type="min"/>
        <cfvo type="max"/>
        <color rgb="FFFCFCFF"/>
        <color rgb="FFF8696B"/>
      </colorScale>
    </cfRule>
  </conditionalFormatting>
  <conditionalFormatting sqref="DM63:DS110">
    <cfRule type="colorScale" priority="5">
      <colorScale>
        <cfvo type="min"/>
        <cfvo type="max"/>
        <color rgb="FFFCFCFF"/>
        <color rgb="FFF8696B"/>
      </colorScale>
    </cfRule>
  </conditionalFormatting>
  <conditionalFormatting sqref="EE112:EK112">
    <cfRule type="colorScale" priority="4">
      <colorScale>
        <cfvo type="min"/>
        <cfvo type="max"/>
        <color rgb="FFFCFCFF"/>
        <color rgb="FFF8696B"/>
      </colorScale>
    </cfRule>
  </conditionalFormatting>
  <conditionalFormatting sqref="EE63:EK110">
    <cfRule type="cellIs" dxfId="18" priority="2" operator="lessThan">
      <formula>0</formula>
    </cfRule>
    <cfRule type="cellIs" dxfId="19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vol 2</vt:lpstr>
      <vt:lpstr>vol 1</vt:lpstr>
      <vt:lpstr>AHT</vt:lpstr>
      <vt:lpstr>shrinking</vt:lpstr>
      <vt:lpstr>linear calc</vt:lpstr>
      <vt:lpstr>Roster</vt:lpstr>
      <vt:lpstr>erlang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ehab elnahas</dc:creator>
  <cp:lastModifiedBy>eham elnahas</cp:lastModifiedBy>
  <dcterms:created xsi:type="dcterms:W3CDTF">2026-01-15T20:42:50Z</dcterms:created>
  <dcterms:modified xsi:type="dcterms:W3CDTF">2026-01-18T22:03:57Z</dcterms:modified>
</cp:coreProperties>
</file>